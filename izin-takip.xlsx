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il_Kullanilir" sheetId="1" state="visible" r:id="rId3"/>
    <sheet name="Ozet" sheetId="2" state="visible" r:id="rId4"/>
    <sheet name="Liste_14_Gun" sheetId="3" state="visible" r:id="rId5"/>
    <sheet name="Takip" sheetId="4" state="visible" r:id="rId6"/>
    <sheet name="Ayarlar" sheetId="5" state="visible" r:id="rId7"/>
    <sheet name="Veri_Guncel" sheetId="6" state="visible" r:id="rId8"/>
    <sheet name="Veri_Oncek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<sst xmlns="http://schemas.openxmlformats.org/spreadsheetml/2006/main" count="2000" uniqueCount="457">
  <si>
    <t xml:space="preserve">Yıllık İzin Takip Sistemi</t>
  </si>
  <si>
    <t xml:space="preserve">Tüm personel verileri SAHTEDİR. Orijinal dosya paylaşılamadığı için yapı yeniden kurulmuştur.</t>
  </si>
  <si>
    <t xml:space="preserve">Her yeni İK datası geldiğinde</t>
  </si>
  <si>
    <t xml:space="preserve">1. Veri_Guncel sayfasındaki veriyi Veri_Onceki'ye taşıyın (A–H sütunları, değer olarak). Ayarlar'da önceki data tarihini güncelleyin.</t>
  </si>
  <si>
    <t xml:space="preserve">2. Yeni İK datasını Veri_Guncel'e yapıştırın (A–H sütunları, aynı sıra). Ayarlar'da güncel data tarihini girin.</t>
  </si>
  <si>
    <t xml:space="preserve">3. Datada kapsam dışı bölgeler de varsa (tüm Türkiye datası) ayıklama otomatiktir: yalnızca Ayarlar'daki bölge listesi hesaplara girer.</t>
  </si>
  <si>
    <t xml:space="preserve">4. Ozet: bölge bazında biriken izin, 14 ve 20 gün üstü kişi sayısı, alarm, önceki döneme göre değişim ve grafikler.</t>
  </si>
  <si>
    <t xml:space="preserve">5. Liste_14_Gun: bakiyesi 14 gün ve üzeri olanlar, büyükten küçüğe. Ayarlar'dan bölge seçilirse yalnızca o bölge listelenir; üstteki bilgilendirme metni bölge müdürüne gönderilecek e-postanın taslağıdır.</t>
  </si>
  <si>
    <t xml:space="preserve">Hesaplar (4857 sayılı İş Kanunu, madde 53)</t>
  </si>
  <si>
    <t xml:space="preserve">Kıdem 1–5 yıl: 14 gün · 5–15 yıl: 20 gün · 15 yıl ve üzeri: 26 gün · 18 yaş ve altı ile 50 yaş ve üzeri: en az 20 gün · 1 yıldan az: hak yok</t>
  </si>
  <si>
    <t xml:space="preserve">Sonraki hak ediş tarihi = işe giriş tarihinin bir sonraki yıldönümü</t>
  </si>
  <si>
    <t xml:space="preserve">Dönemde kullanılan izin = önceki bakiye + iki data arasında kazanılan hak − güncel bakiye</t>
  </si>
  <si>
    <t xml:space="preserve">Eksi çıkan kullanım 'Kontrol et' olarak işaretlenir (veri hatası veya elle yapılmış düzeltme).</t>
  </si>
  <si>
    <t xml:space="preserve">Renk kodu: mavi = girilen değer · sarı zemin = her dönem güncellenen hücre · siyah = formül · yeşil = başka sayfadan gelen değer</t>
  </si>
  <si>
    <t xml:space="preserve">Bölge</t>
  </si>
  <si>
    <t xml:space="preserve">Personel</t>
  </si>
  <si>
    <t xml:space="preserve">Biriken İzin (gün)</t>
  </si>
  <si>
    <t xml:space="preserve">Kişi Başı</t>
  </si>
  <si>
    <t xml:space="preserve">14+ Gün (kişi)</t>
  </si>
  <si>
    <t xml:space="preserve">20+ Gün (kişi)</t>
  </si>
  <si>
    <t xml:space="preserve">Alarm</t>
  </si>
  <si>
    <t xml:space="preserve">Hak Ediş Yaklaşan</t>
  </si>
  <si>
    <t xml:space="preserve">Dönemde Kullanılan (gün)</t>
  </si>
  <si>
    <t xml:space="preserve">Önceki Biriken (gün)</t>
  </si>
  <si>
    <t xml:space="preserve">Değişim (gün)</t>
  </si>
  <si>
    <t xml:space="preserve">Yeni Personel</t>
  </si>
  <si>
    <t xml:space="preserve">Ayrılan</t>
  </si>
  <si>
    <t xml:space="preserve">TOPLAM</t>
  </si>
  <si>
    <t xml:space="preserve">Kapsam dışı ayıklanan kayıt:</t>
  </si>
  <si>
    <t xml:space="preserve">Kontrol edilmesi gereken kayıt:</t>
  </si>
  <si>
    <t xml:space="preserve">Bilgilendirme taslağı:</t>
  </si>
  <si>
    <t xml:space="preserve">Sıra</t>
  </si>
  <si>
    <t xml:space="preserve">Satır</t>
  </si>
  <si>
    <t xml:space="preserve">Biriken İzin</t>
  </si>
  <si>
    <t xml:space="preserve">Mağaza</t>
  </si>
  <si>
    <t xml:space="preserve">Sicil No</t>
  </si>
  <si>
    <t xml:space="preserve">Ad Soyad</t>
  </si>
  <si>
    <t xml:space="preserve">Durum</t>
  </si>
  <si>
    <t xml:space="preserve">Sonraki Hak Ediş</t>
  </si>
  <si>
    <t xml:space="preserve">Hak Ediş Yaklaşıyor</t>
  </si>
  <si>
    <t xml:space="preserve">İşe Giriş</t>
  </si>
  <si>
    <t xml:space="preserve">Doğum Tarihi</t>
  </si>
  <si>
    <t xml:space="preserve">Kapsamda (1/0)</t>
  </si>
  <si>
    <t xml:space="preserve">Kıdem (yıl)</t>
  </si>
  <si>
    <t xml:space="preserve">Yaş</t>
  </si>
  <si>
    <t xml:space="preserve">Yıllık Hak (gün)</t>
  </si>
  <si>
    <t xml:space="preserve">Hak Edişe Kalan Gün</t>
  </si>
  <si>
    <t xml:space="preserve">Güncel Bakiye</t>
  </si>
  <si>
    <t xml:space="preserve">Önceki Bakiye</t>
  </si>
  <si>
    <t xml:space="preserve">Dönemde Kazanılan</t>
  </si>
  <si>
    <t xml:space="preserve">Dönemde Kullanılan</t>
  </si>
  <si>
    <t xml:space="preserve">Bakiye Durumu</t>
  </si>
  <si>
    <t xml:space="preserve">Veri Notu</t>
  </si>
  <si>
    <t xml:space="preserve">Liste Anahtarı</t>
  </si>
  <si>
    <t xml:space="preserve">Ayarlar</t>
  </si>
  <si>
    <t xml:space="preserve">Güncel data tarihi</t>
  </si>
  <si>
    <t xml:space="preserve">Önceki data tarihi</t>
  </si>
  <si>
    <t xml:space="preserve">Planlama eşiği (gün)</t>
  </si>
  <si>
    <t xml:space="preserve">Bu bakiyenin üstü izin planlamasına alınır</t>
  </si>
  <si>
    <t xml:space="preserve">Alarm eşiği (gün)</t>
  </si>
  <si>
    <t xml:space="preserve">Bölge alarmı: alarm eşiğini aşan kişi sayısı</t>
  </si>
  <si>
    <t xml:space="preserve">Bu sayıya ulaşan bölgede Ozet'te ALARM çıkar</t>
  </si>
  <si>
    <t xml:space="preserve">Yaklaşan hak ediş penceresi (gün)</t>
  </si>
  <si>
    <t xml:space="preserve">Liste bölgesi</t>
  </si>
  <si>
    <t xml:space="preserve">Tümü</t>
  </si>
  <si>
    <t xml:space="preserve">Tümü veya tek bölge — Liste_14_Gun sayfasını filtreler</t>
  </si>
  <si>
    <t xml:space="preserve">Takip edilen bölgeler</t>
  </si>
  <si>
    <t xml:space="preserve">Liste seçenekleri</t>
  </si>
  <si>
    <t xml:space="preserve">Bölge 1</t>
  </si>
  <si>
    <t xml:space="preserve">Listede olmayan bölgeler (ör. tüm Türkiye datası) hesaplara girmez.</t>
  </si>
  <si>
    <t xml:space="preserve">Bölge 2</t>
  </si>
  <si>
    <t xml:space="preserve">Bölge 3</t>
  </si>
  <si>
    <t xml:space="preserve">Bölge 4</t>
  </si>
  <si>
    <t xml:space="preserve">Bölge 5</t>
  </si>
  <si>
    <t xml:space="preserve">Bölge 6</t>
  </si>
  <si>
    <t xml:space="preserve">İşe Giriş Tarihi</t>
  </si>
  <si>
    <t xml:space="preserve">Görev</t>
  </si>
  <si>
    <t xml:space="preserve">Kalan İzin (gün)</t>
  </si>
  <si>
    <t xml:space="preserve">S10001</t>
  </si>
  <si>
    <t xml:space="preserve">Buse Yıldız</t>
  </si>
  <si>
    <t xml:space="preserve">Mağaza 1A</t>
  </si>
  <si>
    <t xml:space="preserve">Vardiya Sorumlusu</t>
  </si>
  <si>
    <t xml:space="preserve">S10002</t>
  </si>
  <si>
    <t xml:space="preserve">Elif Öztürk</t>
  </si>
  <si>
    <t xml:space="preserve">Müdür Yardımcısı</t>
  </si>
  <si>
    <t xml:space="preserve">S10003</t>
  </si>
  <si>
    <t xml:space="preserve">Serkan Özdemir</t>
  </si>
  <si>
    <t xml:space="preserve">Barista</t>
  </si>
  <si>
    <t xml:space="preserve">S10004</t>
  </si>
  <si>
    <t xml:space="preserve">Onur Yılmaz</t>
  </si>
  <si>
    <t xml:space="preserve">S10005</t>
  </si>
  <si>
    <t xml:space="preserve">İrem Yıldız</t>
  </si>
  <si>
    <t xml:space="preserve">S10006</t>
  </si>
  <si>
    <t xml:space="preserve">Cem Öztürk</t>
  </si>
  <si>
    <t xml:space="preserve">S10007</t>
  </si>
  <si>
    <t xml:space="preserve">Tolga Koç</t>
  </si>
  <si>
    <t xml:space="preserve">S10008</t>
  </si>
  <si>
    <t xml:space="preserve">İrem Koç</t>
  </si>
  <si>
    <t xml:space="preserve">S10009</t>
  </si>
  <si>
    <t xml:space="preserve">Pınar Polat</t>
  </si>
  <si>
    <t xml:space="preserve">Mağaza 1B</t>
  </si>
  <si>
    <t xml:space="preserve">S10010</t>
  </si>
  <si>
    <t xml:space="preserve">Burak Kılıç</t>
  </si>
  <si>
    <t xml:space="preserve">S10011</t>
  </si>
  <si>
    <t xml:space="preserve">Ece Aslan</t>
  </si>
  <si>
    <t xml:space="preserve">S10012</t>
  </si>
  <si>
    <t xml:space="preserve">Kaan Aslan</t>
  </si>
  <si>
    <t xml:space="preserve">S10013</t>
  </si>
  <si>
    <t xml:space="preserve">Can Yılmaz</t>
  </si>
  <si>
    <t xml:space="preserve">S10014</t>
  </si>
  <si>
    <t xml:space="preserve">Can Demir</t>
  </si>
  <si>
    <t xml:space="preserve">S10015</t>
  </si>
  <si>
    <t xml:space="preserve">Mehmet Arslan</t>
  </si>
  <si>
    <t xml:space="preserve">S10016</t>
  </si>
  <si>
    <t xml:space="preserve">Ece Çelik</t>
  </si>
  <si>
    <t xml:space="preserve">Mağaza 1C</t>
  </si>
  <si>
    <t xml:space="preserve">S10017</t>
  </si>
  <si>
    <t xml:space="preserve">Gizem Polat</t>
  </si>
  <si>
    <t xml:space="preserve">S10018</t>
  </si>
  <si>
    <t xml:space="preserve">Kaan Polat</t>
  </si>
  <si>
    <t xml:space="preserve">S10019</t>
  </si>
  <si>
    <t xml:space="preserve">Elif Yılmaz</t>
  </si>
  <si>
    <t xml:space="preserve">S10020</t>
  </si>
  <si>
    <t xml:space="preserve">Gizem Öztürk</t>
  </si>
  <si>
    <t xml:space="preserve">S10021</t>
  </si>
  <si>
    <t xml:space="preserve">Emre Koç</t>
  </si>
  <si>
    <t xml:space="preserve">S10022</t>
  </si>
  <si>
    <t xml:space="preserve">Emre Doğan</t>
  </si>
  <si>
    <t xml:space="preserve">S10023</t>
  </si>
  <si>
    <t xml:space="preserve">Can Koç</t>
  </si>
  <si>
    <t xml:space="preserve">Mağaza 2A</t>
  </si>
  <si>
    <t xml:space="preserve">S10024</t>
  </si>
  <si>
    <t xml:space="preserve">Buse Kaya</t>
  </si>
  <si>
    <t xml:space="preserve">S10025</t>
  </si>
  <si>
    <t xml:space="preserve">Can Öztürk</t>
  </si>
  <si>
    <t xml:space="preserve">S10026</t>
  </si>
  <si>
    <t xml:space="preserve">Melis Çelik</t>
  </si>
  <si>
    <t xml:space="preserve">S10027</t>
  </si>
  <si>
    <t xml:space="preserve">Emre Kaya</t>
  </si>
  <si>
    <t xml:space="preserve">S10028</t>
  </si>
  <si>
    <t xml:space="preserve">Tolga Aydın</t>
  </si>
  <si>
    <t xml:space="preserve">S10029</t>
  </si>
  <si>
    <t xml:space="preserve">Ece Kurt</t>
  </si>
  <si>
    <t xml:space="preserve">S10030</t>
  </si>
  <si>
    <t xml:space="preserve">Umut Özdemir</t>
  </si>
  <si>
    <t xml:space="preserve">Mağaza 2B</t>
  </si>
  <si>
    <t xml:space="preserve">S10031</t>
  </si>
  <si>
    <t xml:space="preserve">Ayşe Kaya</t>
  </si>
  <si>
    <t xml:space="preserve">S10032</t>
  </si>
  <si>
    <t xml:space="preserve">Melis Kurt</t>
  </si>
  <si>
    <t xml:space="preserve">S10033</t>
  </si>
  <si>
    <t xml:space="preserve">Gizem Demir</t>
  </si>
  <si>
    <t xml:space="preserve">S10034</t>
  </si>
  <si>
    <t xml:space="preserve">Deniz Özdemir</t>
  </si>
  <si>
    <t xml:space="preserve">S10035</t>
  </si>
  <si>
    <t xml:space="preserve">Buse Yılmaz</t>
  </si>
  <si>
    <t xml:space="preserve">Mağaza 2C</t>
  </si>
  <si>
    <t xml:space="preserve">S10036</t>
  </si>
  <si>
    <t xml:space="preserve">Zeynep Yıldız</t>
  </si>
  <si>
    <t xml:space="preserve">S10037</t>
  </si>
  <si>
    <t xml:space="preserve">Emre Yıldız</t>
  </si>
  <si>
    <t xml:space="preserve">S10038</t>
  </si>
  <si>
    <t xml:space="preserve">Umut Aydın</t>
  </si>
  <si>
    <t xml:space="preserve">S10039</t>
  </si>
  <si>
    <t xml:space="preserve">Elif Aydın</t>
  </si>
  <si>
    <t xml:space="preserve">S10040</t>
  </si>
  <si>
    <t xml:space="preserve">Melis Özdemir</t>
  </si>
  <si>
    <t xml:space="preserve">S10041</t>
  </si>
  <si>
    <t xml:space="preserve">Melis Arslan</t>
  </si>
  <si>
    <t xml:space="preserve">S10042</t>
  </si>
  <si>
    <t xml:space="preserve">Derya Kaya</t>
  </si>
  <si>
    <t xml:space="preserve">Mağaza 3A</t>
  </si>
  <si>
    <t xml:space="preserve">S10043</t>
  </si>
  <si>
    <t xml:space="preserve">Elif Şahin</t>
  </si>
  <si>
    <t xml:space="preserve">S10044</t>
  </si>
  <si>
    <t xml:space="preserve">Elif Kurt</t>
  </si>
  <si>
    <t xml:space="preserve">S10045</t>
  </si>
  <si>
    <t xml:space="preserve">Burak Özdemir</t>
  </si>
  <si>
    <t xml:space="preserve">S10046</t>
  </si>
  <si>
    <t xml:space="preserve">Oğuz Aydın</t>
  </si>
  <si>
    <t xml:space="preserve">S10047</t>
  </si>
  <si>
    <t xml:space="preserve">Cem Polat</t>
  </si>
  <si>
    <t xml:space="preserve">S10048</t>
  </si>
  <si>
    <t xml:space="preserve">Gizem Yılmaz</t>
  </si>
  <si>
    <t xml:space="preserve">Mağaza 3B</t>
  </si>
  <si>
    <t xml:space="preserve">S10049</t>
  </si>
  <si>
    <t xml:space="preserve">Deniz Aslan</t>
  </si>
  <si>
    <t xml:space="preserve">S10050</t>
  </si>
  <si>
    <t xml:space="preserve">Selin Koç</t>
  </si>
  <si>
    <t xml:space="preserve">S10051</t>
  </si>
  <si>
    <t xml:space="preserve">Kaan Aydın</t>
  </si>
  <si>
    <t xml:space="preserve">S10052</t>
  </si>
  <si>
    <t xml:space="preserve">Burak Aydın</t>
  </si>
  <si>
    <t xml:space="preserve">S10053</t>
  </si>
  <si>
    <t xml:space="preserve">S10054</t>
  </si>
  <si>
    <t xml:space="preserve">Selin Kaya</t>
  </si>
  <si>
    <t xml:space="preserve">S10055</t>
  </si>
  <si>
    <t xml:space="preserve">Mağaza 3C</t>
  </si>
  <si>
    <t xml:space="preserve">S10056</t>
  </si>
  <si>
    <t xml:space="preserve">Melis Yıldız</t>
  </si>
  <si>
    <t xml:space="preserve">S10057</t>
  </si>
  <si>
    <t xml:space="preserve">Tolga Doğan</t>
  </si>
  <si>
    <t xml:space="preserve">S10058</t>
  </si>
  <si>
    <t xml:space="preserve">S10059</t>
  </si>
  <si>
    <t xml:space="preserve">Kaan Yılmaz</t>
  </si>
  <si>
    <t xml:space="preserve">S10060</t>
  </si>
  <si>
    <t xml:space="preserve">Buse Doğan</t>
  </si>
  <si>
    <t xml:space="preserve">S10061</t>
  </si>
  <si>
    <t xml:space="preserve">Gizem Aydın</t>
  </si>
  <si>
    <t xml:space="preserve">Mağaza 4A</t>
  </si>
  <si>
    <t xml:space="preserve">S10062</t>
  </si>
  <si>
    <t xml:space="preserve">S10063</t>
  </si>
  <si>
    <t xml:space="preserve">Mert Çelik</t>
  </si>
  <si>
    <t xml:space="preserve">S10064</t>
  </si>
  <si>
    <t xml:space="preserve">Umut Doğan</t>
  </si>
  <si>
    <t xml:space="preserve">S10065</t>
  </si>
  <si>
    <t xml:space="preserve">Cem Kaya</t>
  </si>
  <si>
    <t xml:space="preserve">S10066</t>
  </si>
  <si>
    <t xml:space="preserve">Onur Koç</t>
  </si>
  <si>
    <t xml:space="preserve">S10067</t>
  </si>
  <si>
    <t xml:space="preserve">Oğuz Özdemir</t>
  </si>
  <si>
    <t xml:space="preserve">Mağaza 4B</t>
  </si>
  <si>
    <t xml:space="preserve">S10068</t>
  </si>
  <si>
    <t xml:space="preserve">Burak Çelik</t>
  </si>
  <si>
    <t xml:space="preserve">S10069</t>
  </si>
  <si>
    <t xml:space="preserve">Deniz Çelik</t>
  </si>
  <si>
    <t xml:space="preserve">S10070</t>
  </si>
  <si>
    <t xml:space="preserve">Gizem Aslan</t>
  </si>
  <si>
    <t xml:space="preserve">S10071</t>
  </si>
  <si>
    <t xml:space="preserve">Pınar Kurt</t>
  </si>
  <si>
    <t xml:space="preserve">S10072</t>
  </si>
  <si>
    <t xml:space="preserve">S10073</t>
  </si>
  <si>
    <t xml:space="preserve">Ayşe Aslan</t>
  </si>
  <si>
    <t xml:space="preserve">S10074</t>
  </si>
  <si>
    <t xml:space="preserve">Oğuz Öztürk</t>
  </si>
  <si>
    <t xml:space="preserve">S10075</t>
  </si>
  <si>
    <t xml:space="preserve">Derya Demir</t>
  </si>
  <si>
    <t xml:space="preserve">Mağaza 4C</t>
  </si>
  <si>
    <t xml:space="preserve">S10076</t>
  </si>
  <si>
    <t xml:space="preserve">Ece Kılıç</t>
  </si>
  <si>
    <t xml:space="preserve">S10077</t>
  </si>
  <si>
    <t xml:space="preserve">Ayşe Yıldız</t>
  </si>
  <si>
    <t xml:space="preserve">S10078</t>
  </si>
  <si>
    <t xml:space="preserve">S10079</t>
  </si>
  <si>
    <t xml:space="preserve">Burak Öztürk</t>
  </si>
  <si>
    <t xml:space="preserve">S10080</t>
  </si>
  <si>
    <t xml:space="preserve">S10081</t>
  </si>
  <si>
    <t xml:space="preserve">S10082</t>
  </si>
  <si>
    <t xml:space="preserve">Selin Polat</t>
  </si>
  <si>
    <t xml:space="preserve">S10083</t>
  </si>
  <si>
    <t xml:space="preserve">Mert Kaya</t>
  </si>
  <si>
    <t xml:space="preserve">Mağaza 5A</t>
  </si>
  <si>
    <t xml:space="preserve">S10084</t>
  </si>
  <si>
    <t xml:space="preserve">Elif Çelik</t>
  </si>
  <si>
    <t xml:space="preserve">S10085</t>
  </si>
  <si>
    <t xml:space="preserve">İrem Öztürk</t>
  </si>
  <si>
    <t xml:space="preserve">S10086</t>
  </si>
  <si>
    <t xml:space="preserve">S10087</t>
  </si>
  <si>
    <t xml:space="preserve">Mert Kılıç</t>
  </si>
  <si>
    <t xml:space="preserve">S10088</t>
  </si>
  <si>
    <t xml:space="preserve">Can Kaya</t>
  </si>
  <si>
    <t xml:space="preserve">S10089</t>
  </si>
  <si>
    <t xml:space="preserve">Mağaza 5B</t>
  </si>
  <si>
    <t xml:space="preserve">S10090</t>
  </si>
  <si>
    <t xml:space="preserve">Pınar Yıldız</t>
  </si>
  <si>
    <t xml:space="preserve">S10091</t>
  </si>
  <si>
    <t xml:space="preserve">Elif Doğan</t>
  </si>
  <si>
    <t xml:space="preserve">S10092</t>
  </si>
  <si>
    <t xml:space="preserve">S10093</t>
  </si>
  <si>
    <t xml:space="preserve">Serkan Öztürk</t>
  </si>
  <si>
    <t xml:space="preserve">S10094</t>
  </si>
  <si>
    <t xml:space="preserve">Pınar Aydın</t>
  </si>
  <si>
    <t xml:space="preserve">S10095</t>
  </si>
  <si>
    <t xml:space="preserve">Mehmet Çelik</t>
  </si>
  <si>
    <t xml:space="preserve">Mağaza 5C</t>
  </si>
  <si>
    <t xml:space="preserve">S10096</t>
  </si>
  <si>
    <t xml:space="preserve">Mehmet Demir</t>
  </si>
  <si>
    <t xml:space="preserve">S10097</t>
  </si>
  <si>
    <t xml:space="preserve">İrem Doğan</t>
  </si>
  <si>
    <t xml:space="preserve">S10098</t>
  </si>
  <si>
    <t xml:space="preserve">Ayşe Kurt</t>
  </si>
  <si>
    <t xml:space="preserve">S10099</t>
  </si>
  <si>
    <t xml:space="preserve">Onur Çelik</t>
  </si>
  <si>
    <t xml:space="preserve">S10100</t>
  </si>
  <si>
    <t xml:space="preserve">Zeynep Arslan</t>
  </si>
  <si>
    <t xml:space="preserve">S10101</t>
  </si>
  <si>
    <t xml:space="preserve">Mağaza 5D</t>
  </si>
  <si>
    <t xml:space="preserve">S10102</t>
  </si>
  <si>
    <t xml:space="preserve">S10103</t>
  </si>
  <si>
    <t xml:space="preserve">S10104</t>
  </si>
  <si>
    <t xml:space="preserve">Melis Doğan</t>
  </si>
  <si>
    <t xml:space="preserve">S10105</t>
  </si>
  <si>
    <t xml:space="preserve">S10106</t>
  </si>
  <si>
    <t xml:space="preserve">Can Yıldız</t>
  </si>
  <si>
    <t xml:space="preserve">S10107</t>
  </si>
  <si>
    <t xml:space="preserve">Tolga Şahin</t>
  </si>
  <si>
    <t xml:space="preserve">Mağaza 6A</t>
  </si>
  <si>
    <t xml:space="preserve">S10108</t>
  </si>
  <si>
    <t xml:space="preserve">Oğuz Yılmaz</t>
  </si>
  <si>
    <t xml:space="preserve">S10109</t>
  </si>
  <si>
    <t xml:space="preserve">S10110</t>
  </si>
  <si>
    <t xml:space="preserve">Burak Doğan</t>
  </si>
  <si>
    <t xml:space="preserve">S10111</t>
  </si>
  <si>
    <t xml:space="preserve">Selin Aslan</t>
  </si>
  <si>
    <t xml:space="preserve">S10112</t>
  </si>
  <si>
    <t xml:space="preserve">Deniz Öztürk</t>
  </si>
  <si>
    <t xml:space="preserve">Mağaza 6B</t>
  </si>
  <si>
    <t xml:space="preserve">S10113</t>
  </si>
  <si>
    <t xml:space="preserve">Umut Polat</t>
  </si>
  <si>
    <t xml:space="preserve">S10114</t>
  </si>
  <si>
    <t xml:space="preserve">Oğuz Polat</t>
  </si>
  <si>
    <t xml:space="preserve">S10115</t>
  </si>
  <si>
    <t xml:space="preserve">Tolga Yıldız</t>
  </si>
  <si>
    <t xml:space="preserve">S10116</t>
  </si>
  <si>
    <t xml:space="preserve">Tolga Arslan</t>
  </si>
  <si>
    <t xml:space="preserve">S10117</t>
  </si>
  <si>
    <t xml:space="preserve">Gizem Şahin</t>
  </si>
  <si>
    <t xml:space="preserve">S10118</t>
  </si>
  <si>
    <t xml:space="preserve">Ayşe Öztürk</t>
  </si>
  <si>
    <t xml:space="preserve">S10119</t>
  </si>
  <si>
    <t xml:space="preserve">Can Kurt</t>
  </si>
  <si>
    <t xml:space="preserve">S10120</t>
  </si>
  <si>
    <t xml:space="preserve">Umut Arslan</t>
  </si>
  <si>
    <t xml:space="preserve">Mağaza 6C</t>
  </si>
  <si>
    <t xml:space="preserve">S10121</t>
  </si>
  <si>
    <t xml:space="preserve">S10122</t>
  </si>
  <si>
    <t xml:space="preserve">S10123</t>
  </si>
  <si>
    <t xml:space="preserve">Can Kılıç</t>
  </si>
  <si>
    <t xml:space="preserve">S10124</t>
  </si>
  <si>
    <t xml:space="preserve">S10125</t>
  </si>
  <si>
    <t xml:space="preserve">Derya Koç</t>
  </si>
  <si>
    <t xml:space="preserve">S10126</t>
  </si>
  <si>
    <t xml:space="preserve">Mağaza 6D</t>
  </si>
  <si>
    <t xml:space="preserve">S10127</t>
  </si>
  <si>
    <t xml:space="preserve">Gizem Kılıç</t>
  </si>
  <si>
    <t xml:space="preserve">S10128</t>
  </si>
  <si>
    <t xml:space="preserve">Melis Kaya</t>
  </si>
  <si>
    <t xml:space="preserve">S10129</t>
  </si>
  <si>
    <t xml:space="preserve">Emre Özdemir</t>
  </si>
  <si>
    <t xml:space="preserve">S10130</t>
  </si>
  <si>
    <t xml:space="preserve">Serkan Kaya</t>
  </si>
  <si>
    <t xml:space="preserve">S10131</t>
  </si>
  <si>
    <t xml:space="preserve">Selin Öztürk</t>
  </si>
  <si>
    <t xml:space="preserve">S10132</t>
  </si>
  <si>
    <t xml:space="preserve">Oğuz Kurt</t>
  </si>
  <si>
    <t xml:space="preserve">S10133</t>
  </si>
  <si>
    <t xml:space="preserve">Mert Doğan</t>
  </si>
  <si>
    <t xml:space="preserve">S10134</t>
  </si>
  <si>
    <t xml:space="preserve">Bölge 7</t>
  </si>
  <si>
    <t xml:space="preserve">Mağaza 7A</t>
  </si>
  <si>
    <t xml:space="preserve">S10135</t>
  </si>
  <si>
    <t xml:space="preserve">Elif Yıldız</t>
  </si>
  <si>
    <t xml:space="preserve">S10136</t>
  </si>
  <si>
    <t xml:space="preserve">Melis Polat</t>
  </si>
  <si>
    <t xml:space="preserve">S10137</t>
  </si>
  <si>
    <t xml:space="preserve">S10138</t>
  </si>
  <si>
    <t xml:space="preserve">Deniz Yılmaz</t>
  </si>
  <si>
    <t xml:space="preserve">S10139</t>
  </si>
  <si>
    <t xml:space="preserve">Deniz Şahin</t>
  </si>
  <si>
    <t xml:space="preserve">Mağaza 7B</t>
  </si>
  <si>
    <t xml:space="preserve">S10140</t>
  </si>
  <si>
    <t xml:space="preserve">Mehmet Öztürk</t>
  </si>
  <si>
    <t xml:space="preserve">S10141</t>
  </si>
  <si>
    <t xml:space="preserve">Cem Arslan</t>
  </si>
  <si>
    <t xml:space="preserve">S10142</t>
  </si>
  <si>
    <t xml:space="preserve">S10143</t>
  </si>
  <si>
    <t xml:space="preserve">Gizem Kaya</t>
  </si>
  <si>
    <t xml:space="preserve">S10144</t>
  </si>
  <si>
    <t xml:space="preserve">S10145</t>
  </si>
  <si>
    <t xml:space="preserve">Burak Yılmaz</t>
  </si>
  <si>
    <t xml:space="preserve">Mağaza 7C</t>
  </si>
  <si>
    <t xml:space="preserve">S10146</t>
  </si>
  <si>
    <t xml:space="preserve">S10147</t>
  </si>
  <si>
    <t xml:space="preserve">Ece Aydın</t>
  </si>
  <si>
    <t xml:space="preserve">S10148</t>
  </si>
  <si>
    <t xml:space="preserve">Gizem Koç</t>
  </si>
  <si>
    <t xml:space="preserve">S10149</t>
  </si>
  <si>
    <t xml:space="preserve">S10150</t>
  </si>
  <si>
    <t xml:space="preserve">Deniz Aydın</t>
  </si>
  <si>
    <t xml:space="preserve">Mağaza 7D</t>
  </si>
  <si>
    <t xml:space="preserve">S10151</t>
  </si>
  <si>
    <t xml:space="preserve">Onur Doğan</t>
  </si>
  <si>
    <t xml:space="preserve">S10152</t>
  </si>
  <si>
    <t xml:space="preserve">Deniz Yıldız</t>
  </si>
  <si>
    <t xml:space="preserve">S10153</t>
  </si>
  <si>
    <t xml:space="preserve">Gizem Kurt</t>
  </si>
  <si>
    <t xml:space="preserve">S10154</t>
  </si>
  <si>
    <t xml:space="preserve">S10155</t>
  </si>
  <si>
    <t xml:space="preserve">Buse Çelik</t>
  </si>
  <si>
    <t xml:space="preserve">S10156</t>
  </si>
  <si>
    <t xml:space="preserve">S10157</t>
  </si>
  <si>
    <t xml:space="preserve">Bölge 8</t>
  </si>
  <si>
    <t xml:space="preserve">Mağaza 8A</t>
  </si>
  <si>
    <t xml:space="preserve">S10158</t>
  </si>
  <si>
    <t xml:space="preserve">S10159</t>
  </si>
  <si>
    <t xml:space="preserve">S10160</t>
  </si>
  <si>
    <t xml:space="preserve">Burak Polat</t>
  </si>
  <si>
    <t xml:space="preserve">S10161</t>
  </si>
  <si>
    <t xml:space="preserve">S10162</t>
  </si>
  <si>
    <t xml:space="preserve">Mert Öztürk</t>
  </si>
  <si>
    <t xml:space="preserve">S10163</t>
  </si>
  <si>
    <t xml:space="preserve">Ece Yılmaz</t>
  </si>
  <si>
    <t xml:space="preserve">S10164</t>
  </si>
  <si>
    <t xml:space="preserve">S10165</t>
  </si>
  <si>
    <t xml:space="preserve">Mağaza 8B</t>
  </si>
  <si>
    <t xml:space="preserve">S10166</t>
  </si>
  <si>
    <t xml:space="preserve">S10167</t>
  </si>
  <si>
    <t xml:space="preserve">Derya Aydın</t>
  </si>
  <si>
    <t xml:space="preserve">S10168</t>
  </si>
  <si>
    <t xml:space="preserve">S10169</t>
  </si>
  <si>
    <t xml:space="preserve">S10170</t>
  </si>
  <si>
    <t xml:space="preserve">Kaan Doğan</t>
  </si>
  <si>
    <t xml:space="preserve">Mağaza 8C</t>
  </si>
  <si>
    <t xml:space="preserve">S10171</t>
  </si>
  <si>
    <t xml:space="preserve">Gizem Özdemir</t>
  </si>
  <si>
    <t xml:space="preserve">S10172</t>
  </si>
  <si>
    <t xml:space="preserve">S10173</t>
  </si>
  <si>
    <t xml:space="preserve">Emre Aslan</t>
  </si>
  <si>
    <t xml:space="preserve">S10174</t>
  </si>
  <si>
    <t xml:space="preserve">Oğuz Çelik</t>
  </si>
  <si>
    <t xml:space="preserve">S10175</t>
  </si>
  <si>
    <t xml:space="preserve">Onur Kaya</t>
  </si>
  <si>
    <t xml:space="preserve">S10176</t>
  </si>
  <si>
    <t xml:space="preserve">S10177</t>
  </si>
  <si>
    <t xml:space="preserve">Onur Demir</t>
  </si>
  <si>
    <t xml:space="preserve">S10178</t>
  </si>
  <si>
    <t xml:space="preserve">Zeynep Aydın</t>
  </si>
  <si>
    <t xml:space="preserve">Mağaza 8D</t>
  </si>
  <si>
    <t xml:space="preserve">S10179</t>
  </si>
  <si>
    <t xml:space="preserve">Cem Doğan</t>
  </si>
  <si>
    <t xml:space="preserve">S10180</t>
  </si>
  <si>
    <t xml:space="preserve">S10181</t>
  </si>
  <si>
    <t xml:space="preserve">Tolga Özdemir</t>
  </si>
  <si>
    <t xml:space="preserve">S10182</t>
  </si>
  <si>
    <t xml:space="preserve">İrem Aslan</t>
  </si>
  <si>
    <t xml:space="preserve">S10183</t>
  </si>
  <si>
    <t xml:space="preserve">S10184</t>
  </si>
  <si>
    <t xml:space="preserve">Mehmet Özdemir</t>
  </si>
  <si>
    <t xml:space="preserve">S10185</t>
  </si>
  <si>
    <t xml:space="preserve">Buse Şahin</t>
  </si>
  <si>
    <t xml:space="preserve">S10186</t>
  </si>
  <si>
    <t xml:space="preserve">Deniz Doğan</t>
  </si>
  <si>
    <t xml:space="preserve">S10187</t>
  </si>
  <si>
    <t xml:space="preserve">İrem Yılmaz</t>
  </si>
  <si>
    <t xml:space="preserve">S10188</t>
  </si>
  <si>
    <t xml:space="preserve">S10189</t>
  </si>
  <si>
    <t xml:space="preserve">Ayrıldı mı? (yardımcı)</t>
  </si>
  <si>
    <t xml:space="preserve">S10190</t>
  </si>
  <si>
    <t xml:space="preserve">Zeynep Demir</t>
  </si>
  <si>
    <t xml:space="preserve">S10191</t>
  </si>
  <si>
    <t xml:space="preserve">S10192</t>
  </si>
  <si>
    <t xml:space="preserve">Ayşe Arslan</t>
  </si>
  <si>
    <t xml:space="preserve">S10193</t>
  </si>
  <si>
    <t xml:space="preserve">Emre Öztürk</t>
  </si>
  <si>
    <t xml:space="preserve">S10194</t>
  </si>
  <si>
    <t xml:space="preserve">S10195</t>
  </si>
  <si>
    <t xml:space="preserve">Oğuz Doğan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</si>
</sst>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\+0;\-0;0"/>
    <numFmt numFmtId="168" formatCode="dd\.mm\.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E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0000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2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Biriken izin: önceki ve güncel dönem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Ozet!J3</c:f>
              <c:strCache>
                <c:ptCount val="1"/>
                <c:pt idx="0">
                  <c:v>Önceki Biriken (gün)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Ozet!$A$4:$A$9</c:f>
              <c:strCache>
                <c:ptCount val="6"/>
                <c:pt idx="0">
                  <c:v>Bölge 1</c:v>
                </c:pt>
                <c:pt idx="1">
                  <c:v>Bölge 2</c:v>
                </c:pt>
                <c:pt idx="2">
                  <c:v>Bölge 3</c:v>
                </c:pt>
                <c:pt idx="3">
                  <c:v>Bölge 4</c:v>
                </c:pt>
                <c:pt idx="4">
                  <c:v>Bölge 5</c:v>
                </c:pt>
                <c:pt idx="5">
                  <c:v>Bölge 6</c:v>
                </c:pt>
              </c:strCache>
            </c:strRef>
          </c:cat>
          <c:val>
            <c:numRef>
              <c:f>Ozet!$J$4:$J$9</c:f>
              <c:numCache>
                <c:formatCode>General</c:formatCode>
                <c:ptCount val="6"/>
                <c:pt idx="0">
                  <c:v>267</c:v>
                </c:pt>
                <c:pt idx="1">
                  <c:v>203</c:v>
                </c:pt>
                <c:pt idx="2">
                  <c:v>314</c:v>
                </c:pt>
                <c:pt idx="3">
                  <c:v>280</c:v>
                </c:pt>
                <c:pt idx="4">
                  <c:v>364</c:v>
                </c:pt>
                <c:pt idx="5">
                  <c:v>375</c:v>
                </c:pt>
              </c:numCache>
            </c:numRef>
          </c:val>
        </c:ser>
        <c:ser>
          <c:idx val="1"/>
          <c:order val="1"/>
          <c:tx>
            <c:strRef>
              <c:f>Ozet!C3</c:f>
              <c:strCache>
                <c:ptCount val="1"/>
                <c:pt idx="0">
                  <c:v>Biriken İzin (gün)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Ozet!$A$4:$A$9</c:f>
              <c:strCache>
                <c:ptCount val="6"/>
                <c:pt idx="0">
                  <c:v>Bölge 1</c:v>
                </c:pt>
                <c:pt idx="1">
                  <c:v>Bölge 2</c:v>
                </c:pt>
                <c:pt idx="2">
                  <c:v>Bölge 3</c:v>
                </c:pt>
                <c:pt idx="3">
                  <c:v>Bölge 4</c:v>
                </c:pt>
                <c:pt idx="4">
                  <c:v>Bölge 5</c:v>
                </c:pt>
                <c:pt idx="5">
                  <c:v>Bölge 6</c:v>
                </c:pt>
              </c:strCache>
            </c:strRef>
          </c:cat>
          <c:val>
            <c:numRef>
              <c:f>Ozet!$C$4:$C$9</c:f>
              <c:numCache>
                <c:formatCode>General</c:formatCode>
                <c:ptCount val="6"/>
                <c:pt idx="0">
                  <c:v>235</c:v>
                </c:pt>
                <c:pt idx="1">
                  <c:v>231</c:v>
                </c:pt>
                <c:pt idx="2">
                  <c:v>265</c:v>
                </c:pt>
                <c:pt idx="3">
                  <c:v>238</c:v>
                </c:pt>
                <c:pt idx="4">
                  <c:v>370</c:v>
                </c:pt>
                <c:pt idx="5">
                  <c:v>392</c:v>
                </c:pt>
              </c:numCache>
            </c:numRef>
          </c:val>
        </c:ser>
        <c:gapWidth val="150"/>
        <c:overlap val="0"/>
        <c:axId val="63797683"/>
        <c:axId val="4133714"/>
      </c:barChart>
      <c:catAx>
        <c:axId val="637976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3714"/>
        <c:crosses val="autoZero"/>
        <c:auto val="1"/>
        <c:lblAlgn val="ctr"/>
        <c:lblOffset val="100"/>
        <c:noMultiLvlLbl val="0"/>
      </c:catAx>
      <c:valAx>
        <c:axId val="4133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Gün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97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Planlanması gereken kişi sayısı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Ozet!E3</c:f>
              <c:strCache>
                <c:ptCount val="1"/>
                <c:pt idx="0">
                  <c:v>14+ Gün (kişi)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Ozet!$A$4:$A$9</c:f>
              <c:strCache>
                <c:ptCount val="6"/>
                <c:pt idx="0">
                  <c:v>Bölge 1</c:v>
                </c:pt>
                <c:pt idx="1">
                  <c:v>Bölge 2</c:v>
                </c:pt>
                <c:pt idx="2">
                  <c:v>Bölge 3</c:v>
                </c:pt>
                <c:pt idx="3">
                  <c:v>Bölge 4</c:v>
                </c:pt>
                <c:pt idx="4">
                  <c:v>Bölge 5</c:v>
                </c:pt>
                <c:pt idx="5">
                  <c:v>Bölge 6</c:v>
                </c:pt>
              </c:strCache>
            </c:strRef>
          </c:cat>
          <c:val>
            <c:numRef>
              <c:f>Ozet!$E$4:$E$9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</c:numCache>
            </c:numRef>
          </c:val>
        </c:ser>
        <c:ser>
          <c:idx val="1"/>
          <c:order val="1"/>
          <c:tx>
            <c:strRef>
              <c:f>Ozet!F3</c:f>
              <c:strCache>
                <c:ptCount val="1"/>
                <c:pt idx="0">
                  <c:v>20+ Gün (kişi)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Ozet!$A$4:$A$9</c:f>
              <c:strCache>
                <c:ptCount val="6"/>
                <c:pt idx="0">
                  <c:v>Bölge 1</c:v>
                </c:pt>
                <c:pt idx="1">
                  <c:v>Bölge 2</c:v>
                </c:pt>
                <c:pt idx="2">
                  <c:v>Bölge 3</c:v>
                </c:pt>
                <c:pt idx="3">
                  <c:v>Bölge 4</c:v>
                </c:pt>
                <c:pt idx="4">
                  <c:v>Bölge 5</c:v>
                </c:pt>
                <c:pt idx="5">
                  <c:v>Bölge 6</c:v>
                </c:pt>
              </c:strCache>
            </c:strRef>
          </c:cat>
          <c:val>
            <c:numRef>
              <c:f>Ozet!$F$4:$F$9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</c:ser>
        <c:gapWidth val="150"/>
        <c:overlap val="0"/>
        <c:axId val="70147353"/>
        <c:axId val="47466704"/>
      </c:barChart>
      <c:catAx>
        <c:axId val="70147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66704"/>
        <c:crosses val="autoZero"/>
        <c:auto val="1"/>
        <c:lblAlgn val="ctr"/>
        <c:lblOffset val="100"/>
        <c:noMultiLvlLbl val="0"/>
      </c:catAx>
      <c:valAx>
        <c:axId val="47466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Kişi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47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175680</xdr:rowOff>
    </xdr:from>
    <xdr:to>
      <xdr:col>7</xdr:col>
      <xdr:colOff>332280</xdr:colOff>
      <xdr:row>28</xdr:row>
      <xdr:rowOff>18000</xdr:rowOff>
    </xdr:to>
    <xdr:graphicFrame>
      <xdr:nvGraphicFramePr>
        <xdr:cNvPr id="0" name="Chart 1"/>
        <xdr:cNvGraphicFramePr/>
      </xdr:nvGraphicFramePr>
      <xdr:xfrm>
        <a:off x="0" y="28764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175680</xdr:rowOff>
    </xdr:from>
    <xdr:to>
      <xdr:col>14</xdr:col>
      <xdr:colOff>496080</xdr:colOff>
      <xdr:row>28</xdr:row>
      <xdr:rowOff>18000</xdr:rowOff>
    </xdr:to>
    <xdr:graphicFrame>
      <xdr:nvGraphicFramePr>
        <xdr:cNvPr id="1" name="Chart 2"/>
        <xdr:cNvGraphicFramePr/>
      </xdr:nvGraphicFramePr>
      <xdr:xfrm>
        <a:off x="5427360" y="28764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" t="str">
        <f aca="false">"Bölge İzin Özeti — "&amp;TEXT(Ayarlar!$B$3,"dd.mm.yyyy")&amp;" (önceki: "&amp;TEXT(Ayarlar!$B$4,"dd.mm.yyyy")&amp;")"</f>
        <v>Bölge İzin Özeti — 14.09.2026 (önceki: 31.07.2026)</v>
      </c>
    </row>
    <row r="3" customFormat="false" ht="31.5" hidden="false" customHeight="tru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</row>
    <row r="4" customFormat="false" ht="15" hidden="false" customHeight="false" outlineLevel="0" collapsed="false">
      <c r="A4" s="6" t="str">
        <f aca="false">Ayarlar!A15</f>
        <v>Bölge 1</v>
      </c>
      <c r="B4" s="7" t="n">
        <f aca="false">COUNTIFS(Takip!$C$2:$C$501,A4,Takip!$G$2:$G$501,1)</f>
        <v>23</v>
      </c>
      <c r="C4" s="7" t="n">
        <f aca="false">SUMIFS(Takip!$M$2:$M$501,Takip!$C$2:$C$501,A4)</f>
        <v>235</v>
      </c>
      <c r="D4" s="8" t="n">
        <f aca="false">IF(B4=0,0,C4/B4)</f>
        <v>10.2173913043478</v>
      </c>
      <c r="E4" s="7" t="n">
        <f aca="false">COUNTIFS(Takip!$C$2:$C$501,A4,Takip!$M$2:$M$501,"&gt;="&amp;Ayarlar!$B$6)</f>
        <v>8</v>
      </c>
      <c r="F4" s="7" t="n">
        <f aca="false">COUNTIFS(Takip!$C$2:$C$501,A4,Takip!$M$2:$M$501,"&gt;="&amp;Ayarlar!$B$7)</f>
        <v>3</v>
      </c>
      <c r="G4" s="9" t="str">
        <f aca="false">IF(F4&gt;=Ayarlar!$B$8,"▲ ALARM",IF(E4&gt;0,"● Planla","✓"))</f>
        <v>● Planla</v>
      </c>
      <c r="H4" s="7" t="n">
        <f aca="false">COUNTIFS(Takip!$C$2:$C$501,A4,Takip!$R$2:$R$501,"Evet")</f>
        <v>3</v>
      </c>
      <c r="I4" s="7" t="n">
        <f aca="false">SUMIFS(Takip!$P$2:$P$501,Takip!$C$2:$C$501,A4)</f>
        <v>72</v>
      </c>
      <c r="J4" s="7" t="n">
        <f aca="false">SUMIFS(Veri_Onceki!$H:$H,Veri_Onceki!$C:$C,A4)</f>
        <v>267</v>
      </c>
      <c r="K4" s="10" t="n">
        <f aca="false">C4-J4</f>
        <v>-32</v>
      </c>
      <c r="L4" s="7" t="n">
        <f aca="false">COUNTIFS(Takip!$C$2:$C$501,A4,Takip!$S$2:$S$501,"Yeni personel")</f>
        <v>1</v>
      </c>
      <c r="M4" s="7" t="n">
        <f aca="false">COUNTIFS(Veri_Onceki!$C:$C,A4,Veri_Onceki!$I:$I,1)</f>
        <v>0</v>
      </c>
    </row>
    <row r="5" customFormat="false" ht="15" hidden="false" customHeight="false" outlineLevel="0" collapsed="false">
      <c r="A5" s="6" t="str">
        <f aca="false">Ayarlar!A16</f>
        <v>Bölge 2</v>
      </c>
      <c r="B5" s="7" t="n">
        <f aca="false">COUNTIFS(Takip!$C$2:$C$501,A5,Takip!$G$2:$G$501,1)</f>
        <v>20</v>
      </c>
      <c r="C5" s="7" t="n">
        <f aca="false">SUMIFS(Takip!$M$2:$M$501,Takip!$C$2:$C$501,A5)</f>
        <v>231</v>
      </c>
      <c r="D5" s="8" t="n">
        <f aca="false">IF(B5=0,0,C5/B5)</f>
        <v>11.55</v>
      </c>
      <c r="E5" s="7" t="n">
        <f aca="false">COUNTIFS(Takip!$C$2:$C$501,A5,Takip!$M$2:$M$501,"&gt;="&amp;Ayarlar!$B$6)</f>
        <v>10</v>
      </c>
      <c r="F5" s="7" t="n">
        <f aca="false">COUNTIFS(Takip!$C$2:$C$501,A5,Takip!$M$2:$M$501,"&gt;="&amp;Ayarlar!$B$7)</f>
        <v>3</v>
      </c>
      <c r="G5" s="9" t="str">
        <f aca="false">IF(F5&gt;=Ayarlar!$B$8,"▲ ALARM",IF(E5&gt;0,"● Planla","✓"))</f>
        <v>● Planla</v>
      </c>
      <c r="H5" s="7" t="n">
        <f aca="false">COUNTIFS(Takip!$C$2:$C$501,A5,Takip!$R$2:$R$501,"Evet")</f>
        <v>3</v>
      </c>
      <c r="I5" s="7" t="n">
        <f aca="false">SUMIFS(Takip!$P$2:$P$501,Takip!$C$2:$C$501,A5)</f>
        <v>46</v>
      </c>
      <c r="J5" s="7" t="n">
        <f aca="false">SUMIFS(Veri_Onceki!$H:$H,Veri_Onceki!$C:$C,A5)</f>
        <v>203</v>
      </c>
      <c r="K5" s="10" t="n">
        <f aca="false">C5-J5</f>
        <v>28</v>
      </c>
      <c r="L5" s="7" t="n">
        <f aca="false">COUNTIFS(Takip!$C$2:$C$501,A5,Takip!$S$2:$S$501,"Yeni personel")</f>
        <v>1</v>
      </c>
      <c r="M5" s="7" t="n">
        <f aca="false">COUNTIFS(Veri_Onceki!$C:$C,A5,Veri_Onceki!$I:$I,1)</f>
        <v>1</v>
      </c>
    </row>
    <row r="6" customFormat="false" ht="15" hidden="false" customHeight="false" outlineLevel="0" collapsed="false">
      <c r="A6" s="6" t="str">
        <f aca="false">Ayarlar!A17</f>
        <v>Bölge 3</v>
      </c>
      <c r="B6" s="7" t="n">
        <f aca="false">COUNTIFS(Takip!$C$2:$C$501,A6,Takip!$G$2:$G$501,1)</f>
        <v>20</v>
      </c>
      <c r="C6" s="7" t="n">
        <f aca="false">SUMIFS(Takip!$M$2:$M$501,Takip!$C$2:$C$501,A6)</f>
        <v>265</v>
      </c>
      <c r="D6" s="8" t="n">
        <f aca="false">IF(B6=0,0,C6/B6)</f>
        <v>13.25</v>
      </c>
      <c r="E6" s="7" t="n">
        <f aca="false">COUNTIFS(Takip!$C$2:$C$501,A6,Takip!$M$2:$M$501,"&gt;="&amp;Ayarlar!$B$6)</f>
        <v>12</v>
      </c>
      <c r="F6" s="7" t="n">
        <f aca="false">COUNTIFS(Takip!$C$2:$C$501,A6,Takip!$M$2:$M$501,"&gt;="&amp;Ayarlar!$B$7)</f>
        <v>4</v>
      </c>
      <c r="G6" s="9" t="str">
        <f aca="false">IF(F6&gt;=Ayarlar!$B$8,"▲ ALARM",IF(E6&gt;0,"● Planla","✓"))</f>
        <v>● Planla</v>
      </c>
      <c r="H6" s="7" t="n">
        <f aca="false">COUNTIFS(Takip!$C$2:$C$501,A6,Takip!$R$2:$R$501,"Evet")</f>
        <v>4</v>
      </c>
      <c r="I6" s="7" t="n">
        <f aca="false">SUMIFS(Takip!$P$2:$P$501,Takip!$C$2:$C$501,A6)</f>
        <v>59</v>
      </c>
      <c r="J6" s="7" t="n">
        <f aca="false">SUMIFS(Veri_Onceki!$H:$H,Veri_Onceki!$C:$C,A6)</f>
        <v>314</v>
      </c>
      <c r="K6" s="10" t="n">
        <f aca="false">C6-J6</f>
        <v>-49</v>
      </c>
      <c r="L6" s="7" t="n">
        <f aca="false">COUNTIFS(Takip!$C$2:$C$501,A6,Takip!$S$2:$S$501,"Yeni personel")</f>
        <v>1</v>
      </c>
      <c r="M6" s="7" t="n">
        <f aca="false">COUNTIFS(Veri_Onceki!$C:$C,A6,Veri_Onceki!$I:$I,1)</f>
        <v>1</v>
      </c>
    </row>
    <row r="7" customFormat="false" ht="15" hidden="false" customHeight="false" outlineLevel="0" collapsed="false">
      <c r="A7" s="6" t="str">
        <f aca="false">Ayarlar!A18</f>
        <v>Bölge 4</v>
      </c>
      <c r="B7" s="7" t="n">
        <f aca="false">COUNTIFS(Takip!$C$2:$C$501,A7,Takip!$G$2:$G$501,1)</f>
        <v>23</v>
      </c>
      <c r="C7" s="7" t="n">
        <f aca="false">SUMIFS(Takip!$M$2:$M$501,Takip!$C$2:$C$501,A7)</f>
        <v>238</v>
      </c>
      <c r="D7" s="8" t="n">
        <f aca="false">IF(B7=0,0,C7/B7)</f>
        <v>10.3478260869565</v>
      </c>
      <c r="E7" s="7" t="n">
        <f aca="false">COUNTIFS(Takip!$C$2:$C$501,A7,Takip!$M$2:$M$501,"&gt;="&amp;Ayarlar!$B$6)</f>
        <v>10</v>
      </c>
      <c r="F7" s="7" t="n">
        <f aca="false">COUNTIFS(Takip!$C$2:$C$501,A7,Takip!$M$2:$M$501,"&gt;="&amp;Ayarlar!$B$7)</f>
        <v>3</v>
      </c>
      <c r="G7" s="9" t="str">
        <f aca="false">IF(F7&gt;=Ayarlar!$B$8,"▲ ALARM",IF(E7&gt;0,"● Planla","✓"))</f>
        <v>● Planla</v>
      </c>
      <c r="H7" s="7" t="n">
        <f aca="false">COUNTIFS(Takip!$C$2:$C$501,A7,Takip!$R$2:$R$501,"Evet")</f>
        <v>1</v>
      </c>
      <c r="I7" s="7" t="n">
        <f aca="false">SUMIFS(Takip!$P$2:$P$501,Takip!$C$2:$C$501,A7)</f>
        <v>56</v>
      </c>
      <c r="J7" s="7" t="n">
        <f aca="false">SUMIFS(Veri_Onceki!$H:$H,Veri_Onceki!$C:$C,A7)</f>
        <v>280</v>
      </c>
      <c r="K7" s="10" t="n">
        <f aca="false">C7-J7</f>
        <v>-42</v>
      </c>
      <c r="L7" s="7" t="n">
        <f aca="false">COUNTIFS(Takip!$C$2:$C$501,A7,Takip!$S$2:$S$501,"Yeni personel")</f>
        <v>1</v>
      </c>
      <c r="M7" s="7" t="n">
        <f aca="false">COUNTIFS(Veri_Onceki!$C:$C,A7,Veri_Onceki!$I:$I,1)</f>
        <v>0</v>
      </c>
    </row>
    <row r="8" customFormat="false" ht="15" hidden="false" customHeight="false" outlineLevel="0" collapsed="false">
      <c r="A8" s="6" t="str">
        <f aca="false">Ayarlar!A19</f>
        <v>Bölge 5</v>
      </c>
      <c r="B8" s="7" t="n">
        <f aca="false">COUNTIFS(Takip!$C$2:$C$501,A8,Takip!$G$2:$G$501,1)</f>
        <v>24</v>
      </c>
      <c r="C8" s="7" t="n">
        <f aca="false">SUMIFS(Takip!$M$2:$M$501,Takip!$C$2:$C$501,A8)</f>
        <v>370</v>
      </c>
      <c r="D8" s="8" t="n">
        <f aca="false">IF(B8=0,0,C8/B8)</f>
        <v>15.4166666666667</v>
      </c>
      <c r="E8" s="7" t="n">
        <f aca="false">COUNTIFS(Takip!$C$2:$C$501,A8,Takip!$M$2:$M$501,"&gt;="&amp;Ayarlar!$B$6)</f>
        <v>13</v>
      </c>
      <c r="F8" s="7" t="n">
        <f aca="false">COUNTIFS(Takip!$C$2:$C$501,A8,Takip!$M$2:$M$501,"&gt;="&amp;Ayarlar!$B$7)</f>
        <v>6</v>
      </c>
      <c r="G8" s="9" t="str">
        <f aca="false">IF(F8&gt;=Ayarlar!$B$8,"▲ ALARM",IF(E8&gt;0,"● Planla","✓"))</f>
        <v>▲ ALARM</v>
      </c>
      <c r="H8" s="7" t="n">
        <f aca="false">COUNTIFS(Takip!$C$2:$C$501,A8,Takip!$R$2:$R$501,"Evet")</f>
        <v>2</v>
      </c>
      <c r="I8" s="7" t="n">
        <f aca="false">SUMIFS(Takip!$P$2:$P$501,Takip!$C$2:$C$501,A8)</f>
        <v>48</v>
      </c>
      <c r="J8" s="7" t="n">
        <f aca="false">SUMIFS(Veri_Onceki!$H:$H,Veri_Onceki!$C:$C,A8)</f>
        <v>364</v>
      </c>
      <c r="K8" s="10" t="n">
        <f aca="false">C8-J8</f>
        <v>6</v>
      </c>
      <c r="L8" s="7" t="n">
        <f aca="false">COUNTIFS(Takip!$C$2:$C$501,A8,Takip!$S$2:$S$501,"Yeni personel")</f>
        <v>0</v>
      </c>
      <c r="M8" s="7" t="n">
        <f aca="false">COUNTIFS(Veri_Onceki!$C:$C,A8,Veri_Onceki!$I:$I,1)</f>
        <v>0</v>
      </c>
    </row>
    <row r="9" customFormat="false" ht="15" hidden="false" customHeight="false" outlineLevel="0" collapsed="false">
      <c r="A9" s="6" t="str">
        <f aca="false">Ayarlar!A20</f>
        <v>Bölge 6</v>
      </c>
      <c r="B9" s="7" t="n">
        <f aca="false">COUNTIFS(Takip!$C$2:$C$501,A9,Takip!$G$2:$G$501,1)</f>
        <v>27</v>
      </c>
      <c r="C9" s="7" t="n">
        <f aca="false">SUMIFS(Takip!$M$2:$M$501,Takip!$C$2:$C$501,A9)</f>
        <v>392</v>
      </c>
      <c r="D9" s="8" t="n">
        <f aca="false">IF(B9=0,0,C9/B9)</f>
        <v>14.5185185185185</v>
      </c>
      <c r="E9" s="7" t="n">
        <f aca="false">COUNTIFS(Takip!$C$2:$C$501,A9,Takip!$M$2:$M$501,"&gt;="&amp;Ayarlar!$B$6)</f>
        <v>16</v>
      </c>
      <c r="F9" s="7" t="n">
        <f aca="false">COUNTIFS(Takip!$C$2:$C$501,A9,Takip!$M$2:$M$501,"&gt;="&amp;Ayarlar!$B$7)</f>
        <v>7</v>
      </c>
      <c r="G9" s="9" t="str">
        <f aca="false">IF(F9&gt;=Ayarlar!$B$8,"▲ ALARM",IF(E9&gt;0,"● Planla","✓"))</f>
        <v>▲ ALARM</v>
      </c>
      <c r="H9" s="7" t="n">
        <f aca="false">COUNTIFS(Takip!$C$2:$C$501,A9,Takip!$R$2:$R$501,"Evet")</f>
        <v>1</v>
      </c>
      <c r="I9" s="7" t="n">
        <f aca="false">SUMIFS(Takip!$P$2:$P$501,Takip!$C$2:$C$501,A9)</f>
        <v>63</v>
      </c>
      <c r="J9" s="7" t="n">
        <f aca="false">SUMIFS(Veri_Onceki!$H:$H,Veri_Onceki!$C:$C,A9)</f>
        <v>375</v>
      </c>
      <c r="K9" s="10" t="n">
        <f aca="false">C9-J9</f>
        <v>17</v>
      </c>
      <c r="L9" s="7" t="n">
        <f aca="false">COUNTIFS(Takip!$C$2:$C$501,A9,Takip!$S$2:$S$501,"Yeni personel")</f>
        <v>0</v>
      </c>
      <c r="M9" s="7" t="n">
        <f aca="false">COUNTIFS(Veri_Onceki!$C:$C,A9,Veri_Onceki!$I:$I,1)</f>
        <v>2</v>
      </c>
    </row>
    <row r="10" customFormat="false" ht="15" hidden="false" customHeight="false" outlineLevel="0" collapsed="false">
      <c r="A10" s="11" t="s">
        <v>27</v>
      </c>
      <c r="B10" s="11" t="n">
        <f aca="false">SUM(B4:B9)</f>
        <v>137</v>
      </c>
      <c r="C10" s="11" t="n">
        <f aca="false">SUM(C4:C9)</f>
        <v>1731</v>
      </c>
      <c r="D10" s="12" t="n">
        <f aca="false">IF(B10=0,0,C10/B10)</f>
        <v>12.6350364963504</v>
      </c>
      <c r="E10" s="11" t="n">
        <f aca="false">SUM(E4:E9)</f>
        <v>69</v>
      </c>
      <c r="F10" s="11" t="n">
        <f aca="false">SUM(F4:F9)</f>
        <v>26</v>
      </c>
      <c r="G10" s="11" t="str">
        <f aca="false">COUNTIF(G4:G9,"▲ ALARM")&amp;" bölgede alarm"</f>
        <v>2 bölgede alarm</v>
      </c>
      <c r="H10" s="11" t="n">
        <f aca="false">SUM(H4:H9)</f>
        <v>14</v>
      </c>
      <c r="I10" s="11" t="n">
        <f aca="false">SUM(I4:I9)</f>
        <v>344</v>
      </c>
      <c r="J10" s="11" t="n">
        <f aca="false">SUM(J4:J9)</f>
        <v>1803</v>
      </c>
      <c r="K10" s="13" t="n">
        <f aca="false">SUM(K4:K9)</f>
        <v>-72</v>
      </c>
      <c r="L10" s="11" t="n">
        <f aca="false">SUM(L4:L9)</f>
        <v>4</v>
      </c>
      <c r="M10" s="11" t="n">
        <f aca="false">SUM(M4:M9)</f>
        <v>4</v>
      </c>
    </row>
    <row r="12" customFormat="false" ht="15" hidden="false" customHeight="false" outlineLevel="0" collapsed="false">
      <c r="A12" s="4" t="s">
        <v>28</v>
      </c>
      <c r="C12" s="14" t="n">
        <f aca="false">COUNTIF(Takip!$G$2:$G$501,0)</f>
        <v>52</v>
      </c>
    </row>
    <row r="13" customFormat="false" ht="15" hidden="false" customHeight="false" outlineLevel="0" collapsed="false">
      <c r="A13" s="4" t="s">
        <v>29</v>
      </c>
      <c r="C13" s="14" t="n">
        <f aca="false">COUNTIF(Takip!$S$2:$S$501,"Kontrol et")</f>
        <v>1</v>
      </c>
    </row>
  </sheetData>
  <conditionalFormatting sqref="G4:G9">
    <cfRule type="expression" priority="2" aboveAverage="0" equalAverage="0" bottom="0" percent="0" rank="0" text="" dxfId="0">
      <formula>LEFT(G4,1)="▲"</formula>
    </cfRule>
    <cfRule type="expression" priority="3" aboveAverage="0" equalAverage="0" bottom="0" percent="0" rank="0" text="" dxfId="1">
      <formula>LEFT(G4,1)="●"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tru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tr">
        <f aca="false">"14 gün ve üzeri izin bakiyesi — "&amp;Ayarlar!$B$11&amp;" · data tarihi "&amp;TEXT(Ayarlar!$B$3,"dd.mm.yyyy")</f>
        <v>14 gün ve üzeri izin bakiyesi — Tümü · data tarihi 14.09.2026</v>
      </c>
    </row>
    <row r="3" customFormat="false" ht="15" hidden="false" customHeight="false" outlineLevel="0" collapsed="false">
      <c r="A3" s="4" t="s">
        <v>30</v>
      </c>
    </row>
    <row r="4" customFormat="false" ht="30" hidden="false" customHeight="true" outlineLevel="0" collapsed="false">
      <c r="A4" s="15" t="str">
        <f aca="false">"Merhaba, "&amp;TEXT(Ayarlar!$B$3,"dd.mm.yyyy")&amp;" tarihli dataya göre "&amp;IF(Ayarlar!$B$11="Tümü","takip edilen bölgelerde ",Ayarlar!$B$11&amp;" bölgesinde ")&amp;COUNT(C8:C207)&amp;" personelin "&amp;Ayarlar!$B$6&amp;" gün ve üzeri kullanılmamış izni bulunuyor; bunların "&amp;COUNTIF(H8:H207,"ALARM")&amp;" tanesi "&amp;Ayarlar!$B$7&amp;" günü aşıyor. Liste aşağıdadır; izin planlamasının yapılmasını rica ederim."</f>
        <v>Merhaba, 14.09.2026 tarihli dataya göre takip edilen bölgelerde 69 personelin 14 gün ve üzeri kullanılmamış izni bulunuyor; bunların 26 tanesi 20 günü aşıyor. Liste aşağıdadır; izin planlamasının yapılmasını rica ederim.</v>
      </c>
      <c r="B4" s="15"/>
      <c r="C4" s="15"/>
      <c r="D4" s="15"/>
      <c r="E4" s="15"/>
      <c r="F4" s="15"/>
      <c r="G4" s="15"/>
      <c r="H4" s="15"/>
      <c r="I4" s="15"/>
      <c r="J4" s="15"/>
    </row>
    <row r="5" customFormat="false" ht="30" hidden="false" customHeight="tru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</row>
    <row r="7" customFormat="false" ht="31.5" hidden="false" customHeight="true" outlineLevel="0" collapsed="false">
      <c r="A7" s="5" t="s">
        <v>31</v>
      </c>
      <c r="B7" s="5" t="s">
        <v>32</v>
      </c>
      <c r="C7" s="5" t="s">
        <v>33</v>
      </c>
      <c r="D7" s="5" t="s">
        <v>14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39</v>
      </c>
    </row>
    <row r="8" customFormat="false" ht="15" hidden="false" customHeight="false" outlineLevel="0" collapsed="false">
      <c r="A8" s="14" t="n">
        <f aca="false">IF(B8="","",1)</f>
        <v>1</v>
      </c>
      <c r="B8" s="14" t="n">
        <f aca="false">IFERROR(MATCH(LARGE(Takip!$T$2:$T$501,1),Takip!$T$2:$T$501,0)+1,"")</f>
        <v>134</v>
      </c>
      <c r="C8" s="14" t="n">
        <f aca="false">IF(B8="","",INDEX(Takip!$M:$M,B8))</f>
        <v>28</v>
      </c>
      <c r="D8" s="14" t="str">
        <f aca="false">IF($B8="","",INDEX(Takip!$C:$C,$B8))</f>
        <v>Bölge 6</v>
      </c>
      <c r="E8" s="14" t="str">
        <f aca="false">IF($B8="","",INDEX(Takip!$D:$D,$B8))</f>
        <v>Mağaza 6D</v>
      </c>
      <c r="F8" s="14" t="str">
        <f aca="false">IF($B8="","",INDEX(Takip!$A:$A,$B8))</f>
        <v>S10133</v>
      </c>
      <c r="G8" s="14" t="str">
        <f aca="false">IF($B8="","",INDEX(Takip!$B:$B,$B8))</f>
        <v>Mert Doğan</v>
      </c>
      <c r="H8" s="16" t="str">
        <f aca="false">IF($B8="","",INDEX(Takip!$Q:$Q,$B8))</f>
        <v>ALARM</v>
      </c>
      <c r="I8" s="17" t="n">
        <f aca="false">IF($B8="","",INDEX(Takip!$K:$K,$B8))</f>
        <v>46564</v>
      </c>
      <c r="J8" s="14" t="str">
        <f aca="false">IF($B8="","",INDEX(Takip!$R:$R,$B8))</f>
        <v/>
      </c>
    </row>
    <row r="9" customFormat="false" ht="15" hidden="false" customHeight="false" outlineLevel="0" collapsed="false">
      <c r="A9" s="14" t="n">
        <f aca="false">IF(B9="","",2)</f>
        <v>2</v>
      </c>
      <c r="B9" s="14" t="n">
        <f aca="false">IFERROR(MATCH(LARGE(Takip!$T$2:$T$501,2),Takip!$T$2:$T$501,0)+1,"")</f>
        <v>110</v>
      </c>
      <c r="C9" s="14" t="n">
        <f aca="false">IF(B9="","",INDEX(Takip!$M:$M,B9))</f>
        <v>28</v>
      </c>
      <c r="D9" s="14" t="str">
        <f aca="false">IF($B9="","",INDEX(Takip!$C:$C,$B9))</f>
        <v>Bölge 6</v>
      </c>
      <c r="E9" s="14" t="str">
        <f aca="false">IF($B9="","",INDEX(Takip!$D:$D,$B9))</f>
        <v>Mağaza 6A</v>
      </c>
      <c r="F9" s="14" t="str">
        <f aca="false">IF($B9="","",INDEX(Takip!$A:$A,$B9))</f>
        <v>S10109</v>
      </c>
      <c r="G9" s="14" t="str">
        <f aca="false">IF($B9="","",INDEX(Takip!$B:$B,$B9))</f>
        <v>Melis Özdemir</v>
      </c>
      <c r="H9" s="16" t="str">
        <f aca="false">IF($B9="","",INDEX(Takip!$Q:$Q,$B9))</f>
        <v>ALARM</v>
      </c>
      <c r="I9" s="17" t="n">
        <f aca="false">IF($B9="","",INDEX(Takip!$K:$K,$B9))</f>
        <v>46602</v>
      </c>
      <c r="J9" s="14" t="str">
        <f aca="false">IF($B9="","",INDEX(Takip!$R:$R,$B9))</f>
        <v/>
      </c>
    </row>
    <row r="10" customFormat="false" ht="15" hidden="false" customHeight="false" outlineLevel="0" collapsed="false">
      <c r="A10" s="14" t="n">
        <f aca="false">IF(B10="","",3)</f>
        <v>3</v>
      </c>
      <c r="B10" s="14" t="n">
        <f aca="false">IFERROR(MATCH(LARGE(Takip!$T$2:$T$501,3),Takip!$T$2:$T$501,0)+1,"")</f>
        <v>108</v>
      </c>
      <c r="C10" s="14" t="n">
        <f aca="false">IF(B10="","",INDEX(Takip!$M:$M,B10))</f>
        <v>28</v>
      </c>
      <c r="D10" s="14" t="str">
        <f aca="false">IF($B10="","",INDEX(Takip!$C:$C,$B10))</f>
        <v>Bölge 6</v>
      </c>
      <c r="E10" s="14" t="str">
        <f aca="false">IF($B10="","",INDEX(Takip!$D:$D,$B10))</f>
        <v>Mağaza 6A</v>
      </c>
      <c r="F10" s="14" t="str">
        <f aca="false">IF($B10="","",INDEX(Takip!$A:$A,$B10))</f>
        <v>S10107</v>
      </c>
      <c r="G10" s="14" t="str">
        <f aca="false">IF($B10="","",INDEX(Takip!$B:$B,$B10))</f>
        <v>Tolga Şahin</v>
      </c>
      <c r="H10" s="16" t="str">
        <f aca="false">IF($B10="","",INDEX(Takip!$Q:$Q,$B10))</f>
        <v>ALARM</v>
      </c>
      <c r="I10" s="17" t="n">
        <f aca="false">IF($B10="","",INDEX(Takip!$K:$K,$B10))</f>
        <v>46602</v>
      </c>
      <c r="J10" s="14" t="str">
        <f aca="false">IF($B10="","",INDEX(Takip!$R:$R,$B10))</f>
        <v/>
      </c>
    </row>
    <row r="11" customFormat="false" ht="15" hidden="false" customHeight="false" outlineLevel="0" collapsed="false">
      <c r="A11" s="14" t="n">
        <f aca="false">IF(B11="","",4)</f>
        <v>4</v>
      </c>
      <c r="B11" s="14" t="n">
        <f aca="false">IFERROR(MATCH(LARGE(Takip!$T$2:$T$501,4),Takip!$T$2:$T$501,0)+1,"")</f>
        <v>106</v>
      </c>
      <c r="C11" s="14" t="n">
        <f aca="false">IF(B11="","",INDEX(Takip!$M:$M,B11))</f>
        <v>28</v>
      </c>
      <c r="D11" s="14" t="str">
        <f aca="false">IF($B11="","",INDEX(Takip!$C:$C,$B11))</f>
        <v>Bölge 5</v>
      </c>
      <c r="E11" s="14" t="str">
        <f aca="false">IF($B11="","",INDEX(Takip!$D:$D,$B11))</f>
        <v>Mağaza 5D</v>
      </c>
      <c r="F11" s="14" t="str">
        <f aca="false">IF($B11="","",INDEX(Takip!$A:$A,$B11))</f>
        <v>S10105</v>
      </c>
      <c r="G11" s="14" t="str">
        <f aca="false">IF($B11="","",INDEX(Takip!$B:$B,$B11))</f>
        <v>Kaan Aydın</v>
      </c>
      <c r="H11" s="16" t="str">
        <f aca="false">IF($B11="","",INDEX(Takip!$Q:$Q,$B11))</f>
        <v>ALARM</v>
      </c>
      <c r="I11" s="17" t="n">
        <f aca="false">IF($B11="","",INDEX(Takip!$K:$K,$B11))</f>
        <v>46487</v>
      </c>
      <c r="J11" s="14" t="str">
        <f aca="false">IF($B11="","",INDEX(Takip!$R:$R,$B11))</f>
        <v/>
      </c>
    </row>
    <row r="12" customFormat="false" ht="15" hidden="false" customHeight="false" outlineLevel="0" collapsed="false">
      <c r="A12" s="14" t="n">
        <f aca="false">IF(B12="","",5)</f>
        <v>5</v>
      </c>
      <c r="B12" s="14" t="n">
        <f aca="false">IFERROR(MATCH(LARGE(Takip!$T$2:$T$501,5),Takip!$T$2:$T$501,0)+1,"")</f>
        <v>100</v>
      </c>
      <c r="C12" s="14" t="n">
        <f aca="false">IF(B12="","",INDEX(Takip!$M:$M,B12))</f>
        <v>28</v>
      </c>
      <c r="D12" s="14" t="str">
        <f aca="false">IF($B12="","",INDEX(Takip!$C:$C,$B12))</f>
        <v>Bölge 5</v>
      </c>
      <c r="E12" s="14" t="str">
        <f aca="false">IF($B12="","",INDEX(Takip!$D:$D,$B12))</f>
        <v>Mağaza 5C</v>
      </c>
      <c r="F12" s="14" t="str">
        <f aca="false">IF($B12="","",INDEX(Takip!$A:$A,$B12))</f>
        <v>S10099</v>
      </c>
      <c r="G12" s="14" t="str">
        <f aca="false">IF($B12="","",INDEX(Takip!$B:$B,$B12))</f>
        <v>Onur Çelik</v>
      </c>
      <c r="H12" s="16" t="str">
        <f aca="false">IF($B12="","",INDEX(Takip!$Q:$Q,$B12))</f>
        <v>ALARM</v>
      </c>
      <c r="I12" s="17" t="n">
        <f aca="false">IF($B12="","",INDEX(Takip!$K:$K,$B12))</f>
        <v>46620</v>
      </c>
      <c r="J12" s="14" t="str">
        <f aca="false">IF($B12="","",INDEX(Takip!$R:$R,$B12))</f>
        <v/>
      </c>
    </row>
    <row r="13" customFormat="false" ht="15" hidden="false" customHeight="false" outlineLevel="0" collapsed="false">
      <c r="A13" s="14" t="n">
        <f aca="false">IF(B13="","",6)</f>
        <v>6</v>
      </c>
      <c r="B13" s="14" t="n">
        <f aca="false">IFERROR(MATCH(LARGE(Takip!$T$2:$T$501,6),Takip!$T$2:$T$501,0)+1,"")</f>
        <v>85</v>
      </c>
      <c r="C13" s="14" t="n">
        <f aca="false">IF(B13="","",INDEX(Takip!$M:$M,B13))</f>
        <v>28</v>
      </c>
      <c r="D13" s="14" t="str">
        <f aca="false">IF($B13="","",INDEX(Takip!$C:$C,$B13))</f>
        <v>Bölge 5</v>
      </c>
      <c r="E13" s="14" t="str">
        <f aca="false">IF($B13="","",INDEX(Takip!$D:$D,$B13))</f>
        <v>Mağaza 5A</v>
      </c>
      <c r="F13" s="14" t="str">
        <f aca="false">IF($B13="","",INDEX(Takip!$A:$A,$B13))</f>
        <v>S10084</v>
      </c>
      <c r="G13" s="14" t="str">
        <f aca="false">IF($B13="","",INDEX(Takip!$B:$B,$B13))</f>
        <v>Elif Çelik</v>
      </c>
      <c r="H13" s="16" t="str">
        <f aca="false">IF($B13="","",INDEX(Takip!$Q:$Q,$B13))</f>
        <v>ALARM</v>
      </c>
      <c r="I13" s="17" t="n">
        <f aca="false">IF($B13="","",INDEX(Takip!$K:$K,$B13))</f>
        <v>46526</v>
      </c>
      <c r="J13" s="14" t="str">
        <f aca="false">IF($B13="","",INDEX(Takip!$R:$R,$B13))</f>
        <v/>
      </c>
    </row>
    <row r="14" customFormat="false" ht="15" hidden="false" customHeight="false" outlineLevel="0" collapsed="false">
      <c r="A14" s="14" t="n">
        <f aca="false">IF(B14="","",7)</f>
        <v>7</v>
      </c>
      <c r="B14" s="14" t="n">
        <f aca="false">IFERROR(MATCH(LARGE(Takip!$T$2:$T$501,7),Takip!$T$2:$T$501,0)+1,"")</f>
        <v>81</v>
      </c>
      <c r="C14" s="14" t="n">
        <f aca="false">IF(B14="","",INDEX(Takip!$M:$M,B14))</f>
        <v>28</v>
      </c>
      <c r="D14" s="14" t="str">
        <f aca="false">IF($B14="","",INDEX(Takip!$C:$C,$B14))</f>
        <v>Bölge 4</v>
      </c>
      <c r="E14" s="14" t="str">
        <f aca="false">IF($B14="","",INDEX(Takip!$D:$D,$B14))</f>
        <v>Mağaza 4C</v>
      </c>
      <c r="F14" s="14" t="str">
        <f aca="false">IF($B14="","",INDEX(Takip!$A:$A,$B14))</f>
        <v>S10080</v>
      </c>
      <c r="G14" s="14" t="str">
        <f aca="false">IF($B14="","",INDEX(Takip!$B:$B,$B14))</f>
        <v>Buse Yılmaz</v>
      </c>
      <c r="H14" s="16" t="str">
        <f aca="false">IF($B14="","",INDEX(Takip!$Q:$Q,$B14))</f>
        <v>ALARM</v>
      </c>
      <c r="I14" s="17" t="n">
        <f aca="false">IF($B14="","",INDEX(Takip!$K:$K,$B14))</f>
        <v>46484</v>
      </c>
      <c r="J14" s="14" t="str">
        <f aca="false">IF($B14="","",INDEX(Takip!$R:$R,$B14))</f>
        <v/>
      </c>
    </row>
    <row r="15" customFormat="false" ht="15" hidden="false" customHeight="false" outlineLevel="0" collapsed="false">
      <c r="A15" s="14" t="n">
        <f aca="false">IF(B15="","",8)</f>
        <v>8</v>
      </c>
      <c r="B15" s="14" t="n">
        <f aca="false">IFERROR(MATCH(LARGE(Takip!$T$2:$T$501,8),Takip!$T$2:$T$501,0)+1,"")</f>
        <v>53</v>
      </c>
      <c r="C15" s="14" t="n">
        <f aca="false">IF(B15="","",INDEX(Takip!$M:$M,B15))</f>
        <v>28</v>
      </c>
      <c r="D15" s="14" t="str">
        <f aca="false">IF($B15="","",INDEX(Takip!$C:$C,$B15))</f>
        <v>Bölge 3</v>
      </c>
      <c r="E15" s="14" t="str">
        <f aca="false">IF($B15="","",INDEX(Takip!$D:$D,$B15))</f>
        <v>Mağaza 3B</v>
      </c>
      <c r="F15" s="14" t="str">
        <f aca="false">IF($B15="","",INDEX(Takip!$A:$A,$B15))</f>
        <v>S10052</v>
      </c>
      <c r="G15" s="14" t="str">
        <f aca="false">IF($B15="","",INDEX(Takip!$B:$B,$B15))</f>
        <v>Burak Aydın</v>
      </c>
      <c r="H15" s="16" t="str">
        <f aca="false">IF($B15="","",INDEX(Takip!$Q:$Q,$B15))</f>
        <v>ALARM</v>
      </c>
      <c r="I15" s="17" t="n">
        <f aca="false">IF($B15="","",INDEX(Takip!$K:$K,$B15))</f>
        <v>46373</v>
      </c>
      <c r="J15" s="14" t="str">
        <f aca="false">IF($B15="","",INDEX(Takip!$R:$R,$B15))</f>
        <v/>
      </c>
    </row>
    <row r="16" customFormat="false" ht="15" hidden="false" customHeight="false" outlineLevel="0" collapsed="false">
      <c r="A16" s="14" t="n">
        <f aca="false">IF(B16="","",9)</f>
        <v>9</v>
      </c>
      <c r="B16" s="14" t="n">
        <f aca="false">IFERROR(MATCH(LARGE(Takip!$T$2:$T$501,9),Takip!$T$2:$T$501,0)+1,"")</f>
        <v>47</v>
      </c>
      <c r="C16" s="14" t="n">
        <f aca="false">IF(B16="","",INDEX(Takip!$M:$M,B16))</f>
        <v>28</v>
      </c>
      <c r="D16" s="14" t="str">
        <f aca="false">IF($B16="","",INDEX(Takip!$C:$C,$B16))</f>
        <v>Bölge 3</v>
      </c>
      <c r="E16" s="14" t="str">
        <f aca="false">IF($B16="","",INDEX(Takip!$D:$D,$B16))</f>
        <v>Mağaza 3A</v>
      </c>
      <c r="F16" s="14" t="str">
        <f aca="false">IF($B16="","",INDEX(Takip!$A:$A,$B16))</f>
        <v>S10046</v>
      </c>
      <c r="G16" s="14" t="str">
        <f aca="false">IF($B16="","",INDEX(Takip!$B:$B,$B16))</f>
        <v>Oğuz Aydın</v>
      </c>
      <c r="H16" s="16" t="str">
        <f aca="false">IF($B16="","",INDEX(Takip!$Q:$Q,$B16))</f>
        <v>ALARM</v>
      </c>
      <c r="I16" s="17" t="n">
        <f aca="false">IF($B16="","",INDEX(Takip!$K:$K,$B16))</f>
        <v>46345</v>
      </c>
      <c r="J16" s="14" t="str">
        <f aca="false">IF($B16="","",INDEX(Takip!$R:$R,$B16))</f>
        <v/>
      </c>
    </row>
    <row r="17" customFormat="false" ht="15" hidden="false" customHeight="false" outlineLevel="0" collapsed="false">
      <c r="A17" s="14" t="n">
        <f aca="false">IF(B17="","",10)</f>
        <v>10</v>
      </c>
      <c r="B17" s="14" t="n">
        <f aca="false">IFERROR(MATCH(LARGE(Takip!$T$2:$T$501,10),Takip!$T$2:$T$501,0)+1,"")</f>
        <v>40</v>
      </c>
      <c r="C17" s="14" t="n">
        <f aca="false">IF(B17="","",INDEX(Takip!$M:$M,B17))</f>
        <v>28</v>
      </c>
      <c r="D17" s="14" t="str">
        <f aca="false">IF($B17="","",INDEX(Takip!$C:$C,$B17))</f>
        <v>Bölge 2</v>
      </c>
      <c r="E17" s="14" t="str">
        <f aca="false">IF($B17="","",INDEX(Takip!$D:$D,$B17))</f>
        <v>Mağaza 2C</v>
      </c>
      <c r="F17" s="14" t="str">
        <f aca="false">IF($B17="","",INDEX(Takip!$A:$A,$B17))</f>
        <v>S10039</v>
      </c>
      <c r="G17" s="14" t="str">
        <f aca="false">IF($B17="","",INDEX(Takip!$B:$B,$B17))</f>
        <v>Elif Aydın</v>
      </c>
      <c r="H17" s="16" t="str">
        <f aca="false">IF($B17="","",INDEX(Takip!$Q:$Q,$B17))</f>
        <v>ALARM</v>
      </c>
      <c r="I17" s="17" t="n">
        <f aca="false">IF($B17="","",INDEX(Takip!$K:$K,$B17))</f>
        <v>46419</v>
      </c>
      <c r="J17" s="14" t="str">
        <f aca="false">IF($B17="","",INDEX(Takip!$R:$R,$B17))</f>
        <v/>
      </c>
    </row>
    <row r="18" customFormat="false" ht="15" hidden="false" customHeight="false" outlineLevel="0" collapsed="false">
      <c r="A18" s="14" t="n">
        <f aca="false">IF(B18="","",11)</f>
        <v>11</v>
      </c>
      <c r="B18" s="14" t="n">
        <f aca="false">IFERROR(MATCH(LARGE(Takip!$T$2:$T$501,11),Takip!$T$2:$T$501,0)+1,"")</f>
        <v>33</v>
      </c>
      <c r="C18" s="14" t="n">
        <f aca="false">IF(B18="","",INDEX(Takip!$M:$M,B18))</f>
        <v>28</v>
      </c>
      <c r="D18" s="14" t="str">
        <f aca="false">IF($B18="","",INDEX(Takip!$C:$C,$B18))</f>
        <v>Bölge 2</v>
      </c>
      <c r="E18" s="14" t="str">
        <f aca="false">IF($B18="","",INDEX(Takip!$D:$D,$B18))</f>
        <v>Mağaza 2B</v>
      </c>
      <c r="F18" s="14" t="str">
        <f aca="false">IF($B18="","",INDEX(Takip!$A:$A,$B18))</f>
        <v>S10032</v>
      </c>
      <c r="G18" s="14" t="str">
        <f aca="false">IF($B18="","",INDEX(Takip!$B:$B,$B18))</f>
        <v>Melis Kurt</v>
      </c>
      <c r="H18" s="16" t="str">
        <f aca="false">IF($B18="","",INDEX(Takip!$Q:$Q,$B18))</f>
        <v>ALARM</v>
      </c>
      <c r="I18" s="17" t="n">
        <f aca="false">IF($B18="","",INDEX(Takip!$K:$K,$B18))</f>
        <v>46395</v>
      </c>
      <c r="J18" s="14" t="str">
        <f aca="false">IF($B18="","",INDEX(Takip!$R:$R,$B18))</f>
        <v/>
      </c>
    </row>
    <row r="19" customFormat="false" ht="15" hidden="false" customHeight="false" outlineLevel="0" collapsed="false">
      <c r="A19" s="14" t="n">
        <f aca="false">IF(B19="","",12)</f>
        <v>12</v>
      </c>
      <c r="B19" s="14" t="n">
        <f aca="false">IFERROR(MATCH(LARGE(Takip!$T$2:$T$501,12),Takip!$T$2:$T$501,0)+1,"")</f>
        <v>23</v>
      </c>
      <c r="C19" s="14" t="n">
        <f aca="false">IF(B19="","",INDEX(Takip!$M:$M,B19))</f>
        <v>28</v>
      </c>
      <c r="D19" s="14" t="str">
        <f aca="false">IF($B19="","",INDEX(Takip!$C:$C,$B19))</f>
        <v>Bölge 1</v>
      </c>
      <c r="E19" s="14" t="str">
        <f aca="false">IF($B19="","",INDEX(Takip!$D:$D,$B19))</f>
        <v>Mağaza 1C</v>
      </c>
      <c r="F19" s="14" t="str">
        <f aca="false">IF($B19="","",INDEX(Takip!$A:$A,$B19))</f>
        <v>S10022</v>
      </c>
      <c r="G19" s="14" t="str">
        <f aca="false">IF($B19="","",INDEX(Takip!$B:$B,$B19))</f>
        <v>Emre Doğan</v>
      </c>
      <c r="H19" s="16" t="str">
        <f aca="false">IF($B19="","",INDEX(Takip!$Q:$Q,$B19))</f>
        <v>ALARM</v>
      </c>
      <c r="I19" s="17" t="n">
        <f aca="false">IF($B19="","",INDEX(Takip!$K:$K,$B19))</f>
        <v>46447</v>
      </c>
      <c r="J19" s="14" t="str">
        <f aca="false">IF($B19="","",INDEX(Takip!$R:$R,$B19))</f>
        <v/>
      </c>
    </row>
    <row r="20" customFormat="false" ht="15" hidden="false" customHeight="false" outlineLevel="0" collapsed="false">
      <c r="A20" s="14" t="n">
        <f aca="false">IF(B20="","",13)</f>
        <v>13</v>
      </c>
      <c r="B20" s="14" t="n">
        <f aca="false">IFERROR(MATCH(LARGE(Takip!$T$2:$T$501,13),Takip!$T$2:$T$501,0)+1,"")</f>
        <v>17</v>
      </c>
      <c r="C20" s="14" t="n">
        <f aca="false">IF(B20="","",INDEX(Takip!$M:$M,B20))</f>
        <v>28</v>
      </c>
      <c r="D20" s="14" t="str">
        <f aca="false">IF($B20="","",INDEX(Takip!$C:$C,$B20))</f>
        <v>Bölge 1</v>
      </c>
      <c r="E20" s="14" t="str">
        <f aca="false">IF($B20="","",INDEX(Takip!$D:$D,$B20))</f>
        <v>Mağaza 1C</v>
      </c>
      <c r="F20" s="14" t="str">
        <f aca="false">IF($B20="","",INDEX(Takip!$A:$A,$B20))</f>
        <v>S10016</v>
      </c>
      <c r="G20" s="14" t="str">
        <f aca="false">IF($B20="","",INDEX(Takip!$B:$B,$B20))</f>
        <v>Ece Çelik</v>
      </c>
      <c r="H20" s="16" t="str">
        <f aca="false">IF($B20="","",INDEX(Takip!$Q:$Q,$B20))</f>
        <v>ALARM</v>
      </c>
      <c r="I20" s="17" t="n">
        <f aca="false">IF($B20="","",INDEX(Takip!$K:$K,$B20))</f>
        <v>46576</v>
      </c>
      <c r="J20" s="14" t="str">
        <f aca="false">IF($B20="","",INDEX(Takip!$R:$R,$B20))</f>
        <v/>
      </c>
    </row>
    <row r="21" customFormat="false" ht="15" hidden="false" customHeight="false" outlineLevel="0" collapsed="false">
      <c r="A21" s="14" t="n">
        <f aca="false">IF(B21="","",14)</f>
        <v>14</v>
      </c>
      <c r="B21" s="14" t="n">
        <f aca="false">IFERROR(MATCH(LARGE(Takip!$T$2:$T$501,14),Takip!$T$2:$T$501,0)+1,"")</f>
        <v>12</v>
      </c>
      <c r="C21" s="14" t="n">
        <f aca="false">IF(B21="","",INDEX(Takip!$M:$M,B21))</f>
        <v>28</v>
      </c>
      <c r="D21" s="14" t="str">
        <f aca="false">IF($B21="","",INDEX(Takip!$C:$C,$B21))</f>
        <v>Bölge 1</v>
      </c>
      <c r="E21" s="14" t="str">
        <f aca="false">IF($B21="","",INDEX(Takip!$D:$D,$B21))</f>
        <v>Mağaza 1B</v>
      </c>
      <c r="F21" s="14" t="str">
        <f aca="false">IF($B21="","",INDEX(Takip!$A:$A,$B21))</f>
        <v>S10011</v>
      </c>
      <c r="G21" s="14" t="str">
        <f aca="false">IF($B21="","",INDEX(Takip!$B:$B,$B21))</f>
        <v>Ece Aslan</v>
      </c>
      <c r="H21" s="16" t="str">
        <f aca="false">IF($B21="","",INDEX(Takip!$Q:$Q,$B21))</f>
        <v>ALARM</v>
      </c>
      <c r="I21" s="17" t="n">
        <f aca="false">IF($B21="","",INDEX(Takip!$K:$K,$B21))</f>
        <v>46468</v>
      </c>
      <c r="J21" s="14" t="str">
        <f aca="false">IF($B21="","",INDEX(Takip!$R:$R,$B21))</f>
        <v/>
      </c>
    </row>
    <row r="22" customFormat="false" ht="15" hidden="false" customHeight="false" outlineLevel="0" collapsed="false">
      <c r="A22" s="14" t="n">
        <f aca="false">IF(B22="","",15)</f>
        <v>15</v>
      </c>
      <c r="B22" s="14" t="n">
        <f aca="false">IFERROR(MATCH(LARGE(Takip!$T$2:$T$501,15),Takip!$T$2:$T$501,0)+1,"")</f>
        <v>118</v>
      </c>
      <c r="C22" s="14" t="n">
        <f aca="false">IF(B22="","",INDEX(Takip!$M:$M,B22))</f>
        <v>24</v>
      </c>
      <c r="D22" s="14" t="str">
        <f aca="false">IF($B22="","",INDEX(Takip!$C:$C,$B22))</f>
        <v>Bölge 6</v>
      </c>
      <c r="E22" s="14" t="str">
        <f aca="false">IF($B22="","",INDEX(Takip!$D:$D,$B22))</f>
        <v>Mağaza 6B</v>
      </c>
      <c r="F22" s="14" t="str">
        <f aca="false">IF($B22="","",INDEX(Takip!$A:$A,$B22))</f>
        <v>S10117</v>
      </c>
      <c r="G22" s="14" t="str">
        <f aca="false">IF($B22="","",INDEX(Takip!$B:$B,$B22))</f>
        <v>Gizem Şahin</v>
      </c>
      <c r="H22" s="16" t="str">
        <f aca="false">IF($B22="","",INDEX(Takip!$Q:$Q,$B22))</f>
        <v>ALARM</v>
      </c>
      <c r="I22" s="17" t="n">
        <f aca="false">IF($B22="","",INDEX(Takip!$K:$K,$B22))</f>
        <v>46639</v>
      </c>
      <c r="J22" s="14" t="str">
        <f aca="false">IF($B22="","",INDEX(Takip!$R:$R,$B22))</f>
        <v/>
      </c>
    </row>
    <row r="23" customFormat="false" ht="15" hidden="false" customHeight="false" outlineLevel="0" collapsed="false">
      <c r="A23" s="14" t="n">
        <f aca="false">IF(B23="","",16)</f>
        <v>16</v>
      </c>
      <c r="B23" s="14" t="n">
        <f aca="false">IFERROR(MATCH(LARGE(Takip!$T$2:$T$501,16),Takip!$T$2:$T$501,0)+1,"")</f>
        <v>107</v>
      </c>
      <c r="C23" s="14" t="n">
        <f aca="false">IF(B23="","",INDEX(Takip!$M:$M,B23))</f>
        <v>24</v>
      </c>
      <c r="D23" s="14" t="str">
        <f aca="false">IF($B23="","",INDEX(Takip!$C:$C,$B23))</f>
        <v>Bölge 5</v>
      </c>
      <c r="E23" s="14" t="str">
        <f aca="false">IF($B23="","",INDEX(Takip!$D:$D,$B23))</f>
        <v>Mağaza 5D</v>
      </c>
      <c r="F23" s="14" t="str">
        <f aca="false">IF($B23="","",INDEX(Takip!$A:$A,$B23))</f>
        <v>S10106</v>
      </c>
      <c r="G23" s="14" t="str">
        <f aca="false">IF($B23="","",INDEX(Takip!$B:$B,$B23))</f>
        <v>Can Yıldız</v>
      </c>
      <c r="H23" s="16" t="str">
        <f aca="false">IF($B23="","",INDEX(Takip!$Q:$Q,$B23))</f>
        <v>ALARM</v>
      </c>
      <c r="I23" s="17" t="n">
        <f aca="false">IF($B23="","",INDEX(Takip!$K:$K,$B23))</f>
        <v>46310</v>
      </c>
      <c r="J23" s="14" t="str">
        <f aca="false">IF($B23="","",INDEX(Takip!$R:$R,$B23))</f>
        <v>Evet</v>
      </c>
    </row>
    <row r="24" customFormat="false" ht="15" hidden="false" customHeight="false" outlineLevel="0" collapsed="false">
      <c r="A24" s="14" t="n">
        <f aca="false">IF(B24="","",17)</f>
        <v>17</v>
      </c>
      <c r="B24" s="14" t="n">
        <f aca="false">IFERROR(MATCH(LARGE(Takip!$T$2:$T$501,17),Takip!$T$2:$T$501,0)+1,"")</f>
        <v>94</v>
      </c>
      <c r="C24" s="14" t="n">
        <f aca="false">IF(B24="","",INDEX(Takip!$M:$M,B24))</f>
        <v>24</v>
      </c>
      <c r="D24" s="14" t="str">
        <f aca="false">IF($B24="","",INDEX(Takip!$C:$C,$B24))</f>
        <v>Bölge 5</v>
      </c>
      <c r="E24" s="14" t="str">
        <f aca="false">IF($B24="","",INDEX(Takip!$D:$D,$B24))</f>
        <v>Mağaza 5B</v>
      </c>
      <c r="F24" s="14" t="str">
        <f aca="false">IF($B24="","",INDEX(Takip!$A:$A,$B24))</f>
        <v>S10093</v>
      </c>
      <c r="G24" s="14" t="str">
        <f aca="false">IF($B24="","",INDEX(Takip!$B:$B,$B24))</f>
        <v>Serkan Öztürk</v>
      </c>
      <c r="H24" s="16" t="str">
        <f aca="false">IF($B24="","",INDEX(Takip!$Q:$Q,$B24))</f>
        <v>ALARM</v>
      </c>
      <c r="I24" s="17" t="n">
        <f aca="false">IF($B24="","",INDEX(Takip!$K:$K,$B24))</f>
        <v>46345</v>
      </c>
      <c r="J24" s="14" t="str">
        <f aca="false">IF($B24="","",INDEX(Takip!$R:$R,$B24))</f>
        <v/>
      </c>
    </row>
    <row r="25" customFormat="false" ht="15" hidden="false" customHeight="false" outlineLevel="0" collapsed="false">
      <c r="A25" s="14" t="n">
        <f aca="false">IF(B25="","",18)</f>
        <v>18</v>
      </c>
      <c r="B25" s="14" t="n">
        <f aca="false">IFERROR(MATCH(LARGE(Takip!$T$2:$T$501,18),Takip!$T$2:$T$501,0)+1,"")</f>
        <v>90</v>
      </c>
      <c r="C25" s="14" t="n">
        <f aca="false">IF(B25="","",INDEX(Takip!$M:$M,B25))</f>
        <v>24</v>
      </c>
      <c r="D25" s="14" t="str">
        <f aca="false">IF($B25="","",INDEX(Takip!$C:$C,$B25))</f>
        <v>Bölge 5</v>
      </c>
      <c r="E25" s="14" t="str">
        <f aca="false">IF($B25="","",INDEX(Takip!$D:$D,$B25))</f>
        <v>Mağaza 5B</v>
      </c>
      <c r="F25" s="14" t="str">
        <f aca="false">IF($B25="","",INDEX(Takip!$A:$A,$B25))</f>
        <v>S10089</v>
      </c>
      <c r="G25" s="14" t="str">
        <f aca="false">IF($B25="","",INDEX(Takip!$B:$B,$B25))</f>
        <v>Burak Özdemir</v>
      </c>
      <c r="H25" s="16" t="str">
        <f aca="false">IF($B25="","",INDEX(Takip!$Q:$Q,$B25))</f>
        <v>ALARM</v>
      </c>
      <c r="I25" s="17" t="n">
        <f aca="false">IF($B25="","",INDEX(Takip!$K:$K,$B25))</f>
        <v>46474</v>
      </c>
      <c r="J25" s="14" t="str">
        <f aca="false">IF($B25="","",INDEX(Takip!$R:$R,$B25))</f>
        <v/>
      </c>
    </row>
    <row r="26" customFormat="false" ht="15" hidden="false" customHeight="false" outlineLevel="0" collapsed="false">
      <c r="A26" s="14" t="n">
        <f aca="false">IF(B26="","",19)</f>
        <v>19</v>
      </c>
      <c r="B26" s="14" t="n">
        <f aca="false">IFERROR(MATCH(LARGE(Takip!$T$2:$T$501,19),Takip!$T$2:$T$501,0)+1,"")</f>
        <v>66</v>
      </c>
      <c r="C26" s="14" t="n">
        <f aca="false">IF(B26="","",INDEX(Takip!$M:$M,B26))</f>
        <v>24</v>
      </c>
      <c r="D26" s="14" t="str">
        <f aca="false">IF($B26="","",INDEX(Takip!$C:$C,$B26))</f>
        <v>Bölge 4</v>
      </c>
      <c r="E26" s="14" t="str">
        <f aca="false">IF($B26="","",INDEX(Takip!$D:$D,$B26))</f>
        <v>Mağaza 4A</v>
      </c>
      <c r="F26" s="14" t="str">
        <f aca="false">IF($B26="","",INDEX(Takip!$A:$A,$B26))</f>
        <v>S10065</v>
      </c>
      <c r="G26" s="14" t="str">
        <f aca="false">IF($B26="","",INDEX(Takip!$B:$B,$B26))</f>
        <v>Cem Kaya</v>
      </c>
      <c r="H26" s="16" t="str">
        <f aca="false">IF($B26="","",INDEX(Takip!$Q:$Q,$B26))</f>
        <v>ALARM</v>
      </c>
      <c r="I26" s="17" t="n">
        <f aca="false">IF($B26="","",INDEX(Takip!$K:$K,$B26))</f>
        <v>46493</v>
      </c>
      <c r="J26" s="14" t="str">
        <f aca="false">IF($B26="","",INDEX(Takip!$R:$R,$B26))</f>
        <v/>
      </c>
    </row>
    <row r="27" customFormat="false" ht="15" hidden="false" customHeight="false" outlineLevel="0" collapsed="false">
      <c r="A27" s="14" t="n">
        <f aca="false">IF(B27="","",20)</f>
        <v>20</v>
      </c>
      <c r="B27" s="14" t="n">
        <f aca="false">IFERROR(MATCH(LARGE(Takip!$T$2:$T$501,20),Takip!$T$2:$T$501,0)+1,"")</f>
        <v>64</v>
      </c>
      <c r="C27" s="14" t="n">
        <f aca="false">IF(B27="","",INDEX(Takip!$M:$M,B27))</f>
        <v>24</v>
      </c>
      <c r="D27" s="14" t="str">
        <f aca="false">IF($B27="","",INDEX(Takip!$C:$C,$B27))</f>
        <v>Bölge 4</v>
      </c>
      <c r="E27" s="14" t="str">
        <f aca="false">IF($B27="","",INDEX(Takip!$D:$D,$B27))</f>
        <v>Mağaza 4A</v>
      </c>
      <c r="F27" s="14" t="str">
        <f aca="false">IF($B27="","",INDEX(Takip!$A:$A,$B27))</f>
        <v>S10063</v>
      </c>
      <c r="G27" s="14" t="str">
        <f aca="false">IF($B27="","",INDEX(Takip!$B:$B,$B27))</f>
        <v>Mert Çelik</v>
      </c>
      <c r="H27" s="16" t="str">
        <f aca="false">IF($B27="","",INDEX(Takip!$Q:$Q,$B27))</f>
        <v>ALARM</v>
      </c>
      <c r="I27" s="17" t="n">
        <f aca="false">IF($B27="","",INDEX(Takip!$K:$K,$B27))</f>
        <v>46479</v>
      </c>
      <c r="J27" s="14" t="str">
        <f aca="false">IF($B27="","",INDEX(Takip!$R:$R,$B27))</f>
        <v/>
      </c>
    </row>
    <row r="28" customFormat="false" ht="15" hidden="false" customHeight="false" outlineLevel="0" collapsed="false">
      <c r="A28" s="14" t="n">
        <f aca="false">IF(B28="","",21)</f>
        <v>21</v>
      </c>
      <c r="B28" s="14" t="n">
        <f aca="false">IFERROR(MATCH(LARGE(Takip!$T$2:$T$501,21),Takip!$T$2:$T$501,0)+1,"")</f>
        <v>57</v>
      </c>
      <c r="C28" s="14" t="n">
        <f aca="false">IF(B28="","",INDEX(Takip!$M:$M,B28))</f>
        <v>24</v>
      </c>
      <c r="D28" s="14" t="str">
        <f aca="false">IF($B28="","",INDEX(Takip!$C:$C,$B28))</f>
        <v>Bölge 3</v>
      </c>
      <c r="E28" s="14" t="str">
        <f aca="false">IF($B28="","",INDEX(Takip!$D:$D,$B28))</f>
        <v>Mağaza 3C</v>
      </c>
      <c r="F28" s="14" t="str">
        <f aca="false">IF($B28="","",INDEX(Takip!$A:$A,$B28))</f>
        <v>S10056</v>
      </c>
      <c r="G28" s="14" t="str">
        <f aca="false">IF($B28="","",INDEX(Takip!$B:$B,$B28))</f>
        <v>Melis Yıldız</v>
      </c>
      <c r="H28" s="16" t="str">
        <f aca="false">IF($B28="","",INDEX(Takip!$Q:$Q,$B28))</f>
        <v>ALARM</v>
      </c>
      <c r="I28" s="17" t="n">
        <f aca="false">IF($B28="","",INDEX(Takip!$K:$K,$B28))</f>
        <v>46466</v>
      </c>
      <c r="J28" s="14" t="str">
        <f aca="false">IF($B28="","",INDEX(Takip!$R:$R,$B28))</f>
        <v/>
      </c>
    </row>
    <row r="29" customFormat="false" ht="15" hidden="false" customHeight="false" outlineLevel="0" collapsed="false">
      <c r="A29" s="14" t="n">
        <f aca="false">IF(B29="","",22)</f>
        <v>22</v>
      </c>
      <c r="B29" s="14" t="n">
        <f aca="false">IFERROR(MATCH(LARGE(Takip!$T$2:$T$501,22),Takip!$T$2:$T$501,0)+1,"")</f>
        <v>56</v>
      </c>
      <c r="C29" s="14" t="n">
        <f aca="false">IF(B29="","",INDEX(Takip!$M:$M,B29))</f>
        <v>24</v>
      </c>
      <c r="D29" s="14" t="str">
        <f aca="false">IF($B29="","",INDEX(Takip!$C:$C,$B29))</f>
        <v>Bölge 3</v>
      </c>
      <c r="E29" s="14" t="str">
        <f aca="false">IF($B29="","",INDEX(Takip!$D:$D,$B29))</f>
        <v>Mağaza 3C</v>
      </c>
      <c r="F29" s="14" t="str">
        <f aca="false">IF($B29="","",INDEX(Takip!$A:$A,$B29))</f>
        <v>S10055</v>
      </c>
      <c r="G29" s="14" t="str">
        <f aca="false">IF($B29="","",INDEX(Takip!$B:$B,$B29))</f>
        <v>Onur Yılmaz</v>
      </c>
      <c r="H29" s="16" t="str">
        <f aca="false">IF($B29="","",INDEX(Takip!$Q:$Q,$B29))</f>
        <v>ALARM</v>
      </c>
      <c r="I29" s="17" t="n">
        <f aca="false">IF($B29="","",INDEX(Takip!$K:$K,$B29))</f>
        <v>46520</v>
      </c>
      <c r="J29" s="14" t="str">
        <f aca="false">IF($B29="","",INDEX(Takip!$R:$R,$B29))</f>
        <v/>
      </c>
    </row>
    <row r="30" customFormat="false" ht="15" hidden="false" customHeight="false" outlineLevel="0" collapsed="false">
      <c r="A30" s="14" t="n">
        <f aca="false">IF(B30="","",23)</f>
        <v>23</v>
      </c>
      <c r="B30" s="14" t="n">
        <f aca="false">IFERROR(MATCH(LARGE(Takip!$T$2:$T$501,23),Takip!$T$2:$T$501,0)+1,"")</f>
        <v>129</v>
      </c>
      <c r="C30" s="14" t="n">
        <f aca="false">IF(B30="","",INDEX(Takip!$M:$M,B30))</f>
        <v>21</v>
      </c>
      <c r="D30" s="14" t="str">
        <f aca="false">IF($B30="","",INDEX(Takip!$C:$C,$B30))</f>
        <v>Bölge 6</v>
      </c>
      <c r="E30" s="14" t="str">
        <f aca="false">IF($B30="","",INDEX(Takip!$D:$D,$B30))</f>
        <v>Mağaza 6D</v>
      </c>
      <c r="F30" s="14" t="str">
        <f aca="false">IF($B30="","",INDEX(Takip!$A:$A,$B30))</f>
        <v>S10128</v>
      </c>
      <c r="G30" s="14" t="str">
        <f aca="false">IF($B30="","",INDEX(Takip!$B:$B,$B30))</f>
        <v>Melis Kaya</v>
      </c>
      <c r="H30" s="16" t="str">
        <f aca="false">IF($B30="","",INDEX(Takip!$Q:$Q,$B30))</f>
        <v>ALARM</v>
      </c>
      <c r="I30" s="17" t="n">
        <f aca="false">IF($B30="","",INDEX(Takip!$K:$K,$B30))</f>
        <v>46372</v>
      </c>
      <c r="J30" s="14" t="str">
        <f aca="false">IF($B30="","",INDEX(Takip!$R:$R,$B30))</f>
        <v/>
      </c>
    </row>
    <row r="31" customFormat="false" ht="15" hidden="false" customHeight="false" outlineLevel="0" collapsed="false">
      <c r="A31" s="14" t="n">
        <f aca="false">IF(B31="","",24)</f>
        <v>24</v>
      </c>
      <c r="B31" s="14" t="n">
        <f aca="false">IFERROR(MATCH(LARGE(Takip!$T$2:$T$501,24),Takip!$T$2:$T$501,0)+1,"")</f>
        <v>120</v>
      </c>
      <c r="C31" s="14" t="n">
        <f aca="false">IF(B31="","",INDEX(Takip!$M:$M,B31))</f>
        <v>21</v>
      </c>
      <c r="D31" s="14" t="str">
        <f aca="false">IF($B31="","",INDEX(Takip!$C:$C,$B31))</f>
        <v>Bölge 6</v>
      </c>
      <c r="E31" s="14" t="str">
        <f aca="false">IF($B31="","",INDEX(Takip!$D:$D,$B31))</f>
        <v>Mağaza 6B</v>
      </c>
      <c r="F31" s="14" t="str">
        <f aca="false">IF($B31="","",INDEX(Takip!$A:$A,$B31))</f>
        <v>S10119</v>
      </c>
      <c r="G31" s="14" t="str">
        <f aca="false">IF($B31="","",INDEX(Takip!$B:$B,$B31))</f>
        <v>Can Kurt</v>
      </c>
      <c r="H31" s="16" t="str">
        <f aca="false">IF($B31="","",INDEX(Takip!$Q:$Q,$B31))</f>
        <v>ALARM</v>
      </c>
      <c r="I31" s="17" t="n">
        <f aca="false">IF($B31="","",INDEX(Takip!$K:$K,$B31))</f>
        <v>46370</v>
      </c>
      <c r="J31" s="14" t="str">
        <f aca="false">IF($B31="","",INDEX(Takip!$R:$R,$B31))</f>
        <v/>
      </c>
    </row>
    <row r="32" customFormat="false" ht="15" hidden="false" customHeight="false" outlineLevel="0" collapsed="false">
      <c r="A32" s="14" t="n">
        <f aca="false">IF(B32="","",25)</f>
        <v>25</v>
      </c>
      <c r="B32" s="14" t="n">
        <f aca="false">IFERROR(MATCH(LARGE(Takip!$T$2:$T$501,25),Takip!$T$2:$T$501,0)+1,"")</f>
        <v>119</v>
      </c>
      <c r="C32" s="14" t="n">
        <f aca="false">IF(B32="","",INDEX(Takip!$M:$M,B32))</f>
        <v>21</v>
      </c>
      <c r="D32" s="14" t="str">
        <f aca="false">IF($B32="","",INDEX(Takip!$C:$C,$B32))</f>
        <v>Bölge 6</v>
      </c>
      <c r="E32" s="14" t="str">
        <f aca="false">IF($B32="","",INDEX(Takip!$D:$D,$B32))</f>
        <v>Mağaza 6B</v>
      </c>
      <c r="F32" s="14" t="str">
        <f aca="false">IF($B32="","",INDEX(Takip!$A:$A,$B32))</f>
        <v>S10118</v>
      </c>
      <c r="G32" s="14" t="str">
        <f aca="false">IF($B32="","",INDEX(Takip!$B:$B,$B32))</f>
        <v>Ayşe Öztürk</v>
      </c>
      <c r="H32" s="16" t="str">
        <f aca="false">IF($B32="","",INDEX(Takip!$Q:$Q,$B32))</f>
        <v>ALARM</v>
      </c>
      <c r="I32" s="17" t="n">
        <f aca="false">IF($B32="","",INDEX(Takip!$K:$K,$B32))</f>
        <v>46298</v>
      </c>
      <c r="J32" s="14" t="str">
        <f aca="false">IF($B32="","",INDEX(Takip!$R:$R,$B32))</f>
        <v>Evet</v>
      </c>
    </row>
    <row r="33" customFormat="false" ht="15" hidden="false" customHeight="false" outlineLevel="0" collapsed="false">
      <c r="A33" s="14" t="n">
        <f aca="false">IF(B33="","",26)</f>
        <v>26</v>
      </c>
      <c r="B33" s="14" t="n">
        <f aca="false">IFERROR(MATCH(LARGE(Takip!$T$2:$T$501,26),Takip!$T$2:$T$501,0)+1,"")</f>
        <v>25</v>
      </c>
      <c r="C33" s="14" t="n">
        <f aca="false">IF(B33="","",INDEX(Takip!$M:$M,B33))</f>
        <v>21</v>
      </c>
      <c r="D33" s="14" t="str">
        <f aca="false">IF($B33="","",INDEX(Takip!$C:$C,$B33))</f>
        <v>Bölge 2</v>
      </c>
      <c r="E33" s="14" t="str">
        <f aca="false">IF($B33="","",INDEX(Takip!$D:$D,$B33))</f>
        <v>Mağaza 2A</v>
      </c>
      <c r="F33" s="14" t="str">
        <f aca="false">IF($B33="","",INDEX(Takip!$A:$A,$B33))</f>
        <v>S10024</v>
      </c>
      <c r="G33" s="14" t="str">
        <f aca="false">IF($B33="","",INDEX(Takip!$B:$B,$B33))</f>
        <v>Buse Kaya</v>
      </c>
      <c r="H33" s="16" t="str">
        <f aca="false">IF($B33="","",INDEX(Takip!$Q:$Q,$B33))</f>
        <v>ALARM</v>
      </c>
      <c r="I33" s="17" t="n">
        <f aca="false">IF($B33="","",INDEX(Takip!$K:$K,$B33))</f>
        <v>46380</v>
      </c>
      <c r="J33" s="14" t="str">
        <f aca="false">IF($B33="","",INDEX(Takip!$R:$R,$B33))</f>
        <v/>
      </c>
    </row>
    <row r="34" customFormat="false" ht="15" hidden="false" customHeight="false" outlineLevel="0" collapsed="false">
      <c r="A34" s="14" t="n">
        <f aca="false">IF(B34="","",27)</f>
        <v>27</v>
      </c>
      <c r="B34" s="14" t="n">
        <f aca="false">IFERROR(MATCH(LARGE(Takip!$T$2:$T$501,27),Takip!$T$2:$T$501,0)+1,"")</f>
        <v>127</v>
      </c>
      <c r="C34" s="14" t="n">
        <f aca="false">IF(B34="","",INDEX(Takip!$M:$M,B34))</f>
        <v>19</v>
      </c>
      <c r="D34" s="14" t="str">
        <f aca="false">IF($B34="","",INDEX(Takip!$C:$C,$B34))</f>
        <v>Bölge 6</v>
      </c>
      <c r="E34" s="14" t="str">
        <f aca="false">IF($B34="","",INDEX(Takip!$D:$D,$B34))</f>
        <v>Mağaza 6D</v>
      </c>
      <c r="F34" s="14" t="str">
        <f aca="false">IF($B34="","",INDEX(Takip!$A:$A,$B34))</f>
        <v>S10126</v>
      </c>
      <c r="G34" s="14" t="str">
        <f aca="false">IF($B34="","",INDEX(Takip!$B:$B,$B34))</f>
        <v>Umut Aydın</v>
      </c>
      <c r="H34" s="16" t="str">
        <f aca="false">IF($B34="","",INDEX(Takip!$Q:$Q,$B34))</f>
        <v>Planla</v>
      </c>
      <c r="I34" s="17" t="n">
        <f aca="false">IF($B34="","",INDEX(Takip!$K:$K,$B34))</f>
        <v>46594</v>
      </c>
      <c r="J34" s="14" t="str">
        <f aca="false">IF($B34="","",INDEX(Takip!$R:$R,$B34))</f>
        <v/>
      </c>
    </row>
    <row r="35" customFormat="false" ht="15" hidden="false" customHeight="false" outlineLevel="0" collapsed="false">
      <c r="A35" s="14" t="n">
        <f aca="false">IF(B35="","",28)</f>
        <v>28</v>
      </c>
      <c r="B35" s="14" t="n">
        <f aca="false">IFERROR(MATCH(LARGE(Takip!$T$2:$T$501,28),Takip!$T$2:$T$501,0)+1,"")</f>
        <v>123</v>
      </c>
      <c r="C35" s="14" t="n">
        <f aca="false">IF(B35="","",INDEX(Takip!$M:$M,B35))</f>
        <v>19</v>
      </c>
      <c r="D35" s="14" t="str">
        <f aca="false">IF($B35="","",INDEX(Takip!$C:$C,$B35))</f>
        <v>Bölge 6</v>
      </c>
      <c r="E35" s="14" t="str">
        <f aca="false">IF($B35="","",INDEX(Takip!$D:$D,$B35))</f>
        <v>Mağaza 6C</v>
      </c>
      <c r="F35" s="14" t="str">
        <f aca="false">IF($B35="","",INDEX(Takip!$A:$A,$B35))</f>
        <v>S10122</v>
      </c>
      <c r="G35" s="14" t="str">
        <f aca="false">IF($B35="","",INDEX(Takip!$B:$B,$B35))</f>
        <v>Can Öztürk</v>
      </c>
      <c r="H35" s="16" t="str">
        <f aca="false">IF($B35="","",INDEX(Takip!$Q:$Q,$B35))</f>
        <v>Planla</v>
      </c>
      <c r="I35" s="17" t="n">
        <f aca="false">IF($B35="","",INDEX(Takip!$K:$K,$B35))</f>
        <v>46644</v>
      </c>
      <c r="J35" s="14" t="str">
        <f aca="false">IF($B35="","",INDEX(Takip!$R:$R,$B35))</f>
        <v/>
      </c>
    </row>
    <row r="36" customFormat="false" ht="15" hidden="false" customHeight="false" outlineLevel="0" collapsed="false">
      <c r="A36" s="14" t="n">
        <f aca="false">IF(B36="","",29)</f>
        <v>29</v>
      </c>
      <c r="B36" s="14" t="n">
        <f aca="false">IFERROR(MATCH(LARGE(Takip!$T$2:$T$501,29),Takip!$T$2:$T$501,0)+1,"")</f>
        <v>121</v>
      </c>
      <c r="C36" s="14" t="n">
        <f aca="false">IF(B36="","",INDEX(Takip!$M:$M,B36))</f>
        <v>19</v>
      </c>
      <c r="D36" s="14" t="str">
        <f aca="false">IF($B36="","",INDEX(Takip!$C:$C,$B36))</f>
        <v>Bölge 6</v>
      </c>
      <c r="E36" s="14" t="str">
        <f aca="false">IF($B36="","",INDEX(Takip!$D:$D,$B36))</f>
        <v>Mağaza 6C</v>
      </c>
      <c r="F36" s="14" t="str">
        <f aca="false">IF($B36="","",INDEX(Takip!$A:$A,$B36))</f>
        <v>S10120</v>
      </c>
      <c r="G36" s="14" t="str">
        <f aca="false">IF($B36="","",INDEX(Takip!$B:$B,$B36))</f>
        <v>Umut Arslan</v>
      </c>
      <c r="H36" s="16" t="str">
        <f aca="false">IF($B36="","",INDEX(Takip!$Q:$Q,$B36))</f>
        <v>Planla</v>
      </c>
      <c r="I36" s="17" t="n">
        <f aca="false">IF($B36="","",INDEX(Takip!$K:$K,$B36))</f>
        <v>46366</v>
      </c>
      <c r="J36" s="14" t="str">
        <f aca="false">IF($B36="","",INDEX(Takip!$R:$R,$B36))</f>
        <v/>
      </c>
    </row>
    <row r="37" customFormat="false" ht="15" hidden="false" customHeight="false" outlineLevel="0" collapsed="false">
      <c r="A37" s="14" t="n">
        <f aca="false">IF(B37="","",30)</f>
        <v>30</v>
      </c>
      <c r="B37" s="14" t="n">
        <f aca="false">IFERROR(MATCH(LARGE(Takip!$T$2:$T$501,30),Takip!$T$2:$T$501,0)+1,"")</f>
        <v>113</v>
      </c>
      <c r="C37" s="14" t="n">
        <f aca="false">IF(B37="","",INDEX(Takip!$M:$M,B37))</f>
        <v>19</v>
      </c>
      <c r="D37" s="14" t="str">
        <f aca="false">IF($B37="","",INDEX(Takip!$C:$C,$B37))</f>
        <v>Bölge 6</v>
      </c>
      <c r="E37" s="14" t="str">
        <f aca="false">IF($B37="","",INDEX(Takip!$D:$D,$B37))</f>
        <v>Mağaza 6B</v>
      </c>
      <c r="F37" s="14" t="str">
        <f aca="false">IF($B37="","",INDEX(Takip!$A:$A,$B37))</f>
        <v>S10112</v>
      </c>
      <c r="G37" s="14" t="str">
        <f aca="false">IF($B37="","",INDEX(Takip!$B:$B,$B37))</f>
        <v>Deniz Öztürk</v>
      </c>
      <c r="H37" s="16" t="str">
        <f aca="false">IF($B37="","",INDEX(Takip!$Q:$Q,$B37))</f>
        <v>Planla</v>
      </c>
      <c r="I37" s="17" t="n">
        <f aca="false">IF($B37="","",INDEX(Takip!$K:$K,$B37))</f>
        <v>46556</v>
      </c>
      <c r="J37" s="14" t="str">
        <f aca="false">IF($B37="","",INDEX(Takip!$R:$R,$B37))</f>
        <v/>
      </c>
    </row>
    <row r="38" customFormat="false" ht="15" hidden="false" customHeight="false" outlineLevel="0" collapsed="false">
      <c r="A38" s="14" t="n">
        <f aca="false">IF(B38="","",31)</f>
        <v>31</v>
      </c>
      <c r="B38" s="14" t="n">
        <f aca="false">IFERROR(MATCH(LARGE(Takip!$T$2:$T$501,31),Takip!$T$2:$T$501,0)+1,"")</f>
        <v>98</v>
      </c>
      <c r="C38" s="14" t="n">
        <f aca="false">IF(B38="","",INDEX(Takip!$M:$M,B38))</f>
        <v>19</v>
      </c>
      <c r="D38" s="14" t="str">
        <f aca="false">IF($B38="","",INDEX(Takip!$C:$C,$B38))</f>
        <v>Bölge 5</v>
      </c>
      <c r="E38" s="14" t="str">
        <f aca="false">IF($B38="","",INDEX(Takip!$D:$D,$B38))</f>
        <v>Mağaza 5C</v>
      </c>
      <c r="F38" s="14" t="str">
        <f aca="false">IF($B38="","",INDEX(Takip!$A:$A,$B38))</f>
        <v>S10097</v>
      </c>
      <c r="G38" s="14" t="str">
        <f aca="false">IF($B38="","",INDEX(Takip!$B:$B,$B38))</f>
        <v>İrem Doğan</v>
      </c>
      <c r="H38" s="16" t="str">
        <f aca="false">IF($B38="","",INDEX(Takip!$Q:$Q,$B38))</f>
        <v>Planla</v>
      </c>
      <c r="I38" s="17" t="n">
        <f aca="false">IF($B38="","",INDEX(Takip!$K:$K,$B38))</f>
        <v>46424</v>
      </c>
      <c r="J38" s="14" t="str">
        <f aca="false">IF($B38="","",INDEX(Takip!$R:$R,$B38))</f>
        <v/>
      </c>
    </row>
    <row r="39" customFormat="false" ht="15" hidden="false" customHeight="false" outlineLevel="0" collapsed="false">
      <c r="A39" s="14" t="n">
        <f aca="false">IF(B39="","",32)</f>
        <v>32</v>
      </c>
      <c r="B39" s="14" t="n">
        <f aca="false">IFERROR(MATCH(LARGE(Takip!$T$2:$T$501,32),Takip!$T$2:$T$501,0)+1,"")</f>
        <v>95</v>
      </c>
      <c r="C39" s="14" t="n">
        <f aca="false">IF(B39="","",INDEX(Takip!$M:$M,B39))</f>
        <v>19</v>
      </c>
      <c r="D39" s="14" t="str">
        <f aca="false">IF($B39="","",INDEX(Takip!$C:$C,$B39))</f>
        <v>Bölge 5</v>
      </c>
      <c r="E39" s="14" t="str">
        <f aca="false">IF($B39="","",INDEX(Takip!$D:$D,$B39))</f>
        <v>Mağaza 5B</v>
      </c>
      <c r="F39" s="14" t="str">
        <f aca="false">IF($B39="","",INDEX(Takip!$A:$A,$B39))</f>
        <v>S10094</v>
      </c>
      <c r="G39" s="14" t="str">
        <f aca="false">IF($B39="","",INDEX(Takip!$B:$B,$B39))</f>
        <v>Pınar Aydın</v>
      </c>
      <c r="H39" s="16" t="str">
        <f aca="false">IF($B39="","",INDEX(Takip!$Q:$Q,$B39))</f>
        <v>Planla</v>
      </c>
      <c r="I39" s="17" t="n">
        <f aca="false">IF($B39="","",INDEX(Takip!$K:$K,$B39))</f>
        <v>46394</v>
      </c>
      <c r="J39" s="14" t="str">
        <f aca="false">IF($B39="","",INDEX(Takip!$R:$R,$B39))</f>
        <v/>
      </c>
    </row>
    <row r="40" customFormat="false" ht="15" hidden="false" customHeight="false" outlineLevel="0" collapsed="false">
      <c r="A40" s="14" t="n">
        <f aca="false">IF(B40="","",33)</f>
        <v>33</v>
      </c>
      <c r="B40" s="14" t="n">
        <f aca="false">IFERROR(MATCH(LARGE(Takip!$T$2:$T$501,33),Takip!$T$2:$T$501,0)+1,"")</f>
        <v>92</v>
      </c>
      <c r="C40" s="14" t="n">
        <f aca="false">IF(B40="","",INDEX(Takip!$M:$M,B40))</f>
        <v>19</v>
      </c>
      <c r="D40" s="14" t="str">
        <f aca="false">IF($B40="","",INDEX(Takip!$C:$C,$B40))</f>
        <v>Bölge 5</v>
      </c>
      <c r="E40" s="14" t="str">
        <f aca="false">IF($B40="","",INDEX(Takip!$D:$D,$B40))</f>
        <v>Mağaza 5B</v>
      </c>
      <c r="F40" s="14" t="str">
        <f aca="false">IF($B40="","",INDEX(Takip!$A:$A,$B40))</f>
        <v>S10091</v>
      </c>
      <c r="G40" s="14" t="str">
        <f aca="false">IF($B40="","",INDEX(Takip!$B:$B,$B40))</f>
        <v>Elif Doğan</v>
      </c>
      <c r="H40" s="16" t="str">
        <f aca="false">IF($B40="","",INDEX(Takip!$Q:$Q,$B40))</f>
        <v>Planla</v>
      </c>
      <c r="I40" s="17" t="n">
        <f aca="false">IF($B40="","",INDEX(Takip!$K:$K,$B40))</f>
        <v>46604</v>
      </c>
      <c r="J40" s="14" t="str">
        <f aca="false">IF($B40="","",INDEX(Takip!$R:$R,$B40))</f>
        <v/>
      </c>
    </row>
    <row r="41" customFormat="false" ht="15" hidden="false" customHeight="false" outlineLevel="0" collapsed="false">
      <c r="A41" s="14" t="n">
        <f aca="false">IF(B41="","",34)</f>
        <v>34</v>
      </c>
      <c r="B41" s="14" t="n">
        <f aca="false">IFERROR(MATCH(LARGE(Takip!$T$2:$T$501,34),Takip!$T$2:$T$501,0)+1,"")</f>
        <v>88</v>
      </c>
      <c r="C41" s="14" t="n">
        <f aca="false">IF(B41="","",INDEX(Takip!$M:$M,B41))</f>
        <v>19</v>
      </c>
      <c r="D41" s="14" t="str">
        <f aca="false">IF($B41="","",INDEX(Takip!$C:$C,$B41))</f>
        <v>Bölge 5</v>
      </c>
      <c r="E41" s="14" t="str">
        <f aca="false">IF($B41="","",INDEX(Takip!$D:$D,$B41))</f>
        <v>Mağaza 5A</v>
      </c>
      <c r="F41" s="14" t="str">
        <f aca="false">IF($B41="","",INDEX(Takip!$A:$A,$B41))</f>
        <v>S10087</v>
      </c>
      <c r="G41" s="14" t="str">
        <f aca="false">IF($B41="","",INDEX(Takip!$B:$B,$B41))</f>
        <v>Mert Kılıç</v>
      </c>
      <c r="H41" s="16" t="str">
        <f aca="false">IF($B41="","",INDEX(Takip!$Q:$Q,$B41))</f>
        <v>Planla</v>
      </c>
      <c r="I41" s="17" t="n">
        <f aca="false">IF($B41="","",INDEX(Takip!$K:$K,$B41))</f>
        <v>46642</v>
      </c>
      <c r="J41" s="14" t="str">
        <f aca="false">IF($B41="","",INDEX(Takip!$R:$R,$B41))</f>
        <v/>
      </c>
    </row>
    <row r="42" customFormat="false" ht="15" hidden="false" customHeight="false" outlineLevel="0" collapsed="false">
      <c r="A42" s="14" t="n">
        <f aca="false">IF(B42="","",35)</f>
        <v>35</v>
      </c>
      <c r="B42" s="14" t="n">
        <f aca="false">IFERROR(MATCH(LARGE(Takip!$T$2:$T$501,35),Takip!$T$2:$T$501,0)+1,"")</f>
        <v>86</v>
      </c>
      <c r="C42" s="14" t="n">
        <f aca="false">IF(B42="","",INDEX(Takip!$M:$M,B42))</f>
        <v>19</v>
      </c>
      <c r="D42" s="14" t="str">
        <f aca="false">IF($B42="","",INDEX(Takip!$C:$C,$B42))</f>
        <v>Bölge 5</v>
      </c>
      <c r="E42" s="14" t="str">
        <f aca="false">IF($B42="","",INDEX(Takip!$D:$D,$B42))</f>
        <v>Mağaza 5A</v>
      </c>
      <c r="F42" s="14" t="str">
        <f aca="false">IF($B42="","",INDEX(Takip!$A:$A,$B42))</f>
        <v>S10085</v>
      </c>
      <c r="G42" s="14" t="str">
        <f aca="false">IF($B42="","",INDEX(Takip!$B:$B,$B42))</f>
        <v>İrem Öztürk</v>
      </c>
      <c r="H42" s="16" t="str">
        <f aca="false">IF($B42="","",INDEX(Takip!$Q:$Q,$B42))</f>
        <v>Planla</v>
      </c>
      <c r="I42" s="17" t="n">
        <f aca="false">IF($B42="","",INDEX(Takip!$K:$K,$B42))</f>
        <v>46520</v>
      </c>
      <c r="J42" s="14" t="str">
        <f aca="false">IF($B42="","",INDEX(Takip!$R:$R,$B42))</f>
        <v/>
      </c>
    </row>
    <row r="43" customFormat="false" ht="15" hidden="false" customHeight="false" outlineLevel="0" collapsed="false">
      <c r="A43" s="14" t="n">
        <f aca="false">IF(B43="","",36)</f>
        <v>36</v>
      </c>
      <c r="B43" s="14" t="n">
        <f aca="false">IFERROR(MATCH(LARGE(Takip!$T$2:$T$501,36),Takip!$T$2:$T$501,0)+1,"")</f>
        <v>79</v>
      </c>
      <c r="C43" s="14" t="n">
        <f aca="false">IF(B43="","",INDEX(Takip!$M:$M,B43))</f>
        <v>19</v>
      </c>
      <c r="D43" s="14" t="str">
        <f aca="false">IF($B43="","",INDEX(Takip!$C:$C,$B43))</f>
        <v>Bölge 4</v>
      </c>
      <c r="E43" s="14" t="str">
        <f aca="false">IF($B43="","",INDEX(Takip!$D:$D,$B43))</f>
        <v>Mağaza 4C</v>
      </c>
      <c r="F43" s="14" t="str">
        <f aca="false">IF($B43="","",INDEX(Takip!$A:$A,$B43))</f>
        <v>S10078</v>
      </c>
      <c r="G43" s="14" t="str">
        <f aca="false">IF($B43="","",INDEX(Takip!$B:$B,$B43))</f>
        <v>Emre Koç</v>
      </c>
      <c r="H43" s="16" t="str">
        <f aca="false">IF($B43="","",INDEX(Takip!$Q:$Q,$B43))</f>
        <v>Planla</v>
      </c>
      <c r="I43" s="17" t="n">
        <f aca="false">IF($B43="","",INDEX(Takip!$K:$K,$B43))</f>
        <v>46495</v>
      </c>
      <c r="J43" s="14" t="str">
        <f aca="false">IF($B43="","",INDEX(Takip!$R:$R,$B43))</f>
        <v/>
      </c>
    </row>
    <row r="44" customFormat="false" ht="15" hidden="false" customHeight="false" outlineLevel="0" collapsed="false">
      <c r="A44" s="14" t="n">
        <f aca="false">IF(B44="","",37)</f>
        <v>37</v>
      </c>
      <c r="B44" s="14" t="n">
        <f aca="false">IFERROR(MATCH(LARGE(Takip!$T$2:$T$501,37),Takip!$T$2:$T$501,0)+1,"")</f>
        <v>54</v>
      </c>
      <c r="C44" s="14" t="n">
        <f aca="false">IF(B44="","",INDEX(Takip!$M:$M,B44))</f>
        <v>19</v>
      </c>
      <c r="D44" s="14" t="str">
        <f aca="false">IF($B44="","",INDEX(Takip!$C:$C,$B44))</f>
        <v>Bölge 3</v>
      </c>
      <c r="E44" s="14" t="str">
        <f aca="false">IF($B44="","",INDEX(Takip!$D:$D,$B44))</f>
        <v>Mağaza 3B</v>
      </c>
      <c r="F44" s="14" t="str">
        <f aca="false">IF($B44="","",INDEX(Takip!$A:$A,$B44))</f>
        <v>S10053</v>
      </c>
      <c r="G44" s="14" t="str">
        <f aca="false">IF($B44="","",INDEX(Takip!$B:$B,$B44))</f>
        <v>Can Yılmaz</v>
      </c>
      <c r="H44" s="16" t="str">
        <f aca="false">IF($B44="","",INDEX(Takip!$Q:$Q,$B44))</f>
        <v>Planla</v>
      </c>
      <c r="I44" s="17" t="n">
        <f aca="false">IF($B44="","",INDEX(Takip!$K:$K,$B44))</f>
        <v>46368</v>
      </c>
      <c r="J44" s="14" t="str">
        <f aca="false">IF($B44="","",INDEX(Takip!$R:$R,$B44))</f>
        <v/>
      </c>
    </row>
    <row r="45" customFormat="false" ht="15" hidden="false" customHeight="false" outlineLevel="0" collapsed="false">
      <c r="A45" s="14" t="n">
        <f aca="false">IF(B45="","",38)</f>
        <v>38</v>
      </c>
      <c r="B45" s="14" t="n">
        <f aca="false">IFERROR(MATCH(LARGE(Takip!$T$2:$T$501,38),Takip!$T$2:$T$501,0)+1,"")</f>
        <v>50</v>
      </c>
      <c r="C45" s="14" t="n">
        <f aca="false">IF(B45="","",INDEX(Takip!$M:$M,B45))</f>
        <v>19</v>
      </c>
      <c r="D45" s="14" t="str">
        <f aca="false">IF($B45="","",INDEX(Takip!$C:$C,$B45))</f>
        <v>Bölge 3</v>
      </c>
      <c r="E45" s="14" t="str">
        <f aca="false">IF($B45="","",INDEX(Takip!$D:$D,$B45))</f>
        <v>Mağaza 3B</v>
      </c>
      <c r="F45" s="14" t="str">
        <f aca="false">IF($B45="","",INDEX(Takip!$A:$A,$B45))</f>
        <v>S10049</v>
      </c>
      <c r="G45" s="14" t="str">
        <f aca="false">IF($B45="","",INDEX(Takip!$B:$B,$B45))</f>
        <v>Deniz Aslan</v>
      </c>
      <c r="H45" s="16" t="str">
        <f aca="false">IF($B45="","",INDEX(Takip!$Q:$Q,$B45))</f>
        <v>Planla</v>
      </c>
      <c r="I45" s="17" t="n">
        <f aca="false">IF($B45="","",INDEX(Takip!$K:$K,$B45))</f>
        <v>46329</v>
      </c>
      <c r="J45" s="14" t="str">
        <f aca="false">IF($B45="","",INDEX(Takip!$R:$R,$B45))</f>
        <v>Evet</v>
      </c>
    </row>
    <row r="46" customFormat="false" ht="15" hidden="false" customHeight="false" outlineLevel="0" collapsed="false">
      <c r="A46" s="14" t="n">
        <f aca="false">IF(B46="","",39)</f>
        <v>39</v>
      </c>
      <c r="B46" s="14" t="n">
        <f aca="false">IFERROR(MATCH(LARGE(Takip!$T$2:$T$501,39),Takip!$T$2:$T$501,0)+1,"")</f>
        <v>49</v>
      </c>
      <c r="C46" s="14" t="n">
        <f aca="false">IF(B46="","",INDEX(Takip!$M:$M,B46))</f>
        <v>19</v>
      </c>
      <c r="D46" s="14" t="str">
        <f aca="false">IF($B46="","",INDEX(Takip!$C:$C,$B46))</f>
        <v>Bölge 3</v>
      </c>
      <c r="E46" s="14" t="str">
        <f aca="false">IF($B46="","",INDEX(Takip!$D:$D,$B46))</f>
        <v>Mağaza 3B</v>
      </c>
      <c r="F46" s="14" t="str">
        <f aca="false">IF($B46="","",INDEX(Takip!$A:$A,$B46))</f>
        <v>S10048</v>
      </c>
      <c r="G46" s="14" t="str">
        <f aca="false">IF($B46="","",INDEX(Takip!$B:$B,$B46))</f>
        <v>Gizem Yılmaz</v>
      </c>
      <c r="H46" s="16" t="str">
        <f aca="false">IF($B46="","",INDEX(Takip!$Q:$Q,$B46))</f>
        <v>Planla</v>
      </c>
      <c r="I46" s="17" t="n">
        <f aca="false">IF($B46="","",INDEX(Takip!$K:$K,$B46))</f>
        <v>46512</v>
      </c>
      <c r="J46" s="14" t="str">
        <f aca="false">IF($B46="","",INDEX(Takip!$R:$R,$B46))</f>
        <v/>
      </c>
    </row>
    <row r="47" customFormat="false" ht="15" hidden="false" customHeight="false" outlineLevel="0" collapsed="false">
      <c r="A47" s="14" t="n">
        <f aca="false">IF(B47="","",40)</f>
        <v>40</v>
      </c>
      <c r="B47" s="14" t="n">
        <f aca="false">IFERROR(MATCH(LARGE(Takip!$T$2:$T$501,40),Takip!$T$2:$T$501,0)+1,"")</f>
        <v>42</v>
      </c>
      <c r="C47" s="14" t="n">
        <f aca="false">IF(B47="","",INDEX(Takip!$M:$M,B47))</f>
        <v>19</v>
      </c>
      <c r="D47" s="14" t="str">
        <f aca="false">IF($B47="","",INDEX(Takip!$C:$C,$B47))</f>
        <v>Bölge 2</v>
      </c>
      <c r="E47" s="14" t="str">
        <f aca="false">IF($B47="","",INDEX(Takip!$D:$D,$B47))</f>
        <v>Mağaza 2C</v>
      </c>
      <c r="F47" s="14" t="str">
        <f aca="false">IF($B47="","",INDEX(Takip!$A:$A,$B47))</f>
        <v>S10041</v>
      </c>
      <c r="G47" s="14" t="str">
        <f aca="false">IF($B47="","",INDEX(Takip!$B:$B,$B47))</f>
        <v>Melis Arslan</v>
      </c>
      <c r="H47" s="16" t="str">
        <f aca="false">IF($B47="","",INDEX(Takip!$Q:$Q,$B47))</f>
        <v>Planla</v>
      </c>
      <c r="I47" s="17" t="n">
        <f aca="false">IF($B47="","",INDEX(Takip!$K:$K,$B47))</f>
        <v>46583</v>
      </c>
      <c r="J47" s="14" t="str">
        <f aca="false">IF($B47="","",INDEX(Takip!$R:$R,$B47))</f>
        <v/>
      </c>
    </row>
    <row r="48" customFormat="false" ht="15" hidden="false" customHeight="false" outlineLevel="0" collapsed="false">
      <c r="A48" s="14" t="n">
        <f aca="false">IF(B48="","",41)</f>
        <v>41</v>
      </c>
      <c r="B48" s="14" t="n">
        <f aca="false">IFERROR(MATCH(LARGE(Takip!$T$2:$T$501,41),Takip!$T$2:$T$501,0)+1,"")</f>
        <v>5</v>
      </c>
      <c r="C48" s="14" t="n">
        <f aca="false">IF(B48="","",INDEX(Takip!$M:$M,B48))</f>
        <v>19</v>
      </c>
      <c r="D48" s="14" t="str">
        <f aca="false">IF($B48="","",INDEX(Takip!$C:$C,$B48))</f>
        <v>Bölge 1</v>
      </c>
      <c r="E48" s="14" t="str">
        <f aca="false">IF($B48="","",INDEX(Takip!$D:$D,$B48))</f>
        <v>Mağaza 1A</v>
      </c>
      <c r="F48" s="14" t="str">
        <f aca="false">IF($B48="","",INDEX(Takip!$A:$A,$B48))</f>
        <v>S10004</v>
      </c>
      <c r="G48" s="14" t="str">
        <f aca="false">IF($B48="","",INDEX(Takip!$B:$B,$B48))</f>
        <v>Onur Yılmaz</v>
      </c>
      <c r="H48" s="16" t="str">
        <f aca="false">IF($B48="","",INDEX(Takip!$Q:$Q,$B48))</f>
        <v>Planla</v>
      </c>
      <c r="I48" s="17" t="n">
        <f aca="false">IF($B48="","",INDEX(Takip!$K:$K,$B48))</f>
        <v>46556</v>
      </c>
      <c r="J48" s="14" t="str">
        <f aca="false">IF($B48="","",INDEX(Takip!$R:$R,$B48))</f>
        <v/>
      </c>
    </row>
    <row r="49" customFormat="false" ht="15" hidden="false" customHeight="false" outlineLevel="0" collapsed="false">
      <c r="A49" s="14" t="n">
        <f aca="false">IF(B49="","",42)</f>
        <v>42</v>
      </c>
      <c r="B49" s="14" t="n">
        <f aca="false">IFERROR(MATCH(LARGE(Takip!$T$2:$T$501,42),Takip!$T$2:$T$501,0)+1,"")</f>
        <v>132</v>
      </c>
      <c r="C49" s="14" t="n">
        <f aca="false">IF(B49="","",INDEX(Takip!$M:$M,B49))</f>
        <v>17</v>
      </c>
      <c r="D49" s="14" t="str">
        <f aca="false">IF($B49="","",INDEX(Takip!$C:$C,$B49))</f>
        <v>Bölge 6</v>
      </c>
      <c r="E49" s="14" t="str">
        <f aca="false">IF($B49="","",INDEX(Takip!$D:$D,$B49))</f>
        <v>Mağaza 6D</v>
      </c>
      <c r="F49" s="14" t="str">
        <f aca="false">IF($B49="","",INDEX(Takip!$A:$A,$B49))</f>
        <v>S10131</v>
      </c>
      <c r="G49" s="14" t="str">
        <f aca="false">IF($B49="","",INDEX(Takip!$B:$B,$B49))</f>
        <v>Selin Öztürk</v>
      </c>
      <c r="H49" s="16" t="str">
        <f aca="false">IF($B49="","",INDEX(Takip!$Q:$Q,$B49))</f>
        <v>Planla</v>
      </c>
      <c r="I49" s="17" t="n">
        <f aca="false">IF($B49="","",INDEX(Takip!$K:$K,$B49))</f>
        <v>46498</v>
      </c>
      <c r="J49" s="14" t="str">
        <f aca="false">IF($B49="","",INDEX(Takip!$R:$R,$B49))</f>
        <v/>
      </c>
    </row>
    <row r="50" customFormat="false" ht="15" hidden="false" customHeight="false" outlineLevel="0" collapsed="false">
      <c r="A50" s="14" t="n">
        <f aca="false">IF(B50="","",43)</f>
        <v>43</v>
      </c>
      <c r="B50" s="14" t="n">
        <f aca="false">IFERROR(MATCH(LARGE(Takip!$T$2:$T$501,43),Takip!$T$2:$T$501,0)+1,"")</f>
        <v>124</v>
      </c>
      <c r="C50" s="14" t="n">
        <f aca="false">IF(B50="","",INDEX(Takip!$M:$M,B50))</f>
        <v>17</v>
      </c>
      <c r="D50" s="14" t="str">
        <f aca="false">IF($B50="","",INDEX(Takip!$C:$C,$B50))</f>
        <v>Bölge 6</v>
      </c>
      <c r="E50" s="14" t="str">
        <f aca="false">IF($B50="","",INDEX(Takip!$D:$D,$B50))</f>
        <v>Mağaza 6C</v>
      </c>
      <c r="F50" s="14" t="str">
        <f aca="false">IF($B50="","",INDEX(Takip!$A:$A,$B50))</f>
        <v>S10123</v>
      </c>
      <c r="G50" s="14" t="str">
        <f aca="false">IF($B50="","",INDEX(Takip!$B:$B,$B50))</f>
        <v>Can Kılıç</v>
      </c>
      <c r="H50" s="16" t="str">
        <f aca="false">IF($B50="","",INDEX(Takip!$Q:$Q,$B50))</f>
        <v>Planla</v>
      </c>
      <c r="I50" s="17" t="n">
        <f aca="false">IF($B50="","",INDEX(Takip!$K:$K,$B50))</f>
        <v>46429</v>
      </c>
      <c r="J50" s="14" t="str">
        <f aca="false">IF($B50="","",INDEX(Takip!$R:$R,$B50))</f>
        <v/>
      </c>
    </row>
    <row r="51" customFormat="false" ht="15" hidden="false" customHeight="false" outlineLevel="0" collapsed="false">
      <c r="A51" s="14" t="n">
        <f aca="false">IF(B51="","",44)</f>
        <v>44</v>
      </c>
      <c r="B51" s="14" t="n">
        <f aca="false">IFERROR(MATCH(LARGE(Takip!$T$2:$T$501,44),Takip!$T$2:$T$501,0)+1,"")</f>
        <v>117</v>
      </c>
      <c r="C51" s="14" t="n">
        <f aca="false">IF(B51="","",INDEX(Takip!$M:$M,B51))</f>
        <v>17</v>
      </c>
      <c r="D51" s="14" t="str">
        <f aca="false">IF($B51="","",INDEX(Takip!$C:$C,$B51))</f>
        <v>Bölge 6</v>
      </c>
      <c r="E51" s="14" t="str">
        <f aca="false">IF($B51="","",INDEX(Takip!$D:$D,$B51))</f>
        <v>Mağaza 6B</v>
      </c>
      <c r="F51" s="14" t="str">
        <f aca="false">IF($B51="","",INDEX(Takip!$A:$A,$B51))</f>
        <v>S10116</v>
      </c>
      <c r="G51" s="14" t="str">
        <f aca="false">IF($B51="","",INDEX(Takip!$B:$B,$B51))</f>
        <v>Tolga Arslan</v>
      </c>
      <c r="H51" s="16" t="str">
        <f aca="false">IF($B51="","",INDEX(Takip!$Q:$Q,$B51))</f>
        <v>Planla</v>
      </c>
      <c r="I51" s="17" t="n">
        <f aca="false">IF($B51="","",INDEX(Takip!$K:$K,$B51))</f>
        <v>46362</v>
      </c>
      <c r="J51" s="14" t="str">
        <f aca="false">IF($B51="","",INDEX(Takip!$R:$R,$B51))</f>
        <v/>
      </c>
    </row>
    <row r="52" customFormat="false" ht="15" hidden="false" customHeight="false" outlineLevel="0" collapsed="false">
      <c r="A52" s="14" t="n">
        <f aca="false">IF(B52="","",45)</f>
        <v>45</v>
      </c>
      <c r="B52" s="14" t="n">
        <f aca="false">IFERROR(MATCH(LARGE(Takip!$T$2:$T$501,45),Takip!$T$2:$T$501,0)+1,"")</f>
        <v>115</v>
      </c>
      <c r="C52" s="14" t="n">
        <f aca="false">IF(B52="","",INDEX(Takip!$M:$M,B52))</f>
        <v>17</v>
      </c>
      <c r="D52" s="14" t="str">
        <f aca="false">IF($B52="","",INDEX(Takip!$C:$C,$B52))</f>
        <v>Bölge 6</v>
      </c>
      <c r="E52" s="14" t="str">
        <f aca="false">IF($B52="","",INDEX(Takip!$D:$D,$B52))</f>
        <v>Mağaza 6B</v>
      </c>
      <c r="F52" s="14" t="str">
        <f aca="false">IF($B52="","",INDEX(Takip!$A:$A,$B52))</f>
        <v>S10114</v>
      </c>
      <c r="G52" s="14" t="str">
        <f aca="false">IF($B52="","",INDEX(Takip!$B:$B,$B52))</f>
        <v>Oğuz Polat</v>
      </c>
      <c r="H52" s="16" t="str">
        <f aca="false">IF($B52="","",INDEX(Takip!$Q:$Q,$B52))</f>
        <v>Planla</v>
      </c>
      <c r="I52" s="17" t="n">
        <f aca="false">IF($B52="","",INDEX(Takip!$K:$K,$B52))</f>
        <v>46499</v>
      </c>
      <c r="J52" s="14" t="str">
        <f aca="false">IF($B52="","",INDEX(Takip!$R:$R,$B52))</f>
        <v/>
      </c>
    </row>
    <row r="53" customFormat="false" ht="15" hidden="false" customHeight="false" outlineLevel="0" collapsed="false">
      <c r="A53" s="14" t="n">
        <f aca="false">IF(B53="","",46)</f>
        <v>46</v>
      </c>
      <c r="B53" s="14" t="n">
        <f aca="false">IFERROR(MATCH(LARGE(Takip!$T$2:$T$501,46),Takip!$T$2:$T$501,0)+1,"")</f>
        <v>82</v>
      </c>
      <c r="C53" s="14" t="n">
        <f aca="false">IF(B53="","",INDEX(Takip!$M:$M,B53))</f>
        <v>17</v>
      </c>
      <c r="D53" s="14" t="str">
        <f aca="false">IF($B53="","",INDEX(Takip!$C:$C,$B53))</f>
        <v>Bölge 4</v>
      </c>
      <c r="E53" s="14" t="str">
        <f aca="false">IF($B53="","",INDEX(Takip!$D:$D,$B53))</f>
        <v>Mağaza 4C</v>
      </c>
      <c r="F53" s="14" t="str">
        <f aca="false">IF($B53="","",INDEX(Takip!$A:$A,$B53))</f>
        <v>S10081</v>
      </c>
      <c r="G53" s="14" t="str">
        <f aca="false">IF($B53="","",INDEX(Takip!$B:$B,$B53))</f>
        <v>Cem Kaya</v>
      </c>
      <c r="H53" s="16" t="str">
        <f aca="false">IF($B53="","",INDEX(Takip!$Q:$Q,$B53))</f>
        <v>Planla</v>
      </c>
      <c r="I53" s="17" t="n">
        <f aca="false">IF($B53="","",INDEX(Takip!$K:$K,$B53))</f>
        <v>46518</v>
      </c>
      <c r="J53" s="14" t="str">
        <f aca="false">IF($B53="","",INDEX(Takip!$R:$R,$B53))</f>
        <v/>
      </c>
    </row>
    <row r="54" customFormat="false" ht="15" hidden="false" customHeight="false" outlineLevel="0" collapsed="false">
      <c r="A54" s="14" t="n">
        <f aca="false">IF(B54="","",47)</f>
        <v>47</v>
      </c>
      <c r="B54" s="14" t="n">
        <f aca="false">IFERROR(MATCH(LARGE(Takip!$T$2:$T$501,47),Takip!$T$2:$T$501,0)+1,"")</f>
        <v>76</v>
      </c>
      <c r="C54" s="14" t="n">
        <f aca="false">IF(B54="","",INDEX(Takip!$M:$M,B54))</f>
        <v>17</v>
      </c>
      <c r="D54" s="14" t="str">
        <f aca="false">IF($B54="","",INDEX(Takip!$C:$C,$B54))</f>
        <v>Bölge 4</v>
      </c>
      <c r="E54" s="14" t="str">
        <f aca="false">IF($B54="","",INDEX(Takip!$D:$D,$B54))</f>
        <v>Mağaza 4C</v>
      </c>
      <c r="F54" s="14" t="str">
        <f aca="false">IF($B54="","",INDEX(Takip!$A:$A,$B54))</f>
        <v>S10075</v>
      </c>
      <c r="G54" s="14" t="str">
        <f aca="false">IF($B54="","",INDEX(Takip!$B:$B,$B54))</f>
        <v>Derya Demir</v>
      </c>
      <c r="H54" s="16" t="str">
        <f aca="false">IF($B54="","",INDEX(Takip!$Q:$Q,$B54))</f>
        <v>Planla</v>
      </c>
      <c r="I54" s="17" t="n">
        <f aca="false">IF($B54="","",INDEX(Takip!$K:$K,$B54))</f>
        <v>46415</v>
      </c>
      <c r="J54" s="14" t="str">
        <f aca="false">IF($B54="","",INDEX(Takip!$R:$R,$B54))</f>
        <v/>
      </c>
    </row>
    <row r="55" customFormat="false" ht="15" hidden="false" customHeight="false" outlineLevel="0" collapsed="false">
      <c r="A55" s="14" t="n">
        <f aca="false">IF(B55="","",48)</f>
        <v>48</v>
      </c>
      <c r="B55" s="14" t="n">
        <f aca="false">IFERROR(MATCH(LARGE(Takip!$T$2:$T$501,48),Takip!$T$2:$T$501,0)+1,"")</f>
        <v>48</v>
      </c>
      <c r="C55" s="14" t="n">
        <f aca="false">IF(B55="","",INDEX(Takip!$M:$M,B55))</f>
        <v>17</v>
      </c>
      <c r="D55" s="14" t="str">
        <f aca="false">IF($B55="","",INDEX(Takip!$C:$C,$B55))</f>
        <v>Bölge 3</v>
      </c>
      <c r="E55" s="14" t="str">
        <f aca="false">IF($B55="","",INDEX(Takip!$D:$D,$B55))</f>
        <v>Mağaza 3A</v>
      </c>
      <c r="F55" s="14" t="str">
        <f aca="false">IF($B55="","",INDEX(Takip!$A:$A,$B55))</f>
        <v>S10047</v>
      </c>
      <c r="G55" s="14" t="str">
        <f aca="false">IF($B55="","",INDEX(Takip!$B:$B,$B55))</f>
        <v>Cem Polat</v>
      </c>
      <c r="H55" s="16" t="str">
        <f aca="false">IF($B55="","",INDEX(Takip!$Q:$Q,$B55))</f>
        <v>Planla</v>
      </c>
      <c r="I55" s="17" t="n">
        <f aca="false">IF($B55="","",INDEX(Takip!$K:$K,$B55))</f>
        <v>46403</v>
      </c>
      <c r="J55" s="14" t="str">
        <f aca="false">IF($B55="","",INDEX(Takip!$R:$R,$B55))</f>
        <v/>
      </c>
    </row>
    <row r="56" customFormat="false" ht="15" hidden="false" customHeight="false" outlineLevel="0" collapsed="false">
      <c r="A56" s="14" t="n">
        <f aca="false">IF(B56="","",49)</f>
        <v>49</v>
      </c>
      <c r="B56" s="14" t="n">
        <f aca="false">IFERROR(MATCH(LARGE(Takip!$T$2:$T$501,49),Takip!$T$2:$T$501,0)+1,"")</f>
        <v>39</v>
      </c>
      <c r="C56" s="14" t="n">
        <f aca="false">IF(B56="","",INDEX(Takip!$M:$M,B56))</f>
        <v>17</v>
      </c>
      <c r="D56" s="14" t="str">
        <f aca="false">IF($B56="","",INDEX(Takip!$C:$C,$B56))</f>
        <v>Bölge 2</v>
      </c>
      <c r="E56" s="14" t="str">
        <f aca="false">IF($B56="","",INDEX(Takip!$D:$D,$B56))</f>
        <v>Mağaza 2C</v>
      </c>
      <c r="F56" s="14" t="str">
        <f aca="false">IF($B56="","",INDEX(Takip!$A:$A,$B56))</f>
        <v>S10038</v>
      </c>
      <c r="G56" s="14" t="str">
        <f aca="false">IF($B56="","",INDEX(Takip!$B:$B,$B56))</f>
        <v>Umut Aydın</v>
      </c>
      <c r="H56" s="16" t="str">
        <f aca="false">IF($B56="","",INDEX(Takip!$Q:$Q,$B56))</f>
        <v>Planla</v>
      </c>
      <c r="I56" s="17" t="n">
        <f aca="false">IF($B56="","",INDEX(Takip!$K:$K,$B56))</f>
        <v>46499</v>
      </c>
      <c r="J56" s="14" t="str">
        <f aca="false">IF($B56="","",INDEX(Takip!$R:$R,$B56))</f>
        <v/>
      </c>
    </row>
    <row r="57" customFormat="false" ht="15" hidden="false" customHeight="false" outlineLevel="0" collapsed="false">
      <c r="A57" s="14" t="n">
        <f aca="false">IF(B57="","",50)</f>
        <v>50</v>
      </c>
      <c r="B57" s="14" t="n">
        <f aca="false">IFERROR(MATCH(LARGE(Takip!$T$2:$T$501,50),Takip!$T$2:$T$501,0)+1,"")</f>
        <v>35</v>
      </c>
      <c r="C57" s="14" t="n">
        <f aca="false">IF(B57="","",INDEX(Takip!$M:$M,B57))</f>
        <v>17</v>
      </c>
      <c r="D57" s="14" t="str">
        <f aca="false">IF($B57="","",INDEX(Takip!$C:$C,$B57))</f>
        <v>Bölge 2</v>
      </c>
      <c r="E57" s="14" t="str">
        <f aca="false">IF($B57="","",INDEX(Takip!$D:$D,$B57))</f>
        <v>Mağaza 2B</v>
      </c>
      <c r="F57" s="14" t="str">
        <f aca="false">IF($B57="","",INDEX(Takip!$A:$A,$B57))</f>
        <v>S10034</v>
      </c>
      <c r="G57" s="14" t="str">
        <f aca="false">IF($B57="","",INDEX(Takip!$B:$B,$B57))</f>
        <v>Deniz Özdemir</v>
      </c>
      <c r="H57" s="16" t="str">
        <f aca="false">IF($B57="","",INDEX(Takip!$Q:$Q,$B57))</f>
        <v>Planla</v>
      </c>
      <c r="I57" s="17" t="n">
        <f aca="false">IF($B57="","",INDEX(Takip!$K:$K,$B57))</f>
        <v>46605</v>
      </c>
      <c r="J57" s="14" t="str">
        <f aca="false">IF($B57="","",INDEX(Takip!$R:$R,$B57))</f>
        <v/>
      </c>
    </row>
    <row r="58" customFormat="false" ht="15" hidden="false" customHeight="false" outlineLevel="0" collapsed="false">
      <c r="A58" s="14" t="n">
        <f aca="false">IF(B58="","",51)</f>
        <v>51</v>
      </c>
      <c r="B58" s="14" t="n">
        <f aca="false">IFERROR(MATCH(LARGE(Takip!$T$2:$T$501,51),Takip!$T$2:$T$501,0)+1,"")</f>
        <v>28</v>
      </c>
      <c r="C58" s="14" t="n">
        <f aca="false">IF(B58="","",INDEX(Takip!$M:$M,B58))</f>
        <v>17</v>
      </c>
      <c r="D58" s="14" t="str">
        <f aca="false">IF($B58="","",INDEX(Takip!$C:$C,$B58))</f>
        <v>Bölge 2</v>
      </c>
      <c r="E58" s="14" t="str">
        <f aca="false">IF($B58="","",INDEX(Takip!$D:$D,$B58))</f>
        <v>Mağaza 2A</v>
      </c>
      <c r="F58" s="14" t="str">
        <f aca="false">IF($B58="","",INDEX(Takip!$A:$A,$B58))</f>
        <v>S10027</v>
      </c>
      <c r="G58" s="14" t="str">
        <f aca="false">IF($B58="","",INDEX(Takip!$B:$B,$B58))</f>
        <v>Emre Kaya</v>
      </c>
      <c r="H58" s="16" t="str">
        <f aca="false">IF($B58="","",INDEX(Takip!$Q:$Q,$B58))</f>
        <v>Planla</v>
      </c>
      <c r="I58" s="17" t="n">
        <f aca="false">IF($B58="","",INDEX(Takip!$K:$K,$B58))</f>
        <v>46366</v>
      </c>
      <c r="J58" s="14" t="str">
        <f aca="false">IF($B58="","",INDEX(Takip!$R:$R,$B58))</f>
        <v/>
      </c>
    </row>
    <row r="59" customFormat="false" ht="15" hidden="false" customHeight="false" outlineLevel="0" collapsed="false">
      <c r="A59" s="14" t="n">
        <f aca="false">IF(B59="","",52)</f>
        <v>52</v>
      </c>
      <c r="B59" s="14" t="n">
        <f aca="false">IFERROR(MATCH(LARGE(Takip!$T$2:$T$501,52),Takip!$T$2:$T$501,0)+1,"")</f>
        <v>26</v>
      </c>
      <c r="C59" s="14" t="n">
        <f aca="false">IF(B59="","",INDEX(Takip!$M:$M,B59))</f>
        <v>17</v>
      </c>
      <c r="D59" s="14" t="str">
        <f aca="false">IF($B59="","",INDEX(Takip!$C:$C,$B59))</f>
        <v>Bölge 2</v>
      </c>
      <c r="E59" s="14" t="str">
        <f aca="false">IF($B59="","",INDEX(Takip!$D:$D,$B59))</f>
        <v>Mağaza 2A</v>
      </c>
      <c r="F59" s="14" t="str">
        <f aca="false">IF($B59="","",INDEX(Takip!$A:$A,$B59))</f>
        <v>S10025</v>
      </c>
      <c r="G59" s="14" t="str">
        <f aca="false">IF($B59="","",INDEX(Takip!$B:$B,$B59))</f>
        <v>Can Öztürk</v>
      </c>
      <c r="H59" s="16" t="str">
        <f aca="false">IF($B59="","",INDEX(Takip!$Q:$Q,$B59))</f>
        <v>Planla</v>
      </c>
      <c r="I59" s="17" t="n">
        <f aca="false">IF($B59="","",INDEX(Takip!$K:$K,$B59))</f>
        <v>46583</v>
      </c>
      <c r="J59" s="14" t="str">
        <f aca="false">IF($B59="","",INDEX(Takip!$R:$R,$B59))</f>
        <v/>
      </c>
    </row>
    <row r="60" customFormat="false" ht="15" hidden="false" customHeight="false" outlineLevel="0" collapsed="false">
      <c r="A60" s="14" t="n">
        <f aca="false">IF(B60="","",53)</f>
        <v>53</v>
      </c>
      <c r="B60" s="14" t="n">
        <f aca="false">IFERROR(MATCH(LARGE(Takip!$T$2:$T$501,53),Takip!$T$2:$T$501,0)+1,"")</f>
        <v>19</v>
      </c>
      <c r="C60" s="14" t="n">
        <f aca="false">IF(B60="","",INDEX(Takip!$M:$M,B60))</f>
        <v>17</v>
      </c>
      <c r="D60" s="14" t="str">
        <f aca="false">IF($B60="","",INDEX(Takip!$C:$C,$B60))</f>
        <v>Bölge 1</v>
      </c>
      <c r="E60" s="14" t="str">
        <f aca="false">IF($B60="","",INDEX(Takip!$D:$D,$B60))</f>
        <v>Mağaza 1C</v>
      </c>
      <c r="F60" s="14" t="str">
        <f aca="false">IF($B60="","",INDEX(Takip!$A:$A,$B60))</f>
        <v>S10018</v>
      </c>
      <c r="G60" s="14" t="str">
        <f aca="false">IF($B60="","",INDEX(Takip!$B:$B,$B60))</f>
        <v>Kaan Polat</v>
      </c>
      <c r="H60" s="16" t="str">
        <f aca="false">IF($B60="","",INDEX(Takip!$Q:$Q,$B60))</f>
        <v>Planla</v>
      </c>
      <c r="I60" s="17" t="n">
        <f aca="false">IF($B60="","",INDEX(Takip!$K:$K,$B60))</f>
        <v>46504</v>
      </c>
      <c r="J60" s="14" t="str">
        <f aca="false">IF($B60="","",INDEX(Takip!$R:$R,$B60))</f>
        <v/>
      </c>
    </row>
    <row r="61" customFormat="false" ht="15" hidden="false" customHeight="false" outlineLevel="0" collapsed="false">
      <c r="A61" s="14" t="n">
        <f aca="false">IF(B61="","",54)</f>
        <v>54</v>
      </c>
      <c r="B61" s="14" t="n">
        <f aca="false">IFERROR(MATCH(LARGE(Takip!$T$2:$T$501,54),Takip!$T$2:$T$501,0)+1,"")</f>
        <v>112</v>
      </c>
      <c r="C61" s="14" t="n">
        <f aca="false">IF(B61="","",INDEX(Takip!$M:$M,B61))</f>
        <v>15</v>
      </c>
      <c r="D61" s="14" t="str">
        <f aca="false">IF($B61="","",INDEX(Takip!$C:$C,$B61))</f>
        <v>Bölge 6</v>
      </c>
      <c r="E61" s="14" t="str">
        <f aca="false">IF($B61="","",INDEX(Takip!$D:$D,$B61))</f>
        <v>Mağaza 6A</v>
      </c>
      <c r="F61" s="14" t="str">
        <f aca="false">IF($B61="","",INDEX(Takip!$A:$A,$B61))</f>
        <v>S10111</v>
      </c>
      <c r="G61" s="14" t="str">
        <f aca="false">IF($B61="","",INDEX(Takip!$B:$B,$B61))</f>
        <v>Selin Aslan</v>
      </c>
      <c r="H61" s="16" t="str">
        <f aca="false">IF($B61="","",INDEX(Takip!$Q:$Q,$B61))</f>
        <v>Planla</v>
      </c>
      <c r="I61" s="17" t="n">
        <f aca="false">IF($B61="","",INDEX(Takip!$K:$K,$B61))</f>
        <v>46452</v>
      </c>
      <c r="J61" s="14" t="str">
        <f aca="false">IF($B61="","",INDEX(Takip!$R:$R,$B61))</f>
        <v/>
      </c>
    </row>
    <row r="62" customFormat="false" ht="15" hidden="false" customHeight="false" outlineLevel="0" collapsed="false">
      <c r="A62" s="14" t="n">
        <f aca="false">IF(B62="","",55)</f>
        <v>55</v>
      </c>
      <c r="B62" s="14" t="n">
        <f aca="false">IFERROR(MATCH(LARGE(Takip!$T$2:$T$501,55),Takip!$T$2:$T$501,0)+1,"")</f>
        <v>103</v>
      </c>
      <c r="C62" s="14" t="n">
        <f aca="false">IF(B62="","",INDEX(Takip!$M:$M,B62))</f>
        <v>15</v>
      </c>
      <c r="D62" s="14" t="str">
        <f aca="false">IF($B62="","",INDEX(Takip!$C:$C,$B62))</f>
        <v>Bölge 5</v>
      </c>
      <c r="E62" s="14" t="str">
        <f aca="false">IF($B62="","",INDEX(Takip!$D:$D,$B62))</f>
        <v>Mağaza 5D</v>
      </c>
      <c r="F62" s="14" t="str">
        <f aca="false">IF($B62="","",INDEX(Takip!$A:$A,$B62))</f>
        <v>S10102</v>
      </c>
      <c r="G62" s="14" t="str">
        <f aca="false">IF($B62="","",INDEX(Takip!$B:$B,$B62))</f>
        <v>Burak Çelik</v>
      </c>
      <c r="H62" s="16" t="str">
        <f aca="false">IF($B62="","",INDEX(Takip!$Q:$Q,$B62))</f>
        <v>Planla</v>
      </c>
      <c r="I62" s="17" t="n">
        <f aca="false">IF($B62="","",INDEX(Takip!$K:$K,$B62))</f>
        <v>46393</v>
      </c>
      <c r="J62" s="14" t="str">
        <f aca="false">IF($B62="","",INDEX(Takip!$R:$R,$B62))</f>
        <v/>
      </c>
    </row>
    <row r="63" customFormat="false" ht="15" hidden="false" customHeight="false" outlineLevel="0" collapsed="false">
      <c r="A63" s="14" t="n">
        <f aca="false">IF(B63="","",56)</f>
        <v>56</v>
      </c>
      <c r="B63" s="14" t="n">
        <f aca="false">IFERROR(MATCH(LARGE(Takip!$T$2:$T$501,56),Takip!$T$2:$T$501,0)+1,"")</f>
        <v>70</v>
      </c>
      <c r="C63" s="14" t="n">
        <f aca="false">IF(B63="","",INDEX(Takip!$M:$M,B63))</f>
        <v>15</v>
      </c>
      <c r="D63" s="14" t="str">
        <f aca="false">IF($B63="","",INDEX(Takip!$C:$C,$B63))</f>
        <v>Bölge 4</v>
      </c>
      <c r="E63" s="14" t="str">
        <f aca="false">IF($B63="","",INDEX(Takip!$D:$D,$B63))</f>
        <v>Mağaza 4B</v>
      </c>
      <c r="F63" s="14" t="str">
        <f aca="false">IF($B63="","",INDEX(Takip!$A:$A,$B63))</f>
        <v>S10069</v>
      </c>
      <c r="G63" s="14" t="str">
        <f aca="false">IF($B63="","",INDEX(Takip!$B:$B,$B63))</f>
        <v>Deniz Çelik</v>
      </c>
      <c r="H63" s="16" t="str">
        <f aca="false">IF($B63="","",INDEX(Takip!$Q:$Q,$B63))</f>
        <v>Planla</v>
      </c>
      <c r="I63" s="17" t="n">
        <f aca="false">IF($B63="","",INDEX(Takip!$K:$K,$B63))</f>
        <v>46511</v>
      </c>
      <c r="J63" s="14" t="str">
        <f aca="false">IF($B63="","",INDEX(Takip!$R:$R,$B63))</f>
        <v/>
      </c>
    </row>
    <row r="64" customFormat="false" ht="15" hidden="false" customHeight="false" outlineLevel="0" collapsed="false">
      <c r="A64" s="14" t="n">
        <f aca="false">IF(B64="","",57)</f>
        <v>57</v>
      </c>
      <c r="B64" s="14" t="n">
        <f aca="false">IFERROR(MATCH(LARGE(Takip!$T$2:$T$501,57),Takip!$T$2:$T$501,0)+1,"")</f>
        <v>58</v>
      </c>
      <c r="C64" s="14" t="n">
        <f aca="false">IF(B64="","",INDEX(Takip!$M:$M,B64))</f>
        <v>15</v>
      </c>
      <c r="D64" s="14" t="str">
        <f aca="false">IF($B64="","",INDEX(Takip!$C:$C,$B64))</f>
        <v>Bölge 3</v>
      </c>
      <c r="E64" s="14" t="str">
        <f aca="false">IF($B64="","",INDEX(Takip!$D:$D,$B64))</f>
        <v>Mağaza 3C</v>
      </c>
      <c r="F64" s="14" t="str">
        <f aca="false">IF($B64="","",INDEX(Takip!$A:$A,$B64))</f>
        <v>S10057</v>
      </c>
      <c r="G64" s="14" t="str">
        <f aca="false">IF($B64="","",INDEX(Takip!$B:$B,$B64))</f>
        <v>Tolga Doğan</v>
      </c>
      <c r="H64" s="16" t="str">
        <f aca="false">IF($B64="","",INDEX(Takip!$Q:$Q,$B64))</f>
        <v>Planla</v>
      </c>
      <c r="I64" s="17" t="n">
        <f aca="false">IF($B64="","",INDEX(Takip!$K:$K,$B64))</f>
        <v>46282</v>
      </c>
      <c r="J64" s="14" t="str">
        <f aca="false">IF($B64="","",INDEX(Takip!$R:$R,$B64))</f>
        <v>Evet</v>
      </c>
    </row>
    <row r="65" customFormat="false" ht="15" hidden="false" customHeight="false" outlineLevel="0" collapsed="false">
      <c r="A65" s="14" t="n">
        <f aca="false">IF(B65="","",58)</f>
        <v>58</v>
      </c>
      <c r="B65" s="14" t="n">
        <f aca="false">IFERROR(MATCH(LARGE(Takip!$T$2:$T$501,58),Takip!$T$2:$T$501,0)+1,"")</f>
        <v>44</v>
      </c>
      <c r="C65" s="14" t="n">
        <f aca="false">IF(B65="","",INDEX(Takip!$M:$M,B65))</f>
        <v>15</v>
      </c>
      <c r="D65" s="14" t="str">
        <f aca="false">IF($B65="","",INDEX(Takip!$C:$C,$B65))</f>
        <v>Bölge 3</v>
      </c>
      <c r="E65" s="14" t="str">
        <f aca="false">IF($B65="","",INDEX(Takip!$D:$D,$B65))</f>
        <v>Mağaza 3A</v>
      </c>
      <c r="F65" s="14" t="str">
        <f aca="false">IF($B65="","",INDEX(Takip!$A:$A,$B65))</f>
        <v>S10043</v>
      </c>
      <c r="G65" s="14" t="str">
        <f aca="false">IF($B65="","",INDEX(Takip!$B:$B,$B65))</f>
        <v>Elif Şahin</v>
      </c>
      <c r="H65" s="16" t="str">
        <f aca="false">IF($B65="","",INDEX(Takip!$Q:$Q,$B65))</f>
        <v>Planla</v>
      </c>
      <c r="I65" s="17" t="n">
        <f aca="false">IF($B65="","",INDEX(Takip!$K:$K,$B65))</f>
        <v>46310</v>
      </c>
      <c r="J65" s="14" t="str">
        <f aca="false">IF($B65="","",INDEX(Takip!$R:$R,$B65))</f>
        <v>Evet</v>
      </c>
    </row>
    <row r="66" customFormat="false" ht="15" hidden="false" customHeight="false" outlineLevel="0" collapsed="false">
      <c r="A66" s="14" t="n">
        <f aca="false">IF(B66="","",59)</f>
        <v>59</v>
      </c>
      <c r="B66" s="14" t="n">
        <f aca="false">IFERROR(MATCH(LARGE(Takip!$T$2:$T$501,59),Takip!$T$2:$T$501,0)+1,"")</f>
        <v>43</v>
      </c>
      <c r="C66" s="14" t="n">
        <f aca="false">IF(B66="","",INDEX(Takip!$M:$M,B66))</f>
        <v>15</v>
      </c>
      <c r="D66" s="14" t="str">
        <f aca="false">IF($B66="","",INDEX(Takip!$C:$C,$B66))</f>
        <v>Bölge 3</v>
      </c>
      <c r="E66" s="14" t="str">
        <f aca="false">IF($B66="","",INDEX(Takip!$D:$D,$B66))</f>
        <v>Mağaza 3A</v>
      </c>
      <c r="F66" s="14" t="str">
        <f aca="false">IF($B66="","",INDEX(Takip!$A:$A,$B66))</f>
        <v>S10042</v>
      </c>
      <c r="G66" s="14" t="str">
        <f aca="false">IF($B66="","",INDEX(Takip!$B:$B,$B66))</f>
        <v>Derya Kaya</v>
      </c>
      <c r="H66" s="16" t="str">
        <f aca="false">IF($B66="","",INDEX(Takip!$Q:$Q,$B66))</f>
        <v>Planla</v>
      </c>
      <c r="I66" s="17" t="n">
        <f aca="false">IF($B66="","",INDEX(Takip!$K:$K,$B66))</f>
        <v>46399</v>
      </c>
      <c r="J66" s="14" t="str">
        <f aca="false">IF($B66="","",INDEX(Takip!$R:$R,$B66))</f>
        <v/>
      </c>
    </row>
    <row r="67" customFormat="false" ht="15" hidden="false" customHeight="false" outlineLevel="0" collapsed="false">
      <c r="A67" s="14" t="n">
        <f aca="false">IF(B67="","",60)</f>
        <v>60</v>
      </c>
      <c r="B67" s="14" t="n">
        <f aca="false">IFERROR(MATCH(LARGE(Takip!$T$2:$T$501,60),Takip!$T$2:$T$501,0)+1,"")</f>
        <v>29</v>
      </c>
      <c r="C67" s="14" t="n">
        <f aca="false">IF(B67="","",INDEX(Takip!$M:$M,B67))</f>
        <v>15</v>
      </c>
      <c r="D67" s="14" t="str">
        <f aca="false">IF($B67="","",INDEX(Takip!$C:$C,$B67))</f>
        <v>Bölge 2</v>
      </c>
      <c r="E67" s="14" t="str">
        <f aca="false">IF($B67="","",INDEX(Takip!$D:$D,$B67))</f>
        <v>Mağaza 2A</v>
      </c>
      <c r="F67" s="14" t="str">
        <f aca="false">IF($B67="","",INDEX(Takip!$A:$A,$B67))</f>
        <v>S10028</v>
      </c>
      <c r="G67" s="14" t="str">
        <f aca="false">IF($B67="","",INDEX(Takip!$B:$B,$B67))</f>
        <v>Tolga Aydın</v>
      </c>
      <c r="H67" s="16" t="str">
        <f aca="false">IF($B67="","",INDEX(Takip!$Q:$Q,$B67))</f>
        <v>Planla</v>
      </c>
      <c r="I67" s="17" t="n">
        <f aca="false">IF($B67="","",INDEX(Takip!$K:$K,$B67))</f>
        <v>46640</v>
      </c>
      <c r="J67" s="14" t="str">
        <f aca="false">IF($B67="","",INDEX(Takip!$R:$R,$B67))</f>
        <v/>
      </c>
    </row>
    <row r="68" customFormat="false" ht="15" hidden="false" customHeight="false" outlineLevel="0" collapsed="false">
      <c r="A68" s="14" t="n">
        <f aca="false">IF(B68="","",61)</f>
        <v>61</v>
      </c>
      <c r="B68" s="14" t="n">
        <f aca="false">IFERROR(MATCH(LARGE(Takip!$T$2:$T$501,61),Takip!$T$2:$T$501,0)+1,"")</f>
        <v>11</v>
      </c>
      <c r="C68" s="14" t="n">
        <f aca="false">IF(B68="","",INDEX(Takip!$M:$M,B68))</f>
        <v>15</v>
      </c>
      <c r="D68" s="14" t="str">
        <f aca="false">IF($B68="","",INDEX(Takip!$C:$C,$B68))</f>
        <v>Bölge 1</v>
      </c>
      <c r="E68" s="14" t="str">
        <f aca="false">IF($B68="","",INDEX(Takip!$D:$D,$B68))</f>
        <v>Mağaza 1B</v>
      </c>
      <c r="F68" s="14" t="str">
        <f aca="false">IF($B68="","",INDEX(Takip!$A:$A,$B68))</f>
        <v>S10010</v>
      </c>
      <c r="G68" s="14" t="str">
        <f aca="false">IF($B68="","",INDEX(Takip!$B:$B,$B68))</f>
        <v>Burak Kılıç</v>
      </c>
      <c r="H68" s="16" t="str">
        <f aca="false">IF($B68="","",INDEX(Takip!$Q:$Q,$B68))</f>
        <v>Planla</v>
      </c>
      <c r="I68" s="17" t="n">
        <f aca="false">IF($B68="","",INDEX(Takip!$K:$K,$B68))</f>
        <v>46602</v>
      </c>
      <c r="J68" s="14" t="str">
        <f aca="false">IF($B68="","",INDEX(Takip!$R:$R,$B68))</f>
        <v/>
      </c>
    </row>
    <row r="69" customFormat="false" ht="15" hidden="false" customHeight="false" outlineLevel="0" collapsed="false">
      <c r="A69" s="14" t="n">
        <f aca="false">IF(B69="","",62)</f>
        <v>62</v>
      </c>
      <c r="B69" s="14" t="n">
        <f aca="false">IFERROR(MATCH(LARGE(Takip!$T$2:$T$501,62),Takip!$T$2:$T$501,0)+1,"")</f>
        <v>97</v>
      </c>
      <c r="C69" s="14" t="n">
        <f aca="false">IF(B69="","",INDEX(Takip!$M:$M,B69))</f>
        <v>14</v>
      </c>
      <c r="D69" s="14" t="str">
        <f aca="false">IF($B69="","",INDEX(Takip!$C:$C,$B69))</f>
        <v>Bölge 5</v>
      </c>
      <c r="E69" s="14" t="str">
        <f aca="false">IF($B69="","",INDEX(Takip!$D:$D,$B69))</f>
        <v>Mağaza 5C</v>
      </c>
      <c r="F69" s="14" t="str">
        <f aca="false">IF($B69="","",INDEX(Takip!$A:$A,$B69))</f>
        <v>S10096</v>
      </c>
      <c r="G69" s="14" t="str">
        <f aca="false">IF($B69="","",INDEX(Takip!$B:$B,$B69))</f>
        <v>Mehmet Demir</v>
      </c>
      <c r="H69" s="16" t="str">
        <f aca="false">IF($B69="","",INDEX(Takip!$Q:$Q,$B69))</f>
        <v>Planla</v>
      </c>
      <c r="I69" s="17" t="n">
        <f aca="false">IF($B69="","",INDEX(Takip!$K:$K,$B69))</f>
        <v>46424</v>
      </c>
      <c r="J69" s="14" t="str">
        <f aca="false">IF($B69="","",INDEX(Takip!$R:$R,$B69))</f>
        <v/>
      </c>
    </row>
    <row r="70" customFormat="false" ht="15" hidden="false" customHeight="false" outlineLevel="0" collapsed="false">
      <c r="A70" s="14" t="n">
        <f aca="false">IF(B70="","",63)</f>
        <v>63</v>
      </c>
      <c r="B70" s="14" t="n">
        <f aca="false">IFERROR(MATCH(LARGE(Takip!$T$2:$T$501,63),Takip!$T$2:$T$501,0)+1,"")</f>
        <v>75</v>
      </c>
      <c r="C70" s="14" t="n">
        <f aca="false">IF(B70="","",INDEX(Takip!$M:$M,B70))</f>
        <v>14</v>
      </c>
      <c r="D70" s="14" t="str">
        <f aca="false">IF($B70="","",INDEX(Takip!$C:$C,$B70))</f>
        <v>Bölge 4</v>
      </c>
      <c r="E70" s="14" t="str">
        <f aca="false">IF($B70="","",INDEX(Takip!$D:$D,$B70))</f>
        <v>Mağaza 4B</v>
      </c>
      <c r="F70" s="14" t="str">
        <f aca="false">IF($B70="","",INDEX(Takip!$A:$A,$B70))</f>
        <v>S10074</v>
      </c>
      <c r="G70" s="14" t="str">
        <f aca="false">IF($B70="","",INDEX(Takip!$B:$B,$B70))</f>
        <v>Oğuz Öztürk</v>
      </c>
      <c r="H70" s="16" t="str">
        <f aca="false">IF($B70="","",INDEX(Takip!$Q:$Q,$B70))</f>
        <v>Planla</v>
      </c>
      <c r="I70" s="17" t="n">
        <f aca="false">IF($B70="","",INDEX(Takip!$K:$K,$B70))</f>
        <v>46551</v>
      </c>
      <c r="J70" s="14" t="str">
        <f aca="false">IF($B70="","",INDEX(Takip!$R:$R,$B70))</f>
        <v/>
      </c>
    </row>
    <row r="71" customFormat="false" ht="15" hidden="false" customHeight="false" outlineLevel="0" collapsed="false">
      <c r="A71" s="14" t="n">
        <f aca="false">IF(B71="","",64)</f>
        <v>64</v>
      </c>
      <c r="B71" s="14" t="n">
        <f aca="false">IFERROR(MATCH(LARGE(Takip!$T$2:$T$501,64),Takip!$T$2:$T$501,0)+1,"")</f>
        <v>67</v>
      </c>
      <c r="C71" s="14" t="n">
        <f aca="false">IF(B71="","",INDEX(Takip!$M:$M,B71))</f>
        <v>14</v>
      </c>
      <c r="D71" s="14" t="str">
        <f aca="false">IF($B71="","",INDEX(Takip!$C:$C,$B71))</f>
        <v>Bölge 4</v>
      </c>
      <c r="E71" s="14" t="str">
        <f aca="false">IF($B71="","",INDEX(Takip!$D:$D,$B71))</f>
        <v>Mağaza 4A</v>
      </c>
      <c r="F71" s="14" t="str">
        <f aca="false">IF($B71="","",INDEX(Takip!$A:$A,$B71))</f>
        <v>S10066</v>
      </c>
      <c r="G71" s="14" t="str">
        <f aca="false">IF($B71="","",INDEX(Takip!$B:$B,$B71))</f>
        <v>Onur Koç</v>
      </c>
      <c r="H71" s="16" t="str">
        <f aca="false">IF($B71="","",INDEX(Takip!$Q:$Q,$B71))</f>
        <v>Planla</v>
      </c>
      <c r="I71" s="17" t="n">
        <f aca="false">IF($B71="","",INDEX(Takip!$K:$K,$B71))</f>
        <v>46565</v>
      </c>
      <c r="J71" s="14" t="str">
        <f aca="false">IF($B71="","",INDEX(Takip!$R:$R,$B71))</f>
        <v/>
      </c>
    </row>
    <row r="72" customFormat="false" ht="15" hidden="false" customHeight="false" outlineLevel="0" collapsed="false">
      <c r="A72" s="14" t="n">
        <f aca="false">IF(B72="","",65)</f>
        <v>65</v>
      </c>
      <c r="B72" s="14" t="n">
        <f aca="false">IFERROR(MATCH(LARGE(Takip!$T$2:$T$501,65),Takip!$T$2:$T$501,0)+1,"")</f>
        <v>63</v>
      </c>
      <c r="C72" s="14" t="n">
        <f aca="false">IF(B72="","",INDEX(Takip!$M:$M,B72))</f>
        <v>14</v>
      </c>
      <c r="D72" s="14" t="str">
        <f aca="false">IF($B72="","",INDEX(Takip!$C:$C,$B72))</f>
        <v>Bölge 4</v>
      </c>
      <c r="E72" s="14" t="str">
        <f aca="false">IF($B72="","",INDEX(Takip!$D:$D,$B72))</f>
        <v>Mağaza 4A</v>
      </c>
      <c r="F72" s="14" t="str">
        <f aca="false">IF($B72="","",INDEX(Takip!$A:$A,$B72))</f>
        <v>S10062</v>
      </c>
      <c r="G72" s="14" t="str">
        <f aca="false">IF($B72="","",INDEX(Takip!$B:$B,$B72))</f>
        <v>Selin Kaya</v>
      </c>
      <c r="H72" s="16" t="str">
        <f aca="false">IF($B72="","",INDEX(Takip!$Q:$Q,$B72))</f>
        <v>Planla</v>
      </c>
      <c r="I72" s="17" t="n">
        <f aca="false">IF($B72="","",INDEX(Takip!$K:$K,$B72))</f>
        <v>46460</v>
      </c>
      <c r="J72" s="14" t="str">
        <f aca="false">IF($B72="","",INDEX(Takip!$R:$R,$B72))</f>
        <v/>
      </c>
    </row>
    <row r="73" customFormat="false" ht="15" hidden="false" customHeight="false" outlineLevel="0" collapsed="false">
      <c r="A73" s="14" t="n">
        <f aca="false">IF(B73="","",66)</f>
        <v>66</v>
      </c>
      <c r="B73" s="14" t="n">
        <f aca="false">IFERROR(MATCH(LARGE(Takip!$T$2:$T$501,66),Takip!$T$2:$T$501,0)+1,"")</f>
        <v>51</v>
      </c>
      <c r="C73" s="14" t="n">
        <f aca="false">IF(B73="","",INDEX(Takip!$M:$M,B73))</f>
        <v>14</v>
      </c>
      <c r="D73" s="14" t="str">
        <f aca="false">IF($B73="","",INDEX(Takip!$C:$C,$B73))</f>
        <v>Bölge 3</v>
      </c>
      <c r="E73" s="14" t="str">
        <f aca="false">IF($B73="","",INDEX(Takip!$D:$D,$B73))</f>
        <v>Mağaza 3B</v>
      </c>
      <c r="F73" s="14" t="str">
        <f aca="false">IF($B73="","",INDEX(Takip!$A:$A,$B73))</f>
        <v>S10050</v>
      </c>
      <c r="G73" s="14" t="str">
        <f aca="false">IF($B73="","",INDEX(Takip!$B:$B,$B73))</f>
        <v>Selin Koç</v>
      </c>
      <c r="H73" s="16" t="str">
        <f aca="false">IF($B73="","",INDEX(Takip!$Q:$Q,$B73))</f>
        <v>Planla</v>
      </c>
      <c r="I73" s="17" t="n">
        <f aca="false">IF($B73="","",INDEX(Takip!$K:$K,$B73))</f>
        <v>46540</v>
      </c>
      <c r="J73" s="14" t="str">
        <f aca="false">IF($B73="","",INDEX(Takip!$R:$R,$B73))</f>
        <v/>
      </c>
    </row>
    <row r="74" customFormat="false" ht="15" hidden="false" customHeight="false" outlineLevel="0" collapsed="false">
      <c r="A74" s="14" t="n">
        <f aca="false">IF(B74="","",67)</f>
        <v>67</v>
      </c>
      <c r="B74" s="14" t="n">
        <f aca="false">IFERROR(MATCH(LARGE(Takip!$T$2:$T$501,67),Takip!$T$2:$T$501,0)+1,"")</f>
        <v>38</v>
      </c>
      <c r="C74" s="14" t="n">
        <f aca="false">IF(B74="","",INDEX(Takip!$M:$M,B74))</f>
        <v>14</v>
      </c>
      <c r="D74" s="14" t="str">
        <f aca="false">IF($B74="","",INDEX(Takip!$C:$C,$B74))</f>
        <v>Bölge 2</v>
      </c>
      <c r="E74" s="14" t="str">
        <f aca="false">IF($B74="","",INDEX(Takip!$D:$D,$B74))</f>
        <v>Mağaza 2C</v>
      </c>
      <c r="F74" s="14" t="str">
        <f aca="false">IF($B74="","",INDEX(Takip!$A:$A,$B74))</f>
        <v>S10037</v>
      </c>
      <c r="G74" s="14" t="str">
        <f aca="false">IF($B74="","",INDEX(Takip!$B:$B,$B74))</f>
        <v>Emre Yıldız</v>
      </c>
      <c r="H74" s="16" t="str">
        <f aca="false">IF($B74="","",INDEX(Takip!$Q:$Q,$B74))</f>
        <v>Planla</v>
      </c>
      <c r="I74" s="17" t="n">
        <f aca="false">IF($B74="","",INDEX(Takip!$K:$K,$B74))</f>
        <v>46640</v>
      </c>
      <c r="J74" s="14" t="str">
        <f aca="false">IF($B74="","",INDEX(Takip!$R:$R,$B74))</f>
        <v/>
      </c>
    </row>
    <row r="75" customFormat="false" ht="15" hidden="false" customHeight="false" outlineLevel="0" collapsed="false">
      <c r="A75" s="14" t="n">
        <f aca="false">IF(B75="","",68)</f>
        <v>68</v>
      </c>
      <c r="B75" s="14" t="n">
        <f aca="false">IFERROR(MATCH(LARGE(Takip!$T$2:$T$501,68),Takip!$T$2:$T$501,0)+1,"")</f>
        <v>8</v>
      </c>
      <c r="C75" s="14" t="n">
        <f aca="false">IF(B75="","",INDEX(Takip!$M:$M,B75))</f>
        <v>14</v>
      </c>
      <c r="D75" s="14" t="str">
        <f aca="false">IF($B75="","",INDEX(Takip!$C:$C,$B75))</f>
        <v>Bölge 1</v>
      </c>
      <c r="E75" s="14" t="str">
        <f aca="false">IF($B75="","",INDEX(Takip!$D:$D,$B75))</f>
        <v>Mağaza 1A</v>
      </c>
      <c r="F75" s="14" t="str">
        <f aca="false">IF($B75="","",INDEX(Takip!$A:$A,$B75))</f>
        <v>S10007</v>
      </c>
      <c r="G75" s="14" t="str">
        <f aca="false">IF($B75="","",INDEX(Takip!$B:$B,$B75))</f>
        <v>Tolga Koç</v>
      </c>
      <c r="H75" s="16" t="str">
        <f aca="false">IF($B75="","",INDEX(Takip!$Q:$Q,$B75))</f>
        <v>Planla</v>
      </c>
      <c r="I75" s="17" t="n">
        <f aca="false">IF($B75="","",INDEX(Takip!$K:$K,$B75))</f>
        <v>46484</v>
      </c>
      <c r="J75" s="14" t="str">
        <f aca="false">IF($B75="","",INDEX(Takip!$R:$R,$B75))</f>
        <v/>
      </c>
    </row>
    <row r="76" customFormat="false" ht="15" hidden="false" customHeight="false" outlineLevel="0" collapsed="false">
      <c r="A76" s="14" t="n">
        <f aca="false">IF(B76="","",69)</f>
        <v>69</v>
      </c>
      <c r="B76" s="14" t="n">
        <f aca="false">IFERROR(MATCH(LARGE(Takip!$T$2:$T$501,69),Takip!$T$2:$T$501,0)+1,"")</f>
        <v>2</v>
      </c>
      <c r="C76" s="14" t="n">
        <f aca="false">IF(B76="","",INDEX(Takip!$M:$M,B76))</f>
        <v>14</v>
      </c>
      <c r="D76" s="14" t="str">
        <f aca="false">IF($B76="","",INDEX(Takip!$C:$C,$B76))</f>
        <v>Bölge 1</v>
      </c>
      <c r="E76" s="14" t="str">
        <f aca="false">IF($B76="","",INDEX(Takip!$D:$D,$B76))</f>
        <v>Mağaza 1A</v>
      </c>
      <c r="F76" s="14" t="str">
        <f aca="false">IF($B76="","",INDEX(Takip!$A:$A,$B76))</f>
        <v>S10001</v>
      </c>
      <c r="G76" s="14" t="str">
        <f aca="false">IF($B76="","",INDEX(Takip!$B:$B,$B76))</f>
        <v>Buse Yıldız</v>
      </c>
      <c r="H76" s="16" t="str">
        <f aca="false">IF($B76="","",INDEX(Takip!$Q:$Q,$B76))</f>
        <v>Planla</v>
      </c>
      <c r="I76" s="17" t="n">
        <f aca="false">IF($B76="","",INDEX(Takip!$K:$K,$B76))</f>
        <v>46336</v>
      </c>
      <c r="J76" s="14" t="str">
        <f aca="false">IF($B76="","",INDEX(Takip!$R:$R,$B76))</f>
        <v>Evet</v>
      </c>
    </row>
    <row r="77" customFormat="false" ht="15" hidden="false" customHeight="false" outlineLevel="0" collapsed="false">
      <c r="A77" s="14" t="str">
        <f aca="false">IF(B77="","",70)</f>
        <v/>
      </c>
      <c r="B77" s="14" t="str">
        <f aca="false">IFERROR(MATCH(LARGE(Takip!$T$2:$T$501,70),Takip!$T$2:$T$501,0)+1,"")</f>
        <v/>
      </c>
      <c r="C77" s="14" t="str">
        <f aca="false">IF(B77="","",INDEX(Takip!$M:$M,B77))</f>
        <v/>
      </c>
      <c r="D77" s="14" t="str">
        <f aca="false">IF($B77="","",INDEX(Takip!$C:$C,$B77))</f>
        <v/>
      </c>
      <c r="E77" s="14" t="str">
        <f aca="false">IF($B77="","",INDEX(Takip!$D:$D,$B77))</f>
        <v/>
      </c>
      <c r="F77" s="14" t="str">
        <f aca="false">IF($B77="","",INDEX(Takip!$A:$A,$B77))</f>
        <v/>
      </c>
      <c r="G77" s="14" t="str">
        <f aca="false">IF($B77="","",INDEX(Takip!$B:$B,$B77))</f>
        <v/>
      </c>
      <c r="H77" s="16" t="str">
        <f aca="false">IF($B77="","",INDEX(Takip!$Q:$Q,$B77))</f>
        <v/>
      </c>
      <c r="I77" s="17" t="str">
        <f aca="false">IF($B77="","",INDEX(Takip!$K:$K,$B77))</f>
        <v/>
      </c>
      <c r="J77" s="14" t="str">
        <f aca="false">IF($B77="","",INDEX(Takip!$R:$R,$B77))</f>
        <v/>
      </c>
    </row>
    <row r="78" customFormat="false" ht="15" hidden="false" customHeight="false" outlineLevel="0" collapsed="false">
      <c r="A78" s="14" t="str">
        <f aca="false">IF(B78="","",71)</f>
        <v/>
      </c>
      <c r="B78" s="14" t="str">
        <f aca="false">IFERROR(MATCH(LARGE(Takip!$T$2:$T$501,71),Takip!$T$2:$T$501,0)+1,"")</f>
        <v/>
      </c>
      <c r="C78" s="14" t="str">
        <f aca="false">IF(B78="","",INDEX(Takip!$M:$M,B78))</f>
        <v/>
      </c>
      <c r="D78" s="14" t="str">
        <f aca="false">IF($B78="","",INDEX(Takip!$C:$C,$B78))</f>
        <v/>
      </c>
      <c r="E78" s="14" t="str">
        <f aca="false">IF($B78="","",INDEX(Takip!$D:$D,$B78))</f>
        <v/>
      </c>
      <c r="F78" s="14" t="str">
        <f aca="false">IF($B78="","",INDEX(Takip!$A:$A,$B78))</f>
        <v/>
      </c>
      <c r="G78" s="14" t="str">
        <f aca="false">IF($B78="","",INDEX(Takip!$B:$B,$B78))</f>
        <v/>
      </c>
      <c r="H78" s="16" t="str">
        <f aca="false">IF($B78="","",INDEX(Takip!$Q:$Q,$B78))</f>
        <v/>
      </c>
      <c r="I78" s="17" t="str">
        <f aca="false">IF($B78="","",INDEX(Takip!$K:$K,$B78))</f>
        <v/>
      </c>
      <c r="J78" s="14" t="str">
        <f aca="false">IF($B78="","",INDEX(Takip!$R:$R,$B78))</f>
        <v/>
      </c>
    </row>
    <row r="79" customFormat="false" ht="15" hidden="false" customHeight="false" outlineLevel="0" collapsed="false">
      <c r="A79" s="14" t="str">
        <f aca="false">IF(B79="","",72)</f>
        <v/>
      </c>
      <c r="B79" s="14" t="str">
        <f aca="false">IFERROR(MATCH(LARGE(Takip!$T$2:$T$501,72),Takip!$T$2:$T$501,0)+1,"")</f>
        <v/>
      </c>
      <c r="C79" s="14" t="str">
        <f aca="false">IF(B79="","",INDEX(Takip!$M:$M,B79))</f>
        <v/>
      </c>
      <c r="D79" s="14" t="str">
        <f aca="false">IF($B79="","",INDEX(Takip!$C:$C,$B79))</f>
        <v/>
      </c>
      <c r="E79" s="14" t="str">
        <f aca="false">IF($B79="","",INDEX(Takip!$D:$D,$B79))</f>
        <v/>
      </c>
      <c r="F79" s="14" t="str">
        <f aca="false">IF($B79="","",INDEX(Takip!$A:$A,$B79))</f>
        <v/>
      </c>
      <c r="G79" s="14" t="str">
        <f aca="false">IF($B79="","",INDEX(Takip!$B:$B,$B79))</f>
        <v/>
      </c>
      <c r="H79" s="16" t="str">
        <f aca="false">IF($B79="","",INDEX(Takip!$Q:$Q,$B79))</f>
        <v/>
      </c>
      <c r="I79" s="17" t="str">
        <f aca="false">IF($B79="","",INDEX(Takip!$K:$K,$B79))</f>
        <v/>
      </c>
      <c r="J79" s="14" t="str">
        <f aca="false">IF($B79="","",INDEX(Takip!$R:$R,$B79))</f>
        <v/>
      </c>
    </row>
    <row r="80" customFormat="false" ht="15" hidden="false" customHeight="false" outlineLevel="0" collapsed="false">
      <c r="A80" s="14" t="str">
        <f aca="false">IF(B80="","",73)</f>
        <v/>
      </c>
      <c r="B80" s="14" t="str">
        <f aca="false">IFERROR(MATCH(LARGE(Takip!$T$2:$T$501,73),Takip!$T$2:$T$501,0)+1,"")</f>
        <v/>
      </c>
      <c r="C80" s="14" t="str">
        <f aca="false">IF(B80="","",INDEX(Takip!$M:$M,B80))</f>
        <v/>
      </c>
      <c r="D80" s="14" t="str">
        <f aca="false">IF($B80="","",INDEX(Takip!$C:$C,$B80))</f>
        <v/>
      </c>
      <c r="E80" s="14" t="str">
        <f aca="false">IF($B80="","",INDEX(Takip!$D:$D,$B80))</f>
        <v/>
      </c>
      <c r="F80" s="14" t="str">
        <f aca="false">IF($B80="","",INDEX(Takip!$A:$A,$B80))</f>
        <v/>
      </c>
      <c r="G80" s="14" t="str">
        <f aca="false">IF($B80="","",INDEX(Takip!$B:$B,$B80))</f>
        <v/>
      </c>
      <c r="H80" s="16" t="str">
        <f aca="false">IF($B80="","",INDEX(Takip!$Q:$Q,$B80))</f>
        <v/>
      </c>
      <c r="I80" s="17" t="str">
        <f aca="false">IF($B80="","",INDEX(Takip!$K:$K,$B80))</f>
        <v/>
      </c>
      <c r="J80" s="14" t="str">
        <f aca="false">IF($B80="","",INDEX(Takip!$R:$R,$B80))</f>
        <v/>
      </c>
    </row>
    <row r="81" customFormat="false" ht="15" hidden="false" customHeight="false" outlineLevel="0" collapsed="false">
      <c r="A81" s="14" t="str">
        <f aca="false">IF(B81="","",74)</f>
        <v/>
      </c>
      <c r="B81" s="14" t="str">
        <f aca="false">IFERROR(MATCH(LARGE(Takip!$T$2:$T$501,74),Takip!$T$2:$T$501,0)+1,"")</f>
        <v/>
      </c>
      <c r="C81" s="14" t="str">
        <f aca="false">IF(B81="","",INDEX(Takip!$M:$M,B81))</f>
        <v/>
      </c>
      <c r="D81" s="14" t="str">
        <f aca="false">IF($B81="","",INDEX(Takip!$C:$C,$B81))</f>
        <v/>
      </c>
      <c r="E81" s="14" t="str">
        <f aca="false">IF($B81="","",INDEX(Takip!$D:$D,$B81))</f>
        <v/>
      </c>
      <c r="F81" s="14" t="str">
        <f aca="false">IF($B81="","",INDEX(Takip!$A:$A,$B81))</f>
        <v/>
      </c>
      <c r="G81" s="14" t="str">
        <f aca="false">IF($B81="","",INDEX(Takip!$B:$B,$B81))</f>
        <v/>
      </c>
      <c r="H81" s="16" t="str">
        <f aca="false">IF($B81="","",INDEX(Takip!$Q:$Q,$B81))</f>
        <v/>
      </c>
      <c r="I81" s="17" t="str">
        <f aca="false">IF($B81="","",INDEX(Takip!$K:$K,$B81))</f>
        <v/>
      </c>
      <c r="J81" s="14" t="str">
        <f aca="false">IF($B81="","",INDEX(Takip!$R:$R,$B81))</f>
        <v/>
      </c>
    </row>
    <row r="82" customFormat="false" ht="15" hidden="false" customHeight="false" outlineLevel="0" collapsed="false">
      <c r="A82" s="14" t="str">
        <f aca="false">IF(B82="","",75)</f>
        <v/>
      </c>
      <c r="B82" s="14" t="str">
        <f aca="false">IFERROR(MATCH(LARGE(Takip!$T$2:$T$501,75),Takip!$T$2:$T$501,0)+1,"")</f>
        <v/>
      </c>
      <c r="C82" s="14" t="str">
        <f aca="false">IF(B82="","",INDEX(Takip!$M:$M,B82))</f>
        <v/>
      </c>
      <c r="D82" s="14" t="str">
        <f aca="false">IF($B82="","",INDEX(Takip!$C:$C,$B82))</f>
        <v/>
      </c>
      <c r="E82" s="14" t="str">
        <f aca="false">IF($B82="","",INDEX(Takip!$D:$D,$B82))</f>
        <v/>
      </c>
      <c r="F82" s="14" t="str">
        <f aca="false">IF($B82="","",INDEX(Takip!$A:$A,$B82))</f>
        <v/>
      </c>
      <c r="G82" s="14" t="str">
        <f aca="false">IF($B82="","",INDEX(Takip!$B:$B,$B82))</f>
        <v/>
      </c>
      <c r="H82" s="16" t="str">
        <f aca="false">IF($B82="","",INDEX(Takip!$Q:$Q,$B82))</f>
        <v/>
      </c>
      <c r="I82" s="17" t="str">
        <f aca="false">IF($B82="","",INDEX(Takip!$K:$K,$B82))</f>
        <v/>
      </c>
      <c r="J82" s="14" t="str">
        <f aca="false">IF($B82="","",INDEX(Takip!$R:$R,$B82))</f>
        <v/>
      </c>
    </row>
    <row r="83" customFormat="false" ht="15" hidden="false" customHeight="false" outlineLevel="0" collapsed="false">
      <c r="A83" s="14" t="str">
        <f aca="false">IF(B83="","",76)</f>
        <v/>
      </c>
      <c r="B83" s="14" t="str">
        <f aca="false">IFERROR(MATCH(LARGE(Takip!$T$2:$T$501,76),Takip!$T$2:$T$501,0)+1,"")</f>
        <v/>
      </c>
      <c r="C83" s="14" t="str">
        <f aca="false">IF(B83="","",INDEX(Takip!$M:$M,B83))</f>
        <v/>
      </c>
      <c r="D83" s="14" t="str">
        <f aca="false">IF($B83="","",INDEX(Takip!$C:$C,$B83))</f>
        <v/>
      </c>
      <c r="E83" s="14" t="str">
        <f aca="false">IF($B83="","",INDEX(Takip!$D:$D,$B83))</f>
        <v/>
      </c>
      <c r="F83" s="14" t="str">
        <f aca="false">IF($B83="","",INDEX(Takip!$A:$A,$B83))</f>
        <v/>
      </c>
      <c r="G83" s="14" t="str">
        <f aca="false">IF($B83="","",INDEX(Takip!$B:$B,$B83))</f>
        <v/>
      </c>
      <c r="H83" s="16" t="str">
        <f aca="false">IF($B83="","",INDEX(Takip!$Q:$Q,$B83))</f>
        <v/>
      </c>
      <c r="I83" s="17" t="str">
        <f aca="false">IF($B83="","",INDEX(Takip!$K:$K,$B83))</f>
        <v/>
      </c>
      <c r="J83" s="14" t="str">
        <f aca="false">IF($B83="","",INDEX(Takip!$R:$R,$B83))</f>
        <v/>
      </c>
    </row>
    <row r="84" customFormat="false" ht="15" hidden="false" customHeight="false" outlineLevel="0" collapsed="false">
      <c r="A84" s="14" t="str">
        <f aca="false">IF(B84="","",77)</f>
        <v/>
      </c>
      <c r="B84" s="14" t="str">
        <f aca="false">IFERROR(MATCH(LARGE(Takip!$T$2:$T$501,77),Takip!$T$2:$T$501,0)+1,"")</f>
        <v/>
      </c>
      <c r="C84" s="14" t="str">
        <f aca="false">IF(B84="","",INDEX(Takip!$M:$M,B84))</f>
        <v/>
      </c>
      <c r="D84" s="14" t="str">
        <f aca="false">IF($B84="","",INDEX(Takip!$C:$C,$B84))</f>
        <v/>
      </c>
      <c r="E84" s="14" t="str">
        <f aca="false">IF($B84="","",INDEX(Takip!$D:$D,$B84))</f>
        <v/>
      </c>
      <c r="F84" s="14" t="str">
        <f aca="false">IF($B84="","",INDEX(Takip!$A:$A,$B84))</f>
        <v/>
      </c>
      <c r="G84" s="14" t="str">
        <f aca="false">IF($B84="","",INDEX(Takip!$B:$B,$B84))</f>
        <v/>
      </c>
      <c r="H84" s="16" t="str">
        <f aca="false">IF($B84="","",INDEX(Takip!$Q:$Q,$B84))</f>
        <v/>
      </c>
      <c r="I84" s="17" t="str">
        <f aca="false">IF($B84="","",INDEX(Takip!$K:$K,$B84))</f>
        <v/>
      </c>
      <c r="J84" s="14" t="str">
        <f aca="false">IF($B84="","",INDEX(Takip!$R:$R,$B84))</f>
        <v/>
      </c>
    </row>
    <row r="85" customFormat="false" ht="15" hidden="false" customHeight="false" outlineLevel="0" collapsed="false">
      <c r="A85" s="14" t="str">
        <f aca="false">IF(B85="","",78)</f>
        <v/>
      </c>
      <c r="B85" s="14" t="str">
        <f aca="false">IFERROR(MATCH(LARGE(Takip!$T$2:$T$501,78),Takip!$T$2:$T$501,0)+1,"")</f>
        <v/>
      </c>
      <c r="C85" s="14" t="str">
        <f aca="false">IF(B85="","",INDEX(Takip!$M:$M,B85))</f>
        <v/>
      </c>
      <c r="D85" s="14" t="str">
        <f aca="false">IF($B85="","",INDEX(Takip!$C:$C,$B85))</f>
        <v/>
      </c>
      <c r="E85" s="14" t="str">
        <f aca="false">IF($B85="","",INDEX(Takip!$D:$D,$B85))</f>
        <v/>
      </c>
      <c r="F85" s="14" t="str">
        <f aca="false">IF($B85="","",INDEX(Takip!$A:$A,$B85))</f>
        <v/>
      </c>
      <c r="G85" s="14" t="str">
        <f aca="false">IF($B85="","",INDEX(Takip!$B:$B,$B85))</f>
        <v/>
      </c>
      <c r="H85" s="16" t="str">
        <f aca="false">IF($B85="","",INDEX(Takip!$Q:$Q,$B85))</f>
        <v/>
      </c>
      <c r="I85" s="17" t="str">
        <f aca="false">IF($B85="","",INDEX(Takip!$K:$K,$B85))</f>
        <v/>
      </c>
      <c r="J85" s="14" t="str">
        <f aca="false">IF($B85="","",INDEX(Takip!$R:$R,$B85))</f>
        <v/>
      </c>
    </row>
    <row r="86" customFormat="false" ht="15" hidden="false" customHeight="false" outlineLevel="0" collapsed="false">
      <c r="A86" s="14" t="str">
        <f aca="false">IF(B86="","",79)</f>
        <v/>
      </c>
      <c r="B86" s="14" t="str">
        <f aca="false">IFERROR(MATCH(LARGE(Takip!$T$2:$T$501,79),Takip!$T$2:$T$501,0)+1,"")</f>
        <v/>
      </c>
      <c r="C86" s="14" t="str">
        <f aca="false">IF(B86="","",INDEX(Takip!$M:$M,B86))</f>
        <v/>
      </c>
      <c r="D86" s="14" t="str">
        <f aca="false">IF($B86="","",INDEX(Takip!$C:$C,$B86))</f>
        <v/>
      </c>
      <c r="E86" s="14" t="str">
        <f aca="false">IF($B86="","",INDEX(Takip!$D:$D,$B86))</f>
        <v/>
      </c>
      <c r="F86" s="14" t="str">
        <f aca="false">IF($B86="","",INDEX(Takip!$A:$A,$B86))</f>
        <v/>
      </c>
      <c r="G86" s="14" t="str">
        <f aca="false">IF($B86="","",INDEX(Takip!$B:$B,$B86))</f>
        <v/>
      </c>
      <c r="H86" s="16" t="str">
        <f aca="false">IF($B86="","",INDEX(Takip!$Q:$Q,$B86))</f>
        <v/>
      </c>
      <c r="I86" s="17" t="str">
        <f aca="false">IF($B86="","",INDEX(Takip!$K:$K,$B86))</f>
        <v/>
      </c>
      <c r="J86" s="14" t="str">
        <f aca="false">IF($B86="","",INDEX(Takip!$R:$R,$B86))</f>
        <v/>
      </c>
    </row>
    <row r="87" customFormat="false" ht="15" hidden="false" customHeight="false" outlineLevel="0" collapsed="false">
      <c r="A87" s="14" t="str">
        <f aca="false">IF(B87="","",80)</f>
        <v/>
      </c>
      <c r="B87" s="14" t="str">
        <f aca="false">IFERROR(MATCH(LARGE(Takip!$T$2:$T$501,80),Takip!$T$2:$T$501,0)+1,"")</f>
        <v/>
      </c>
      <c r="C87" s="14" t="str">
        <f aca="false">IF(B87="","",INDEX(Takip!$M:$M,B87))</f>
        <v/>
      </c>
      <c r="D87" s="14" t="str">
        <f aca="false">IF($B87="","",INDEX(Takip!$C:$C,$B87))</f>
        <v/>
      </c>
      <c r="E87" s="14" t="str">
        <f aca="false">IF($B87="","",INDEX(Takip!$D:$D,$B87))</f>
        <v/>
      </c>
      <c r="F87" s="14" t="str">
        <f aca="false">IF($B87="","",INDEX(Takip!$A:$A,$B87))</f>
        <v/>
      </c>
      <c r="G87" s="14" t="str">
        <f aca="false">IF($B87="","",INDEX(Takip!$B:$B,$B87))</f>
        <v/>
      </c>
      <c r="H87" s="16" t="str">
        <f aca="false">IF($B87="","",INDEX(Takip!$Q:$Q,$B87))</f>
        <v/>
      </c>
      <c r="I87" s="17" t="str">
        <f aca="false">IF($B87="","",INDEX(Takip!$K:$K,$B87))</f>
        <v/>
      </c>
      <c r="J87" s="14" t="str">
        <f aca="false">IF($B87="","",INDEX(Takip!$R:$R,$B87))</f>
        <v/>
      </c>
    </row>
    <row r="88" customFormat="false" ht="15" hidden="false" customHeight="false" outlineLevel="0" collapsed="false">
      <c r="A88" s="14" t="str">
        <f aca="false">IF(B88="","",81)</f>
        <v/>
      </c>
      <c r="B88" s="14" t="str">
        <f aca="false">IFERROR(MATCH(LARGE(Takip!$T$2:$T$501,81),Takip!$T$2:$T$501,0)+1,"")</f>
        <v/>
      </c>
      <c r="C88" s="14" t="str">
        <f aca="false">IF(B88="","",INDEX(Takip!$M:$M,B88))</f>
        <v/>
      </c>
      <c r="D88" s="14" t="str">
        <f aca="false">IF($B88="","",INDEX(Takip!$C:$C,$B88))</f>
        <v/>
      </c>
      <c r="E88" s="14" t="str">
        <f aca="false">IF($B88="","",INDEX(Takip!$D:$D,$B88))</f>
        <v/>
      </c>
      <c r="F88" s="14" t="str">
        <f aca="false">IF($B88="","",INDEX(Takip!$A:$A,$B88))</f>
        <v/>
      </c>
      <c r="G88" s="14" t="str">
        <f aca="false">IF($B88="","",INDEX(Takip!$B:$B,$B88))</f>
        <v/>
      </c>
      <c r="H88" s="16" t="str">
        <f aca="false">IF($B88="","",INDEX(Takip!$Q:$Q,$B88))</f>
        <v/>
      </c>
      <c r="I88" s="17" t="str">
        <f aca="false">IF($B88="","",INDEX(Takip!$K:$K,$B88))</f>
        <v/>
      </c>
      <c r="J88" s="14" t="str">
        <f aca="false">IF($B88="","",INDEX(Takip!$R:$R,$B88))</f>
        <v/>
      </c>
    </row>
    <row r="89" customFormat="false" ht="15" hidden="false" customHeight="false" outlineLevel="0" collapsed="false">
      <c r="A89" s="14" t="str">
        <f aca="false">IF(B89="","",82)</f>
        <v/>
      </c>
      <c r="B89" s="14" t="str">
        <f aca="false">IFERROR(MATCH(LARGE(Takip!$T$2:$T$501,82),Takip!$T$2:$T$501,0)+1,"")</f>
        <v/>
      </c>
      <c r="C89" s="14" t="str">
        <f aca="false">IF(B89="","",INDEX(Takip!$M:$M,B89))</f>
        <v/>
      </c>
      <c r="D89" s="14" t="str">
        <f aca="false">IF($B89="","",INDEX(Takip!$C:$C,$B89))</f>
        <v/>
      </c>
      <c r="E89" s="14" t="str">
        <f aca="false">IF($B89="","",INDEX(Takip!$D:$D,$B89))</f>
        <v/>
      </c>
      <c r="F89" s="14" t="str">
        <f aca="false">IF($B89="","",INDEX(Takip!$A:$A,$B89))</f>
        <v/>
      </c>
      <c r="G89" s="14" t="str">
        <f aca="false">IF($B89="","",INDEX(Takip!$B:$B,$B89))</f>
        <v/>
      </c>
      <c r="H89" s="16" t="str">
        <f aca="false">IF($B89="","",INDEX(Takip!$Q:$Q,$B89))</f>
        <v/>
      </c>
      <c r="I89" s="17" t="str">
        <f aca="false">IF($B89="","",INDEX(Takip!$K:$K,$B89))</f>
        <v/>
      </c>
      <c r="J89" s="14" t="str">
        <f aca="false">IF($B89="","",INDEX(Takip!$R:$R,$B89))</f>
        <v/>
      </c>
    </row>
    <row r="90" customFormat="false" ht="15" hidden="false" customHeight="false" outlineLevel="0" collapsed="false">
      <c r="A90" s="14" t="str">
        <f aca="false">IF(B90="","",83)</f>
        <v/>
      </c>
      <c r="B90" s="14" t="str">
        <f aca="false">IFERROR(MATCH(LARGE(Takip!$T$2:$T$501,83),Takip!$T$2:$T$501,0)+1,"")</f>
        <v/>
      </c>
      <c r="C90" s="14" t="str">
        <f aca="false">IF(B90="","",INDEX(Takip!$M:$M,B90))</f>
        <v/>
      </c>
      <c r="D90" s="14" t="str">
        <f aca="false">IF($B90="","",INDEX(Takip!$C:$C,$B90))</f>
        <v/>
      </c>
      <c r="E90" s="14" t="str">
        <f aca="false">IF($B90="","",INDEX(Takip!$D:$D,$B90))</f>
        <v/>
      </c>
      <c r="F90" s="14" t="str">
        <f aca="false">IF($B90="","",INDEX(Takip!$A:$A,$B90))</f>
        <v/>
      </c>
      <c r="G90" s="14" t="str">
        <f aca="false">IF($B90="","",INDEX(Takip!$B:$B,$B90))</f>
        <v/>
      </c>
      <c r="H90" s="16" t="str">
        <f aca="false">IF($B90="","",INDEX(Takip!$Q:$Q,$B90))</f>
        <v/>
      </c>
      <c r="I90" s="17" t="str">
        <f aca="false">IF($B90="","",INDEX(Takip!$K:$K,$B90))</f>
        <v/>
      </c>
      <c r="J90" s="14" t="str">
        <f aca="false">IF($B90="","",INDEX(Takip!$R:$R,$B90))</f>
        <v/>
      </c>
    </row>
    <row r="91" customFormat="false" ht="15" hidden="false" customHeight="false" outlineLevel="0" collapsed="false">
      <c r="A91" s="14" t="str">
        <f aca="false">IF(B91="","",84)</f>
        <v/>
      </c>
      <c r="B91" s="14" t="str">
        <f aca="false">IFERROR(MATCH(LARGE(Takip!$T$2:$T$501,84),Takip!$T$2:$T$501,0)+1,"")</f>
        <v/>
      </c>
      <c r="C91" s="14" t="str">
        <f aca="false">IF(B91="","",INDEX(Takip!$M:$M,B91))</f>
        <v/>
      </c>
      <c r="D91" s="14" t="str">
        <f aca="false">IF($B91="","",INDEX(Takip!$C:$C,$B91))</f>
        <v/>
      </c>
      <c r="E91" s="14" t="str">
        <f aca="false">IF($B91="","",INDEX(Takip!$D:$D,$B91))</f>
        <v/>
      </c>
      <c r="F91" s="14" t="str">
        <f aca="false">IF($B91="","",INDEX(Takip!$A:$A,$B91))</f>
        <v/>
      </c>
      <c r="G91" s="14" t="str">
        <f aca="false">IF($B91="","",INDEX(Takip!$B:$B,$B91))</f>
        <v/>
      </c>
      <c r="H91" s="16" t="str">
        <f aca="false">IF($B91="","",INDEX(Takip!$Q:$Q,$B91))</f>
        <v/>
      </c>
      <c r="I91" s="17" t="str">
        <f aca="false">IF($B91="","",INDEX(Takip!$K:$K,$B91))</f>
        <v/>
      </c>
      <c r="J91" s="14" t="str">
        <f aca="false">IF($B91="","",INDEX(Takip!$R:$R,$B91))</f>
        <v/>
      </c>
    </row>
    <row r="92" customFormat="false" ht="15" hidden="false" customHeight="false" outlineLevel="0" collapsed="false">
      <c r="A92" s="14" t="str">
        <f aca="false">IF(B92="","",85)</f>
        <v/>
      </c>
      <c r="B92" s="14" t="str">
        <f aca="false">IFERROR(MATCH(LARGE(Takip!$T$2:$T$501,85),Takip!$T$2:$T$501,0)+1,"")</f>
        <v/>
      </c>
      <c r="C92" s="14" t="str">
        <f aca="false">IF(B92="","",INDEX(Takip!$M:$M,B92))</f>
        <v/>
      </c>
      <c r="D92" s="14" t="str">
        <f aca="false">IF($B92="","",INDEX(Takip!$C:$C,$B92))</f>
        <v/>
      </c>
      <c r="E92" s="14" t="str">
        <f aca="false">IF($B92="","",INDEX(Takip!$D:$D,$B92))</f>
        <v/>
      </c>
      <c r="F92" s="14" t="str">
        <f aca="false">IF($B92="","",INDEX(Takip!$A:$A,$B92))</f>
        <v/>
      </c>
      <c r="G92" s="14" t="str">
        <f aca="false">IF($B92="","",INDEX(Takip!$B:$B,$B92))</f>
        <v/>
      </c>
      <c r="H92" s="16" t="str">
        <f aca="false">IF($B92="","",INDEX(Takip!$Q:$Q,$B92))</f>
        <v/>
      </c>
      <c r="I92" s="17" t="str">
        <f aca="false">IF($B92="","",INDEX(Takip!$K:$K,$B92))</f>
        <v/>
      </c>
      <c r="J92" s="14" t="str">
        <f aca="false">IF($B92="","",INDEX(Takip!$R:$R,$B92))</f>
        <v/>
      </c>
    </row>
    <row r="93" customFormat="false" ht="15" hidden="false" customHeight="false" outlineLevel="0" collapsed="false">
      <c r="A93" s="14" t="str">
        <f aca="false">IF(B93="","",86)</f>
        <v/>
      </c>
      <c r="B93" s="14" t="str">
        <f aca="false">IFERROR(MATCH(LARGE(Takip!$T$2:$T$501,86),Takip!$T$2:$T$501,0)+1,"")</f>
        <v/>
      </c>
      <c r="C93" s="14" t="str">
        <f aca="false">IF(B93="","",INDEX(Takip!$M:$M,B93))</f>
        <v/>
      </c>
      <c r="D93" s="14" t="str">
        <f aca="false">IF($B93="","",INDEX(Takip!$C:$C,$B93))</f>
        <v/>
      </c>
      <c r="E93" s="14" t="str">
        <f aca="false">IF($B93="","",INDEX(Takip!$D:$D,$B93))</f>
        <v/>
      </c>
      <c r="F93" s="14" t="str">
        <f aca="false">IF($B93="","",INDEX(Takip!$A:$A,$B93))</f>
        <v/>
      </c>
      <c r="G93" s="14" t="str">
        <f aca="false">IF($B93="","",INDEX(Takip!$B:$B,$B93))</f>
        <v/>
      </c>
      <c r="H93" s="16" t="str">
        <f aca="false">IF($B93="","",INDEX(Takip!$Q:$Q,$B93))</f>
        <v/>
      </c>
      <c r="I93" s="17" t="str">
        <f aca="false">IF($B93="","",INDEX(Takip!$K:$K,$B93))</f>
        <v/>
      </c>
      <c r="J93" s="14" t="str">
        <f aca="false">IF($B93="","",INDEX(Takip!$R:$R,$B93))</f>
        <v/>
      </c>
    </row>
    <row r="94" customFormat="false" ht="15" hidden="false" customHeight="false" outlineLevel="0" collapsed="false">
      <c r="A94" s="14" t="str">
        <f aca="false">IF(B94="","",87)</f>
        <v/>
      </c>
      <c r="B94" s="14" t="str">
        <f aca="false">IFERROR(MATCH(LARGE(Takip!$T$2:$T$501,87),Takip!$T$2:$T$501,0)+1,"")</f>
        <v/>
      </c>
      <c r="C94" s="14" t="str">
        <f aca="false">IF(B94="","",INDEX(Takip!$M:$M,B94))</f>
        <v/>
      </c>
      <c r="D94" s="14" t="str">
        <f aca="false">IF($B94="","",INDEX(Takip!$C:$C,$B94))</f>
        <v/>
      </c>
      <c r="E94" s="14" t="str">
        <f aca="false">IF($B94="","",INDEX(Takip!$D:$D,$B94))</f>
        <v/>
      </c>
      <c r="F94" s="14" t="str">
        <f aca="false">IF($B94="","",INDEX(Takip!$A:$A,$B94))</f>
        <v/>
      </c>
      <c r="G94" s="14" t="str">
        <f aca="false">IF($B94="","",INDEX(Takip!$B:$B,$B94))</f>
        <v/>
      </c>
      <c r="H94" s="16" t="str">
        <f aca="false">IF($B94="","",INDEX(Takip!$Q:$Q,$B94))</f>
        <v/>
      </c>
      <c r="I94" s="17" t="str">
        <f aca="false">IF($B94="","",INDEX(Takip!$K:$K,$B94))</f>
        <v/>
      </c>
      <c r="J94" s="14" t="str">
        <f aca="false">IF($B94="","",INDEX(Takip!$R:$R,$B94))</f>
        <v/>
      </c>
    </row>
    <row r="95" customFormat="false" ht="15" hidden="false" customHeight="false" outlineLevel="0" collapsed="false">
      <c r="A95" s="14" t="str">
        <f aca="false">IF(B95="","",88)</f>
        <v/>
      </c>
      <c r="B95" s="14" t="str">
        <f aca="false">IFERROR(MATCH(LARGE(Takip!$T$2:$T$501,88),Takip!$T$2:$T$501,0)+1,"")</f>
        <v/>
      </c>
      <c r="C95" s="14" t="str">
        <f aca="false">IF(B95="","",INDEX(Takip!$M:$M,B95))</f>
        <v/>
      </c>
      <c r="D95" s="14" t="str">
        <f aca="false">IF($B95="","",INDEX(Takip!$C:$C,$B95))</f>
        <v/>
      </c>
      <c r="E95" s="14" t="str">
        <f aca="false">IF($B95="","",INDEX(Takip!$D:$D,$B95))</f>
        <v/>
      </c>
      <c r="F95" s="14" t="str">
        <f aca="false">IF($B95="","",INDEX(Takip!$A:$A,$B95))</f>
        <v/>
      </c>
      <c r="G95" s="14" t="str">
        <f aca="false">IF($B95="","",INDEX(Takip!$B:$B,$B95))</f>
        <v/>
      </c>
      <c r="H95" s="16" t="str">
        <f aca="false">IF($B95="","",INDEX(Takip!$Q:$Q,$B95))</f>
        <v/>
      </c>
      <c r="I95" s="17" t="str">
        <f aca="false">IF($B95="","",INDEX(Takip!$K:$K,$B95))</f>
        <v/>
      </c>
      <c r="J95" s="14" t="str">
        <f aca="false">IF($B95="","",INDEX(Takip!$R:$R,$B95))</f>
        <v/>
      </c>
    </row>
    <row r="96" customFormat="false" ht="15" hidden="false" customHeight="false" outlineLevel="0" collapsed="false">
      <c r="A96" s="14" t="str">
        <f aca="false">IF(B96="","",89)</f>
        <v/>
      </c>
      <c r="B96" s="14" t="str">
        <f aca="false">IFERROR(MATCH(LARGE(Takip!$T$2:$T$501,89),Takip!$T$2:$T$501,0)+1,"")</f>
        <v/>
      </c>
      <c r="C96" s="14" t="str">
        <f aca="false">IF(B96="","",INDEX(Takip!$M:$M,B96))</f>
        <v/>
      </c>
      <c r="D96" s="14" t="str">
        <f aca="false">IF($B96="","",INDEX(Takip!$C:$C,$B96))</f>
        <v/>
      </c>
      <c r="E96" s="14" t="str">
        <f aca="false">IF($B96="","",INDEX(Takip!$D:$D,$B96))</f>
        <v/>
      </c>
      <c r="F96" s="14" t="str">
        <f aca="false">IF($B96="","",INDEX(Takip!$A:$A,$B96))</f>
        <v/>
      </c>
      <c r="G96" s="14" t="str">
        <f aca="false">IF($B96="","",INDEX(Takip!$B:$B,$B96))</f>
        <v/>
      </c>
      <c r="H96" s="16" t="str">
        <f aca="false">IF($B96="","",INDEX(Takip!$Q:$Q,$B96))</f>
        <v/>
      </c>
      <c r="I96" s="17" t="str">
        <f aca="false">IF($B96="","",INDEX(Takip!$K:$K,$B96))</f>
        <v/>
      </c>
      <c r="J96" s="14" t="str">
        <f aca="false">IF($B96="","",INDEX(Takip!$R:$R,$B96))</f>
        <v/>
      </c>
    </row>
    <row r="97" customFormat="false" ht="15" hidden="false" customHeight="false" outlineLevel="0" collapsed="false">
      <c r="A97" s="14" t="str">
        <f aca="false">IF(B97="","",90)</f>
        <v/>
      </c>
      <c r="B97" s="14" t="str">
        <f aca="false">IFERROR(MATCH(LARGE(Takip!$T$2:$T$501,90),Takip!$T$2:$T$501,0)+1,"")</f>
        <v/>
      </c>
      <c r="C97" s="14" t="str">
        <f aca="false">IF(B97="","",INDEX(Takip!$M:$M,B97))</f>
        <v/>
      </c>
      <c r="D97" s="14" t="str">
        <f aca="false">IF($B97="","",INDEX(Takip!$C:$C,$B97))</f>
        <v/>
      </c>
      <c r="E97" s="14" t="str">
        <f aca="false">IF($B97="","",INDEX(Takip!$D:$D,$B97))</f>
        <v/>
      </c>
      <c r="F97" s="14" t="str">
        <f aca="false">IF($B97="","",INDEX(Takip!$A:$A,$B97))</f>
        <v/>
      </c>
      <c r="G97" s="14" t="str">
        <f aca="false">IF($B97="","",INDEX(Takip!$B:$B,$B97))</f>
        <v/>
      </c>
      <c r="H97" s="16" t="str">
        <f aca="false">IF($B97="","",INDEX(Takip!$Q:$Q,$B97))</f>
        <v/>
      </c>
      <c r="I97" s="17" t="str">
        <f aca="false">IF($B97="","",INDEX(Takip!$K:$K,$B97))</f>
        <v/>
      </c>
      <c r="J97" s="14" t="str">
        <f aca="false">IF($B97="","",INDEX(Takip!$R:$R,$B97))</f>
        <v/>
      </c>
    </row>
    <row r="98" customFormat="false" ht="15" hidden="false" customHeight="false" outlineLevel="0" collapsed="false">
      <c r="A98" s="14" t="str">
        <f aca="false">IF(B98="","",91)</f>
        <v/>
      </c>
      <c r="B98" s="14" t="str">
        <f aca="false">IFERROR(MATCH(LARGE(Takip!$T$2:$T$501,91),Takip!$T$2:$T$501,0)+1,"")</f>
        <v/>
      </c>
      <c r="C98" s="14" t="str">
        <f aca="false">IF(B98="","",INDEX(Takip!$M:$M,B98))</f>
        <v/>
      </c>
      <c r="D98" s="14" t="str">
        <f aca="false">IF($B98="","",INDEX(Takip!$C:$C,$B98))</f>
        <v/>
      </c>
      <c r="E98" s="14" t="str">
        <f aca="false">IF($B98="","",INDEX(Takip!$D:$D,$B98))</f>
        <v/>
      </c>
      <c r="F98" s="14" t="str">
        <f aca="false">IF($B98="","",INDEX(Takip!$A:$A,$B98))</f>
        <v/>
      </c>
      <c r="G98" s="14" t="str">
        <f aca="false">IF($B98="","",INDEX(Takip!$B:$B,$B98))</f>
        <v/>
      </c>
      <c r="H98" s="16" t="str">
        <f aca="false">IF($B98="","",INDEX(Takip!$Q:$Q,$B98))</f>
        <v/>
      </c>
      <c r="I98" s="17" t="str">
        <f aca="false">IF($B98="","",INDEX(Takip!$K:$K,$B98))</f>
        <v/>
      </c>
      <c r="J98" s="14" t="str">
        <f aca="false">IF($B98="","",INDEX(Takip!$R:$R,$B98))</f>
        <v/>
      </c>
    </row>
    <row r="99" customFormat="false" ht="15" hidden="false" customHeight="false" outlineLevel="0" collapsed="false">
      <c r="A99" s="14" t="str">
        <f aca="false">IF(B99="","",92)</f>
        <v/>
      </c>
      <c r="B99" s="14" t="str">
        <f aca="false">IFERROR(MATCH(LARGE(Takip!$T$2:$T$501,92),Takip!$T$2:$T$501,0)+1,"")</f>
        <v/>
      </c>
      <c r="C99" s="14" t="str">
        <f aca="false">IF(B99="","",INDEX(Takip!$M:$M,B99))</f>
        <v/>
      </c>
      <c r="D99" s="14" t="str">
        <f aca="false">IF($B99="","",INDEX(Takip!$C:$C,$B99))</f>
        <v/>
      </c>
      <c r="E99" s="14" t="str">
        <f aca="false">IF($B99="","",INDEX(Takip!$D:$D,$B99))</f>
        <v/>
      </c>
      <c r="F99" s="14" t="str">
        <f aca="false">IF($B99="","",INDEX(Takip!$A:$A,$B99))</f>
        <v/>
      </c>
      <c r="G99" s="14" t="str">
        <f aca="false">IF($B99="","",INDEX(Takip!$B:$B,$B99))</f>
        <v/>
      </c>
      <c r="H99" s="16" t="str">
        <f aca="false">IF($B99="","",INDEX(Takip!$Q:$Q,$B99))</f>
        <v/>
      </c>
      <c r="I99" s="17" t="str">
        <f aca="false">IF($B99="","",INDEX(Takip!$K:$K,$B99))</f>
        <v/>
      </c>
      <c r="J99" s="14" t="str">
        <f aca="false">IF($B99="","",INDEX(Takip!$R:$R,$B99))</f>
        <v/>
      </c>
    </row>
    <row r="100" customFormat="false" ht="15" hidden="false" customHeight="false" outlineLevel="0" collapsed="false">
      <c r="A100" s="14" t="str">
        <f aca="false">IF(B100="","",93)</f>
        <v/>
      </c>
      <c r="B100" s="14" t="str">
        <f aca="false">IFERROR(MATCH(LARGE(Takip!$T$2:$T$501,93),Takip!$T$2:$T$501,0)+1,"")</f>
        <v/>
      </c>
      <c r="C100" s="14" t="str">
        <f aca="false">IF(B100="","",INDEX(Takip!$M:$M,B100))</f>
        <v/>
      </c>
      <c r="D100" s="14" t="str">
        <f aca="false">IF($B100="","",INDEX(Takip!$C:$C,$B100))</f>
        <v/>
      </c>
      <c r="E100" s="14" t="str">
        <f aca="false">IF($B100="","",INDEX(Takip!$D:$D,$B100))</f>
        <v/>
      </c>
      <c r="F100" s="14" t="str">
        <f aca="false">IF($B100="","",INDEX(Takip!$A:$A,$B100))</f>
        <v/>
      </c>
      <c r="G100" s="14" t="str">
        <f aca="false">IF($B100="","",INDEX(Takip!$B:$B,$B100))</f>
        <v/>
      </c>
      <c r="H100" s="16" t="str">
        <f aca="false">IF($B100="","",INDEX(Takip!$Q:$Q,$B100))</f>
        <v/>
      </c>
      <c r="I100" s="17" t="str">
        <f aca="false">IF($B100="","",INDEX(Takip!$K:$K,$B100))</f>
        <v/>
      </c>
      <c r="J100" s="14" t="str">
        <f aca="false">IF($B100="","",INDEX(Takip!$R:$R,$B100))</f>
        <v/>
      </c>
    </row>
    <row r="101" customFormat="false" ht="15" hidden="false" customHeight="false" outlineLevel="0" collapsed="false">
      <c r="A101" s="14" t="str">
        <f aca="false">IF(B101="","",94)</f>
        <v/>
      </c>
      <c r="B101" s="14" t="str">
        <f aca="false">IFERROR(MATCH(LARGE(Takip!$T$2:$T$501,94),Takip!$T$2:$T$501,0)+1,"")</f>
        <v/>
      </c>
      <c r="C101" s="14" t="str">
        <f aca="false">IF(B101="","",INDEX(Takip!$M:$M,B101))</f>
        <v/>
      </c>
      <c r="D101" s="14" t="str">
        <f aca="false">IF($B101="","",INDEX(Takip!$C:$C,$B101))</f>
        <v/>
      </c>
      <c r="E101" s="14" t="str">
        <f aca="false">IF($B101="","",INDEX(Takip!$D:$D,$B101))</f>
        <v/>
      </c>
      <c r="F101" s="14" t="str">
        <f aca="false">IF($B101="","",INDEX(Takip!$A:$A,$B101))</f>
        <v/>
      </c>
      <c r="G101" s="14" t="str">
        <f aca="false">IF($B101="","",INDEX(Takip!$B:$B,$B101))</f>
        <v/>
      </c>
      <c r="H101" s="16" t="str">
        <f aca="false">IF($B101="","",INDEX(Takip!$Q:$Q,$B101))</f>
        <v/>
      </c>
      <c r="I101" s="17" t="str">
        <f aca="false">IF($B101="","",INDEX(Takip!$K:$K,$B101))</f>
        <v/>
      </c>
      <c r="J101" s="14" t="str">
        <f aca="false">IF($B101="","",INDEX(Takip!$R:$R,$B101))</f>
        <v/>
      </c>
    </row>
    <row r="102" customFormat="false" ht="15" hidden="false" customHeight="false" outlineLevel="0" collapsed="false">
      <c r="A102" s="14" t="str">
        <f aca="false">IF(B102="","",95)</f>
        <v/>
      </c>
      <c r="B102" s="14" t="str">
        <f aca="false">IFERROR(MATCH(LARGE(Takip!$T$2:$T$501,95),Takip!$T$2:$T$501,0)+1,"")</f>
        <v/>
      </c>
      <c r="C102" s="14" t="str">
        <f aca="false">IF(B102="","",INDEX(Takip!$M:$M,B102))</f>
        <v/>
      </c>
      <c r="D102" s="14" t="str">
        <f aca="false">IF($B102="","",INDEX(Takip!$C:$C,$B102))</f>
        <v/>
      </c>
      <c r="E102" s="14" t="str">
        <f aca="false">IF($B102="","",INDEX(Takip!$D:$D,$B102))</f>
        <v/>
      </c>
      <c r="F102" s="14" t="str">
        <f aca="false">IF($B102="","",INDEX(Takip!$A:$A,$B102))</f>
        <v/>
      </c>
      <c r="G102" s="14" t="str">
        <f aca="false">IF($B102="","",INDEX(Takip!$B:$B,$B102))</f>
        <v/>
      </c>
      <c r="H102" s="16" t="str">
        <f aca="false">IF($B102="","",INDEX(Takip!$Q:$Q,$B102))</f>
        <v/>
      </c>
      <c r="I102" s="17" t="str">
        <f aca="false">IF($B102="","",INDEX(Takip!$K:$K,$B102))</f>
        <v/>
      </c>
      <c r="J102" s="14" t="str">
        <f aca="false">IF($B102="","",INDEX(Takip!$R:$R,$B102))</f>
        <v/>
      </c>
    </row>
    <row r="103" customFormat="false" ht="15" hidden="false" customHeight="false" outlineLevel="0" collapsed="false">
      <c r="A103" s="14" t="str">
        <f aca="false">IF(B103="","",96)</f>
        <v/>
      </c>
      <c r="B103" s="14" t="str">
        <f aca="false">IFERROR(MATCH(LARGE(Takip!$T$2:$T$501,96),Takip!$T$2:$T$501,0)+1,"")</f>
        <v/>
      </c>
      <c r="C103" s="14" t="str">
        <f aca="false">IF(B103="","",INDEX(Takip!$M:$M,B103))</f>
        <v/>
      </c>
      <c r="D103" s="14" t="str">
        <f aca="false">IF($B103="","",INDEX(Takip!$C:$C,$B103))</f>
        <v/>
      </c>
      <c r="E103" s="14" t="str">
        <f aca="false">IF($B103="","",INDEX(Takip!$D:$D,$B103))</f>
        <v/>
      </c>
      <c r="F103" s="14" t="str">
        <f aca="false">IF($B103="","",INDEX(Takip!$A:$A,$B103))</f>
        <v/>
      </c>
      <c r="G103" s="14" t="str">
        <f aca="false">IF($B103="","",INDEX(Takip!$B:$B,$B103))</f>
        <v/>
      </c>
      <c r="H103" s="16" t="str">
        <f aca="false">IF($B103="","",INDEX(Takip!$Q:$Q,$B103))</f>
        <v/>
      </c>
      <c r="I103" s="17" t="str">
        <f aca="false">IF($B103="","",INDEX(Takip!$K:$K,$B103))</f>
        <v/>
      </c>
      <c r="J103" s="14" t="str">
        <f aca="false">IF($B103="","",INDEX(Takip!$R:$R,$B103))</f>
        <v/>
      </c>
    </row>
    <row r="104" customFormat="false" ht="15" hidden="false" customHeight="false" outlineLevel="0" collapsed="false">
      <c r="A104" s="14" t="str">
        <f aca="false">IF(B104="","",97)</f>
        <v/>
      </c>
      <c r="B104" s="14" t="str">
        <f aca="false">IFERROR(MATCH(LARGE(Takip!$T$2:$T$501,97),Takip!$T$2:$T$501,0)+1,"")</f>
        <v/>
      </c>
      <c r="C104" s="14" t="str">
        <f aca="false">IF(B104="","",INDEX(Takip!$M:$M,B104))</f>
        <v/>
      </c>
      <c r="D104" s="14" t="str">
        <f aca="false">IF($B104="","",INDEX(Takip!$C:$C,$B104))</f>
        <v/>
      </c>
      <c r="E104" s="14" t="str">
        <f aca="false">IF($B104="","",INDEX(Takip!$D:$D,$B104))</f>
        <v/>
      </c>
      <c r="F104" s="14" t="str">
        <f aca="false">IF($B104="","",INDEX(Takip!$A:$A,$B104))</f>
        <v/>
      </c>
      <c r="G104" s="14" t="str">
        <f aca="false">IF($B104="","",INDEX(Takip!$B:$B,$B104))</f>
        <v/>
      </c>
      <c r="H104" s="16" t="str">
        <f aca="false">IF($B104="","",INDEX(Takip!$Q:$Q,$B104))</f>
        <v/>
      </c>
      <c r="I104" s="17" t="str">
        <f aca="false">IF($B104="","",INDEX(Takip!$K:$K,$B104))</f>
        <v/>
      </c>
      <c r="J104" s="14" t="str">
        <f aca="false">IF($B104="","",INDEX(Takip!$R:$R,$B104))</f>
        <v/>
      </c>
    </row>
    <row r="105" customFormat="false" ht="15" hidden="false" customHeight="false" outlineLevel="0" collapsed="false">
      <c r="A105" s="14" t="str">
        <f aca="false">IF(B105="","",98)</f>
        <v/>
      </c>
      <c r="B105" s="14" t="str">
        <f aca="false">IFERROR(MATCH(LARGE(Takip!$T$2:$T$501,98),Takip!$T$2:$T$501,0)+1,"")</f>
        <v/>
      </c>
      <c r="C105" s="14" t="str">
        <f aca="false">IF(B105="","",INDEX(Takip!$M:$M,B105))</f>
        <v/>
      </c>
      <c r="D105" s="14" t="str">
        <f aca="false">IF($B105="","",INDEX(Takip!$C:$C,$B105))</f>
        <v/>
      </c>
      <c r="E105" s="14" t="str">
        <f aca="false">IF($B105="","",INDEX(Takip!$D:$D,$B105))</f>
        <v/>
      </c>
      <c r="F105" s="14" t="str">
        <f aca="false">IF($B105="","",INDEX(Takip!$A:$A,$B105))</f>
        <v/>
      </c>
      <c r="G105" s="14" t="str">
        <f aca="false">IF($B105="","",INDEX(Takip!$B:$B,$B105))</f>
        <v/>
      </c>
      <c r="H105" s="16" t="str">
        <f aca="false">IF($B105="","",INDEX(Takip!$Q:$Q,$B105))</f>
        <v/>
      </c>
      <c r="I105" s="17" t="str">
        <f aca="false">IF($B105="","",INDEX(Takip!$K:$K,$B105))</f>
        <v/>
      </c>
      <c r="J105" s="14" t="str">
        <f aca="false">IF($B105="","",INDEX(Takip!$R:$R,$B105))</f>
        <v/>
      </c>
    </row>
    <row r="106" customFormat="false" ht="15" hidden="false" customHeight="false" outlineLevel="0" collapsed="false">
      <c r="A106" s="14" t="str">
        <f aca="false">IF(B106="","",99)</f>
        <v/>
      </c>
      <c r="B106" s="14" t="str">
        <f aca="false">IFERROR(MATCH(LARGE(Takip!$T$2:$T$501,99),Takip!$T$2:$T$501,0)+1,"")</f>
        <v/>
      </c>
      <c r="C106" s="14" t="str">
        <f aca="false">IF(B106="","",INDEX(Takip!$M:$M,B106))</f>
        <v/>
      </c>
      <c r="D106" s="14" t="str">
        <f aca="false">IF($B106="","",INDEX(Takip!$C:$C,$B106))</f>
        <v/>
      </c>
      <c r="E106" s="14" t="str">
        <f aca="false">IF($B106="","",INDEX(Takip!$D:$D,$B106))</f>
        <v/>
      </c>
      <c r="F106" s="14" t="str">
        <f aca="false">IF($B106="","",INDEX(Takip!$A:$A,$B106))</f>
        <v/>
      </c>
      <c r="G106" s="14" t="str">
        <f aca="false">IF($B106="","",INDEX(Takip!$B:$B,$B106))</f>
        <v/>
      </c>
      <c r="H106" s="16" t="str">
        <f aca="false">IF($B106="","",INDEX(Takip!$Q:$Q,$B106))</f>
        <v/>
      </c>
      <c r="I106" s="17" t="str">
        <f aca="false">IF($B106="","",INDEX(Takip!$K:$K,$B106))</f>
        <v/>
      </c>
      <c r="J106" s="14" t="str">
        <f aca="false">IF($B106="","",INDEX(Takip!$R:$R,$B106))</f>
        <v/>
      </c>
    </row>
    <row r="107" customFormat="false" ht="15" hidden="false" customHeight="false" outlineLevel="0" collapsed="false">
      <c r="A107" s="14" t="str">
        <f aca="false">IF(B107="","",100)</f>
        <v/>
      </c>
      <c r="B107" s="14" t="str">
        <f aca="false">IFERROR(MATCH(LARGE(Takip!$T$2:$T$501,100),Takip!$T$2:$T$501,0)+1,"")</f>
        <v/>
      </c>
      <c r="C107" s="14" t="str">
        <f aca="false">IF(B107="","",INDEX(Takip!$M:$M,B107))</f>
        <v/>
      </c>
      <c r="D107" s="14" t="str">
        <f aca="false">IF($B107="","",INDEX(Takip!$C:$C,$B107))</f>
        <v/>
      </c>
      <c r="E107" s="14" t="str">
        <f aca="false">IF($B107="","",INDEX(Takip!$D:$D,$B107))</f>
        <v/>
      </c>
      <c r="F107" s="14" t="str">
        <f aca="false">IF($B107="","",INDEX(Takip!$A:$A,$B107))</f>
        <v/>
      </c>
      <c r="G107" s="14" t="str">
        <f aca="false">IF($B107="","",INDEX(Takip!$B:$B,$B107))</f>
        <v/>
      </c>
      <c r="H107" s="16" t="str">
        <f aca="false">IF($B107="","",INDEX(Takip!$Q:$Q,$B107))</f>
        <v/>
      </c>
      <c r="I107" s="17" t="str">
        <f aca="false">IF($B107="","",INDEX(Takip!$K:$K,$B107))</f>
        <v/>
      </c>
      <c r="J107" s="14" t="str">
        <f aca="false">IF($B107="","",INDEX(Takip!$R:$R,$B107))</f>
        <v/>
      </c>
    </row>
    <row r="108" customFormat="false" ht="15" hidden="false" customHeight="false" outlineLevel="0" collapsed="false">
      <c r="A108" s="14" t="str">
        <f aca="false">IF(B108="","",101)</f>
        <v/>
      </c>
      <c r="B108" s="14" t="str">
        <f aca="false">IFERROR(MATCH(LARGE(Takip!$T$2:$T$501,101),Takip!$T$2:$T$501,0)+1,"")</f>
        <v/>
      </c>
      <c r="C108" s="14" t="str">
        <f aca="false">IF(B108="","",INDEX(Takip!$M:$M,B108))</f>
        <v/>
      </c>
      <c r="D108" s="14" t="str">
        <f aca="false">IF($B108="","",INDEX(Takip!$C:$C,$B108))</f>
        <v/>
      </c>
      <c r="E108" s="14" t="str">
        <f aca="false">IF($B108="","",INDEX(Takip!$D:$D,$B108))</f>
        <v/>
      </c>
      <c r="F108" s="14" t="str">
        <f aca="false">IF($B108="","",INDEX(Takip!$A:$A,$B108))</f>
        <v/>
      </c>
      <c r="G108" s="14" t="str">
        <f aca="false">IF($B108="","",INDEX(Takip!$B:$B,$B108))</f>
        <v/>
      </c>
      <c r="H108" s="16" t="str">
        <f aca="false">IF($B108="","",INDEX(Takip!$Q:$Q,$B108))</f>
        <v/>
      </c>
      <c r="I108" s="17" t="str">
        <f aca="false">IF($B108="","",INDEX(Takip!$K:$K,$B108))</f>
        <v/>
      </c>
      <c r="J108" s="14" t="str">
        <f aca="false">IF($B108="","",INDEX(Takip!$R:$R,$B108))</f>
        <v/>
      </c>
    </row>
    <row r="109" customFormat="false" ht="15" hidden="false" customHeight="false" outlineLevel="0" collapsed="false">
      <c r="A109" s="14" t="str">
        <f aca="false">IF(B109="","",102)</f>
        <v/>
      </c>
      <c r="B109" s="14" t="str">
        <f aca="false">IFERROR(MATCH(LARGE(Takip!$T$2:$T$501,102),Takip!$T$2:$T$501,0)+1,"")</f>
        <v/>
      </c>
      <c r="C109" s="14" t="str">
        <f aca="false">IF(B109="","",INDEX(Takip!$M:$M,B109))</f>
        <v/>
      </c>
      <c r="D109" s="14" t="str">
        <f aca="false">IF($B109="","",INDEX(Takip!$C:$C,$B109))</f>
        <v/>
      </c>
      <c r="E109" s="14" t="str">
        <f aca="false">IF($B109="","",INDEX(Takip!$D:$D,$B109))</f>
        <v/>
      </c>
      <c r="F109" s="14" t="str">
        <f aca="false">IF($B109="","",INDEX(Takip!$A:$A,$B109))</f>
        <v/>
      </c>
      <c r="G109" s="14" t="str">
        <f aca="false">IF($B109="","",INDEX(Takip!$B:$B,$B109))</f>
        <v/>
      </c>
      <c r="H109" s="16" t="str">
        <f aca="false">IF($B109="","",INDEX(Takip!$Q:$Q,$B109))</f>
        <v/>
      </c>
      <c r="I109" s="17" t="str">
        <f aca="false">IF($B109="","",INDEX(Takip!$K:$K,$B109))</f>
        <v/>
      </c>
      <c r="J109" s="14" t="str">
        <f aca="false">IF($B109="","",INDEX(Takip!$R:$R,$B109))</f>
        <v/>
      </c>
    </row>
    <row r="110" customFormat="false" ht="15" hidden="false" customHeight="false" outlineLevel="0" collapsed="false">
      <c r="A110" s="14" t="str">
        <f aca="false">IF(B110="","",103)</f>
        <v/>
      </c>
      <c r="B110" s="14" t="str">
        <f aca="false">IFERROR(MATCH(LARGE(Takip!$T$2:$T$501,103),Takip!$T$2:$T$501,0)+1,"")</f>
        <v/>
      </c>
      <c r="C110" s="14" t="str">
        <f aca="false">IF(B110="","",INDEX(Takip!$M:$M,B110))</f>
        <v/>
      </c>
      <c r="D110" s="14" t="str">
        <f aca="false">IF($B110="","",INDEX(Takip!$C:$C,$B110))</f>
        <v/>
      </c>
      <c r="E110" s="14" t="str">
        <f aca="false">IF($B110="","",INDEX(Takip!$D:$D,$B110))</f>
        <v/>
      </c>
      <c r="F110" s="14" t="str">
        <f aca="false">IF($B110="","",INDEX(Takip!$A:$A,$B110))</f>
        <v/>
      </c>
      <c r="G110" s="14" t="str">
        <f aca="false">IF($B110="","",INDEX(Takip!$B:$B,$B110))</f>
        <v/>
      </c>
      <c r="H110" s="16" t="str">
        <f aca="false">IF($B110="","",INDEX(Takip!$Q:$Q,$B110))</f>
        <v/>
      </c>
      <c r="I110" s="17" t="str">
        <f aca="false">IF($B110="","",INDEX(Takip!$K:$K,$B110))</f>
        <v/>
      </c>
      <c r="J110" s="14" t="str">
        <f aca="false">IF($B110="","",INDEX(Takip!$R:$R,$B110))</f>
        <v/>
      </c>
    </row>
    <row r="111" customFormat="false" ht="15" hidden="false" customHeight="false" outlineLevel="0" collapsed="false">
      <c r="A111" s="14" t="str">
        <f aca="false">IF(B111="","",104)</f>
        <v/>
      </c>
      <c r="B111" s="14" t="str">
        <f aca="false">IFERROR(MATCH(LARGE(Takip!$T$2:$T$501,104),Takip!$T$2:$T$501,0)+1,"")</f>
        <v/>
      </c>
      <c r="C111" s="14" t="str">
        <f aca="false">IF(B111="","",INDEX(Takip!$M:$M,B111))</f>
        <v/>
      </c>
      <c r="D111" s="14" t="str">
        <f aca="false">IF($B111="","",INDEX(Takip!$C:$C,$B111))</f>
        <v/>
      </c>
      <c r="E111" s="14" t="str">
        <f aca="false">IF($B111="","",INDEX(Takip!$D:$D,$B111))</f>
        <v/>
      </c>
      <c r="F111" s="14" t="str">
        <f aca="false">IF($B111="","",INDEX(Takip!$A:$A,$B111))</f>
        <v/>
      </c>
      <c r="G111" s="14" t="str">
        <f aca="false">IF($B111="","",INDEX(Takip!$B:$B,$B111))</f>
        <v/>
      </c>
      <c r="H111" s="16" t="str">
        <f aca="false">IF($B111="","",INDEX(Takip!$Q:$Q,$B111))</f>
        <v/>
      </c>
      <c r="I111" s="17" t="str">
        <f aca="false">IF($B111="","",INDEX(Takip!$K:$K,$B111))</f>
        <v/>
      </c>
      <c r="J111" s="14" t="str">
        <f aca="false">IF($B111="","",INDEX(Takip!$R:$R,$B111))</f>
        <v/>
      </c>
    </row>
    <row r="112" customFormat="false" ht="15" hidden="false" customHeight="false" outlineLevel="0" collapsed="false">
      <c r="A112" s="14" t="str">
        <f aca="false">IF(B112="","",105)</f>
        <v/>
      </c>
      <c r="B112" s="14" t="str">
        <f aca="false">IFERROR(MATCH(LARGE(Takip!$T$2:$T$501,105),Takip!$T$2:$T$501,0)+1,"")</f>
        <v/>
      </c>
      <c r="C112" s="14" t="str">
        <f aca="false">IF(B112="","",INDEX(Takip!$M:$M,B112))</f>
        <v/>
      </c>
      <c r="D112" s="14" t="str">
        <f aca="false">IF($B112="","",INDEX(Takip!$C:$C,$B112))</f>
        <v/>
      </c>
      <c r="E112" s="14" t="str">
        <f aca="false">IF($B112="","",INDEX(Takip!$D:$D,$B112))</f>
        <v/>
      </c>
      <c r="F112" s="14" t="str">
        <f aca="false">IF($B112="","",INDEX(Takip!$A:$A,$B112))</f>
        <v/>
      </c>
      <c r="G112" s="14" t="str">
        <f aca="false">IF($B112="","",INDEX(Takip!$B:$B,$B112))</f>
        <v/>
      </c>
      <c r="H112" s="16" t="str">
        <f aca="false">IF($B112="","",INDEX(Takip!$Q:$Q,$B112))</f>
        <v/>
      </c>
      <c r="I112" s="17" t="str">
        <f aca="false">IF($B112="","",INDEX(Takip!$K:$K,$B112))</f>
        <v/>
      </c>
      <c r="J112" s="14" t="str">
        <f aca="false">IF($B112="","",INDEX(Takip!$R:$R,$B112))</f>
        <v/>
      </c>
    </row>
    <row r="113" customFormat="false" ht="15" hidden="false" customHeight="false" outlineLevel="0" collapsed="false">
      <c r="A113" s="14" t="str">
        <f aca="false">IF(B113="","",106)</f>
        <v/>
      </c>
      <c r="B113" s="14" t="str">
        <f aca="false">IFERROR(MATCH(LARGE(Takip!$T$2:$T$501,106),Takip!$T$2:$T$501,0)+1,"")</f>
        <v/>
      </c>
      <c r="C113" s="14" t="str">
        <f aca="false">IF(B113="","",INDEX(Takip!$M:$M,B113))</f>
        <v/>
      </c>
      <c r="D113" s="14" t="str">
        <f aca="false">IF($B113="","",INDEX(Takip!$C:$C,$B113))</f>
        <v/>
      </c>
      <c r="E113" s="14" t="str">
        <f aca="false">IF($B113="","",INDEX(Takip!$D:$D,$B113))</f>
        <v/>
      </c>
      <c r="F113" s="14" t="str">
        <f aca="false">IF($B113="","",INDEX(Takip!$A:$A,$B113))</f>
        <v/>
      </c>
      <c r="G113" s="14" t="str">
        <f aca="false">IF($B113="","",INDEX(Takip!$B:$B,$B113))</f>
        <v/>
      </c>
      <c r="H113" s="16" t="str">
        <f aca="false">IF($B113="","",INDEX(Takip!$Q:$Q,$B113))</f>
        <v/>
      </c>
      <c r="I113" s="17" t="str">
        <f aca="false">IF($B113="","",INDEX(Takip!$K:$K,$B113))</f>
        <v/>
      </c>
      <c r="J113" s="14" t="str">
        <f aca="false">IF($B113="","",INDEX(Takip!$R:$R,$B113))</f>
        <v/>
      </c>
    </row>
    <row r="114" customFormat="false" ht="15" hidden="false" customHeight="false" outlineLevel="0" collapsed="false">
      <c r="A114" s="14" t="str">
        <f aca="false">IF(B114="","",107)</f>
        <v/>
      </c>
      <c r="B114" s="14" t="str">
        <f aca="false">IFERROR(MATCH(LARGE(Takip!$T$2:$T$501,107),Takip!$T$2:$T$501,0)+1,"")</f>
        <v/>
      </c>
      <c r="C114" s="14" t="str">
        <f aca="false">IF(B114="","",INDEX(Takip!$M:$M,B114))</f>
        <v/>
      </c>
      <c r="D114" s="14" t="str">
        <f aca="false">IF($B114="","",INDEX(Takip!$C:$C,$B114))</f>
        <v/>
      </c>
      <c r="E114" s="14" t="str">
        <f aca="false">IF($B114="","",INDEX(Takip!$D:$D,$B114))</f>
        <v/>
      </c>
      <c r="F114" s="14" t="str">
        <f aca="false">IF($B114="","",INDEX(Takip!$A:$A,$B114))</f>
        <v/>
      </c>
      <c r="G114" s="14" t="str">
        <f aca="false">IF($B114="","",INDEX(Takip!$B:$B,$B114))</f>
        <v/>
      </c>
      <c r="H114" s="16" t="str">
        <f aca="false">IF($B114="","",INDEX(Takip!$Q:$Q,$B114))</f>
        <v/>
      </c>
      <c r="I114" s="17" t="str">
        <f aca="false">IF($B114="","",INDEX(Takip!$K:$K,$B114))</f>
        <v/>
      </c>
      <c r="J114" s="14" t="str">
        <f aca="false">IF($B114="","",INDEX(Takip!$R:$R,$B114))</f>
        <v/>
      </c>
    </row>
    <row r="115" customFormat="false" ht="15" hidden="false" customHeight="false" outlineLevel="0" collapsed="false">
      <c r="A115" s="14" t="str">
        <f aca="false">IF(B115="","",108)</f>
        <v/>
      </c>
      <c r="B115" s="14" t="str">
        <f aca="false">IFERROR(MATCH(LARGE(Takip!$T$2:$T$501,108),Takip!$T$2:$T$501,0)+1,"")</f>
        <v/>
      </c>
      <c r="C115" s="14" t="str">
        <f aca="false">IF(B115="","",INDEX(Takip!$M:$M,B115))</f>
        <v/>
      </c>
      <c r="D115" s="14" t="str">
        <f aca="false">IF($B115="","",INDEX(Takip!$C:$C,$B115))</f>
        <v/>
      </c>
      <c r="E115" s="14" t="str">
        <f aca="false">IF($B115="","",INDEX(Takip!$D:$D,$B115))</f>
        <v/>
      </c>
      <c r="F115" s="14" t="str">
        <f aca="false">IF($B115="","",INDEX(Takip!$A:$A,$B115))</f>
        <v/>
      </c>
      <c r="G115" s="14" t="str">
        <f aca="false">IF($B115="","",INDEX(Takip!$B:$B,$B115))</f>
        <v/>
      </c>
      <c r="H115" s="16" t="str">
        <f aca="false">IF($B115="","",INDEX(Takip!$Q:$Q,$B115))</f>
        <v/>
      </c>
      <c r="I115" s="17" t="str">
        <f aca="false">IF($B115="","",INDEX(Takip!$K:$K,$B115))</f>
        <v/>
      </c>
      <c r="J115" s="14" t="str">
        <f aca="false">IF($B115="","",INDEX(Takip!$R:$R,$B115))</f>
        <v/>
      </c>
    </row>
    <row r="116" customFormat="false" ht="15" hidden="false" customHeight="false" outlineLevel="0" collapsed="false">
      <c r="A116" s="14" t="str">
        <f aca="false">IF(B116="","",109)</f>
        <v/>
      </c>
      <c r="B116" s="14" t="str">
        <f aca="false">IFERROR(MATCH(LARGE(Takip!$T$2:$T$501,109),Takip!$T$2:$T$501,0)+1,"")</f>
        <v/>
      </c>
      <c r="C116" s="14" t="str">
        <f aca="false">IF(B116="","",INDEX(Takip!$M:$M,B116))</f>
        <v/>
      </c>
      <c r="D116" s="14" t="str">
        <f aca="false">IF($B116="","",INDEX(Takip!$C:$C,$B116))</f>
        <v/>
      </c>
      <c r="E116" s="14" t="str">
        <f aca="false">IF($B116="","",INDEX(Takip!$D:$D,$B116))</f>
        <v/>
      </c>
      <c r="F116" s="14" t="str">
        <f aca="false">IF($B116="","",INDEX(Takip!$A:$A,$B116))</f>
        <v/>
      </c>
      <c r="G116" s="14" t="str">
        <f aca="false">IF($B116="","",INDEX(Takip!$B:$B,$B116))</f>
        <v/>
      </c>
      <c r="H116" s="16" t="str">
        <f aca="false">IF($B116="","",INDEX(Takip!$Q:$Q,$B116))</f>
        <v/>
      </c>
      <c r="I116" s="17" t="str">
        <f aca="false">IF($B116="","",INDEX(Takip!$K:$K,$B116))</f>
        <v/>
      </c>
      <c r="J116" s="14" t="str">
        <f aca="false">IF($B116="","",INDEX(Takip!$R:$R,$B116))</f>
        <v/>
      </c>
    </row>
    <row r="117" customFormat="false" ht="15" hidden="false" customHeight="false" outlineLevel="0" collapsed="false">
      <c r="A117" s="14" t="str">
        <f aca="false">IF(B117="","",110)</f>
        <v/>
      </c>
      <c r="B117" s="14" t="str">
        <f aca="false">IFERROR(MATCH(LARGE(Takip!$T$2:$T$501,110),Takip!$T$2:$T$501,0)+1,"")</f>
        <v/>
      </c>
      <c r="C117" s="14" t="str">
        <f aca="false">IF(B117="","",INDEX(Takip!$M:$M,B117))</f>
        <v/>
      </c>
      <c r="D117" s="14" t="str">
        <f aca="false">IF($B117="","",INDEX(Takip!$C:$C,$B117))</f>
        <v/>
      </c>
      <c r="E117" s="14" t="str">
        <f aca="false">IF($B117="","",INDEX(Takip!$D:$D,$B117))</f>
        <v/>
      </c>
      <c r="F117" s="14" t="str">
        <f aca="false">IF($B117="","",INDEX(Takip!$A:$A,$B117))</f>
        <v/>
      </c>
      <c r="G117" s="14" t="str">
        <f aca="false">IF($B117="","",INDEX(Takip!$B:$B,$B117))</f>
        <v/>
      </c>
      <c r="H117" s="16" t="str">
        <f aca="false">IF($B117="","",INDEX(Takip!$Q:$Q,$B117))</f>
        <v/>
      </c>
      <c r="I117" s="17" t="str">
        <f aca="false">IF($B117="","",INDEX(Takip!$K:$K,$B117))</f>
        <v/>
      </c>
      <c r="J117" s="14" t="str">
        <f aca="false">IF($B117="","",INDEX(Takip!$R:$R,$B117))</f>
        <v/>
      </c>
    </row>
    <row r="118" customFormat="false" ht="15" hidden="false" customHeight="false" outlineLevel="0" collapsed="false">
      <c r="A118" s="14" t="str">
        <f aca="false">IF(B118="","",111)</f>
        <v/>
      </c>
      <c r="B118" s="14" t="str">
        <f aca="false">IFERROR(MATCH(LARGE(Takip!$T$2:$T$501,111),Takip!$T$2:$T$501,0)+1,"")</f>
        <v/>
      </c>
      <c r="C118" s="14" t="str">
        <f aca="false">IF(B118="","",INDEX(Takip!$M:$M,B118))</f>
        <v/>
      </c>
      <c r="D118" s="14" t="str">
        <f aca="false">IF($B118="","",INDEX(Takip!$C:$C,$B118))</f>
        <v/>
      </c>
      <c r="E118" s="14" t="str">
        <f aca="false">IF($B118="","",INDEX(Takip!$D:$D,$B118))</f>
        <v/>
      </c>
      <c r="F118" s="14" t="str">
        <f aca="false">IF($B118="","",INDEX(Takip!$A:$A,$B118))</f>
        <v/>
      </c>
      <c r="G118" s="14" t="str">
        <f aca="false">IF($B118="","",INDEX(Takip!$B:$B,$B118))</f>
        <v/>
      </c>
      <c r="H118" s="16" t="str">
        <f aca="false">IF($B118="","",INDEX(Takip!$Q:$Q,$B118))</f>
        <v/>
      </c>
      <c r="I118" s="17" t="str">
        <f aca="false">IF($B118="","",INDEX(Takip!$K:$K,$B118))</f>
        <v/>
      </c>
      <c r="J118" s="14" t="str">
        <f aca="false">IF($B118="","",INDEX(Takip!$R:$R,$B118))</f>
        <v/>
      </c>
    </row>
    <row r="119" customFormat="false" ht="15" hidden="false" customHeight="false" outlineLevel="0" collapsed="false">
      <c r="A119" s="14" t="str">
        <f aca="false">IF(B119="","",112)</f>
        <v/>
      </c>
      <c r="B119" s="14" t="str">
        <f aca="false">IFERROR(MATCH(LARGE(Takip!$T$2:$T$501,112),Takip!$T$2:$T$501,0)+1,"")</f>
        <v/>
      </c>
      <c r="C119" s="14" t="str">
        <f aca="false">IF(B119="","",INDEX(Takip!$M:$M,B119))</f>
        <v/>
      </c>
      <c r="D119" s="14" t="str">
        <f aca="false">IF($B119="","",INDEX(Takip!$C:$C,$B119))</f>
        <v/>
      </c>
      <c r="E119" s="14" t="str">
        <f aca="false">IF($B119="","",INDEX(Takip!$D:$D,$B119))</f>
        <v/>
      </c>
      <c r="F119" s="14" t="str">
        <f aca="false">IF($B119="","",INDEX(Takip!$A:$A,$B119))</f>
        <v/>
      </c>
      <c r="G119" s="14" t="str">
        <f aca="false">IF($B119="","",INDEX(Takip!$B:$B,$B119))</f>
        <v/>
      </c>
      <c r="H119" s="16" t="str">
        <f aca="false">IF($B119="","",INDEX(Takip!$Q:$Q,$B119))</f>
        <v/>
      </c>
      <c r="I119" s="17" t="str">
        <f aca="false">IF($B119="","",INDEX(Takip!$K:$K,$B119))</f>
        <v/>
      </c>
      <c r="J119" s="14" t="str">
        <f aca="false">IF($B119="","",INDEX(Takip!$R:$R,$B119))</f>
        <v/>
      </c>
    </row>
    <row r="120" customFormat="false" ht="15" hidden="false" customHeight="false" outlineLevel="0" collapsed="false">
      <c r="A120" s="14" t="str">
        <f aca="false">IF(B120="","",113)</f>
        <v/>
      </c>
      <c r="B120" s="14" t="str">
        <f aca="false">IFERROR(MATCH(LARGE(Takip!$T$2:$T$501,113),Takip!$T$2:$T$501,0)+1,"")</f>
        <v/>
      </c>
      <c r="C120" s="14" t="str">
        <f aca="false">IF(B120="","",INDEX(Takip!$M:$M,B120))</f>
        <v/>
      </c>
      <c r="D120" s="14" t="str">
        <f aca="false">IF($B120="","",INDEX(Takip!$C:$C,$B120))</f>
        <v/>
      </c>
      <c r="E120" s="14" t="str">
        <f aca="false">IF($B120="","",INDEX(Takip!$D:$D,$B120))</f>
        <v/>
      </c>
      <c r="F120" s="14" t="str">
        <f aca="false">IF($B120="","",INDEX(Takip!$A:$A,$B120))</f>
        <v/>
      </c>
      <c r="G120" s="14" t="str">
        <f aca="false">IF($B120="","",INDEX(Takip!$B:$B,$B120))</f>
        <v/>
      </c>
      <c r="H120" s="16" t="str">
        <f aca="false">IF($B120="","",INDEX(Takip!$Q:$Q,$B120))</f>
        <v/>
      </c>
      <c r="I120" s="17" t="str">
        <f aca="false">IF($B120="","",INDEX(Takip!$K:$K,$B120))</f>
        <v/>
      </c>
      <c r="J120" s="14" t="str">
        <f aca="false">IF($B120="","",INDEX(Takip!$R:$R,$B120))</f>
        <v/>
      </c>
    </row>
    <row r="121" customFormat="false" ht="15" hidden="false" customHeight="false" outlineLevel="0" collapsed="false">
      <c r="A121" s="14" t="str">
        <f aca="false">IF(B121="","",114)</f>
        <v/>
      </c>
      <c r="B121" s="14" t="str">
        <f aca="false">IFERROR(MATCH(LARGE(Takip!$T$2:$T$501,114),Takip!$T$2:$T$501,0)+1,"")</f>
        <v/>
      </c>
      <c r="C121" s="14" t="str">
        <f aca="false">IF(B121="","",INDEX(Takip!$M:$M,B121))</f>
        <v/>
      </c>
      <c r="D121" s="14" t="str">
        <f aca="false">IF($B121="","",INDEX(Takip!$C:$C,$B121))</f>
        <v/>
      </c>
      <c r="E121" s="14" t="str">
        <f aca="false">IF($B121="","",INDEX(Takip!$D:$D,$B121))</f>
        <v/>
      </c>
      <c r="F121" s="14" t="str">
        <f aca="false">IF($B121="","",INDEX(Takip!$A:$A,$B121))</f>
        <v/>
      </c>
      <c r="G121" s="14" t="str">
        <f aca="false">IF($B121="","",INDEX(Takip!$B:$B,$B121))</f>
        <v/>
      </c>
      <c r="H121" s="16" t="str">
        <f aca="false">IF($B121="","",INDEX(Takip!$Q:$Q,$B121))</f>
        <v/>
      </c>
      <c r="I121" s="17" t="str">
        <f aca="false">IF($B121="","",INDEX(Takip!$K:$K,$B121))</f>
        <v/>
      </c>
      <c r="J121" s="14" t="str">
        <f aca="false">IF($B121="","",INDEX(Takip!$R:$R,$B121))</f>
        <v/>
      </c>
    </row>
    <row r="122" customFormat="false" ht="15" hidden="false" customHeight="false" outlineLevel="0" collapsed="false">
      <c r="A122" s="14" t="str">
        <f aca="false">IF(B122="","",115)</f>
        <v/>
      </c>
      <c r="B122" s="14" t="str">
        <f aca="false">IFERROR(MATCH(LARGE(Takip!$T$2:$T$501,115),Takip!$T$2:$T$501,0)+1,"")</f>
        <v/>
      </c>
      <c r="C122" s="14" t="str">
        <f aca="false">IF(B122="","",INDEX(Takip!$M:$M,B122))</f>
        <v/>
      </c>
      <c r="D122" s="14" t="str">
        <f aca="false">IF($B122="","",INDEX(Takip!$C:$C,$B122))</f>
        <v/>
      </c>
      <c r="E122" s="14" t="str">
        <f aca="false">IF($B122="","",INDEX(Takip!$D:$D,$B122))</f>
        <v/>
      </c>
      <c r="F122" s="14" t="str">
        <f aca="false">IF($B122="","",INDEX(Takip!$A:$A,$B122))</f>
        <v/>
      </c>
      <c r="G122" s="14" t="str">
        <f aca="false">IF($B122="","",INDEX(Takip!$B:$B,$B122))</f>
        <v/>
      </c>
      <c r="H122" s="16" t="str">
        <f aca="false">IF($B122="","",INDEX(Takip!$Q:$Q,$B122))</f>
        <v/>
      </c>
      <c r="I122" s="17" t="str">
        <f aca="false">IF($B122="","",INDEX(Takip!$K:$K,$B122))</f>
        <v/>
      </c>
      <c r="J122" s="14" t="str">
        <f aca="false">IF($B122="","",INDEX(Takip!$R:$R,$B122))</f>
        <v/>
      </c>
    </row>
    <row r="123" customFormat="false" ht="15" hidden="false" customHeight="false" outlineLevel="0" collapsed="false">
      <c r="A123" s="14" t="str">
        <f aca="false">IF(B123="","",116)</f>
        <v/>
      </c>
      <c r="B123" s="14" t="str">
        <f aca="false">IFERROR(MATCH(LARGE(Takip!$T$2:$T$501,116),Takip!$T$2:$T$501,0)+1,"")</f>
        <v/>
      </c>
      <c r="C123" s="14" t="str">
        <f aca="false">IF(B123="","",INDEX(Takip!$M:$M,B123))</f>
        <v/>
      </c>
      <c r="D123" s="14" t="str">
        <f aca="false">IF($B123="","",INDEX(Takip!$C:$C,$B123))</f>
        <v/>
      </c>
      <c r="E123" s="14" t="str">
        <f aca="false">IF($B123="","",INDEX(Takip!$D:$D,$B123))</f>
        <v/>
      </c>
      <c r="F123" s="14" t="str">
        <f aca="false">IF($B123="","",INDEX(Takip!$A:$A,$B123))</f>
        <v/>
      </c>
      <c r="G123" s="14" t="str">
        <f aca="false">IF($B123="","",INDEX(Takip!$B:$B,$B123))</f>
        <v/>
      </c>
      <c r="H123" s="16" t="str">
        <f aca="false">IF($B123="","",INDEX(Takip!$Q:$Q,$B123))</f>
        <v/>
      </c>
      <c r="I123" s="17" t="str">
        <f aca="false">IF($B123="","",INDEX(Takip!$K:$K,$B123))</f>
        <v/>
      </c>
      <c r="J123" s="14" t="str">
        <f aca="false">IF($B123="","",INDEX(Takip!$R:$R,$B123))</f>
        <v/>
      </c>
    </row>
    <row r="124" customFormat="false" ht="15" hidden="false" customHeight="false" outlineLevel="0" collapsed="false">
      <c r="A124" s="14" t="str">
        <f aca="false">IF(B124="","",117)</f>
        <v/>
      </c>
      <c r="B124" s="14" t="str">
        <f aca="false">IFERROR(MATCH(LARGE(Takip!$T$2:$T$501,117),Takip!$T$2:$T$501,0)+1,"")</f>
        <v/>
      </c>
      <c r="C124" s="14" t="str">
        <f aca="false">IF(B124="","",INDEX(Takip!$M:$M,B124))</f>
        <v/>
      </c>
      <c r="D124" s="14" t="str">
        <f aca="false">IF($B124="","",INDEX(Takip!$C:$C,$B124))</f>
        <v/>
      </c>
      <c r="E124" s="14" t="str">
        <f aca="false">IF($B124="","",INDEX(Takip!$D:$D,$B124))</f>
        <v/>
      </c>
      <c r="F124" s="14" t="str">
        <f aca="false">IF($B124="","",INDEX(Takip!$A:$A,$B124))</f>
        <v/>
      </c>
      <c r="G124" s="14" t="str">
        <f aca="false">IF($B124="","",INDEX(Takip!$B:$B,$B124))</f>
        <v/>
      </c>
      <c r="H124" s="16" t="str">
        <f aca="false">IF($B124="","",INDEX(Takip!$Q:$Q,$B124))</f>
        <v/>
      </c>
      <c r="I124" s="17" t="str">
        <f aca="false">IF($B124="","",INDEX(Takip!$K:$K,$B124))</f>
        <v/>
      </c>
      <c r="J124" s="14" t="str">
        <f aca="false">IF($B124="","",INDEX(Takip!$R:$R,$B124))</f>
        <v/>
      </c>
    </row>
    <row r="125" customFormat="false" ht="15" hidden="false" customHeight="false" outlineLevel="0" collapsed="false">
      <c r="A125" s="14" t="str">
        <f aca="false">IF(B125="","",118)</f>
        <v/>
      </c>
      <c r="B125" s="14" t="str">
        <f aca="false">IFERROR(MATCH(LARGE(Takip!$T$2:$T$501,118),Takip!$T$2:$T$501,0)+1,"")</f>
        <v/>
      </c>
      <c r="C125" s="14" t="str">
        <f aca="false">IF(B125="","",INDEX(Takip!$M:$M,B125))</f>
        <v/>
      </c>
      <c r="D125" s="14" t="str">
        <f aca="false">IF($B125="","",INDEX(Takip!$C:$C,$B125))</f>
        <v/>
      </c>
      <c r="E125" s="14" t="str">
        <f aca="false">IF($B125="","",INDEX(Takip!$D:$D,$B125))</f>
        <v/>
      </c>
      <c r="F125" s="14" t="str">
        <f aca="false">IF($B125="","",INDEX(Takip!$A:$A,$B125))</f>
        <v/>
      </c>
      <c r="G125" s="14" t="str">
        <f aca="false">IF($B125="","",INDEX(Takip!$B:$B,$B125))</f>
        <v/>
      </c>
      <c r="H125" s="16" t="str">
        <f aca="false">IF($B125="","",INDEX(Takip!$Q:$Q,$B125))</f>
        <v/>
      </c>
      <c r="I125" s="17" t="str">
        <f aca="false">IF($B125="","",INDEX(Takip!$K:$K,$B125))</f>
        <v/>
      </c>
      <c r="J125" s="14" t="str">
        <f aca="false">IF($B125="","",INDEX(Takip!$R:$R,$B125))</f>
        <v/>
      </c>
    </row>
    <row r="126" customFormat="false" ht="15" hidden="false" customHeight="false" outlineLevel="0" collapsed="false">
      <c r="A126" s="14" t="str">
        <f aca="false">IF(B126="","",119)</f>
        <v/>
      </c>
      <c r="B126" s="14" t="str">
        <f aca="false">IFERROR(MATCH(LARGE(Takip!$T$2:$T$501,119),Takip!$T$2:$T$501,0)+1,"")</f>
        <v/>
      </c>
      <c r="C126" s="14" t="str">
        <f aca="false">IF(B126="","",INDEX(Takip!$M:$M,B126))</f>
        <v/>
      </c>
      <c r="D126" s="14" t="str">
        <f aca="false">IF($B126="","",INDEX(Takip!$C:$C,$B126))</f>
        <v/>
      </c>
      <c r="E126" s="14" t="str">
        <f aca="false">IF($B126="","",INDEX(Takip!$D:$D,$B126))</f>
        <v/>
      </c>
      <c r="F126" s="14" t="str">
        <f aca="false">IF($B126="","",INDEX(Takip!$A:$A,$B126))</f>
        <v/>
      </c>
      <c r="G126" s="14" t="str">
        <f aca="false">IF($B126="","",INDEX(Takip!$B:$B,$B126))</f>
        <v/>
      </c>
      <c r="H126" s="16" t="str">
        <f aca="false">IF($B126="","",INDEX(Takip!$Q:$Q,$B126))</f>
        <v/>
      </c>
      <c r="I126" s="17" t="str">
        <f aca="false">IF($B126="","",INDEX(Takip!$K:$K,$B126))</f>
        <v/>
      </c>
      <c r="J126" s="14" t="str">
        <f aca="false">IF($B126="","",INDEX(Takip!$R:$R,$B126))</f>
        <v/>
      </c>
    </row>
    <row r="127" customFormat="false" ht="15" hidden="false" customHeight="false" outlineLevel="0" collapsed="false">
      <c r="A127" s="14" t="str">
        <f aca="false">IF(B127="","",120)</f>
        <v/>
      </c>
      <c r="B127" s="14" t="str">
        <f aca="false">IFERROR(MATCH(LARGE(Takip!$T$2:$T$501,120),Takip!$T$2:$T$501,0)+1,"")</f>
        <v/>
      </c>
      <c r="C127" s="14" t="str">
        <f aca="false">IF(B127="","",INDEX(Takip!$M:$M,B127))</f>
        <v/>
      </c>
      <c r="D127" s="14" t="str">
        <f aca="false">IF($B127="","",INDEX(Takip!$C:$C,$B127))</f>
        <v/>
      </c>
      <c r="E127" s="14" t="str">
        <f aca="false">IF($B127="","",INDEX(Takip!$D:$D,$B127))</f>
        <v/>
      </c>
      <c r="F127" s="14" t="str">
        <f aca="false">IF($B127="","",INDEX(Takip!$A:$A,$B127))</f>
        <v/>
      </c>
      <c r="G127" s="14" t="str">
        <f aca="false">IF($B127="","",INDEX(Takip!$B:$B,$B127))</f>
        <v/>
      </c>
      <c r="H127" s="16" t="str">
        <f aca="false">IF($B127="","",INDEX(Takip!$Q:$Q,$B127))</f>
        <v/>
      </c>
      <c r="I127" s="17" t="str">
        <f aca="false">IF($B127="","",INDEX(Takip!$K:$K,$B127))</f>
        <v/>
      </c>
      <c r="J127" s="14" t="str">
        <f aca="false">IF($B127="","",INDEX(Takip!$R:$R,$B127))</f>
        <v/>
      </c>
    </row>
    <row r="128" customFormat="false" ht="15" hidden="false" customHeight="false" outlineLevel="0" collapsed="false">
      <c r="A128" s="14" t="str">
        <f aca="false">IF(B128="","",121)</f>
        <v/>
      </c>
      <c r="B128" s="14" t="str">
        <f aca="false">IFERROR(MATCH(LARGE(Takip!$T$2:$T$501,121),Takip!$T$2:$T$501,0)+1,"")</f>
        <v/>
      </c>
      <c r="C128" s="14" t="str">
        <f aca="false">IF(B128="","",INDEX(Takip!$M:$M,B128))</f>
        <v/>
      </c>
      <c r="D128" s="14" t="str">
        <f aca="false">IF($B128="","",INDEX(Takip!$C:$C,$B128))</f>
        <v/>
      </c>
      <c r="E128" s="14" t="str">
        <f aca="false">IF($B128="","",INDEX(Takip!$D:$D,$B128))</f>
        <v/>
      </c>
      <c r="F128" s="14" t="str">
        <f aca="false">IF($B128="","",INDEX(Takip!$A:$A,$B128))</f>
        <v/>
      </c>
      <c r="G128" s="14" t="str">
        <f aca="false">IF($B128="","",INDEX(Takip!$B:$B,$B128))</f>
        <v/>
      </c>
      <c r="H128" s="16" t="str">
        <f aca="false">IF($B128="","",INDEX(Takip!$Q:$Q,$B128))</f>
        <v/>
      </c>
      <c r="I128" s="17" t="str">
        <f aca="false">IF($B128="","",INDEX(Takip!$K:$K,$B128))</f>
        <v/>
      </c>
      <c r="J128" s="14" t="str">
        <f aca="false">IF($B128="","",INDEX(Takip!$R:$R,$B128))</f>
        <v/>
      </c>
    </row>
    <row r="129" customFormat="false" ht="15" hidden="false" customHeight="false" outlineLevel="0" collapsed="false">
      <c r="A129" s="14" t="str">
        <f aca="false">IF(B129="","",122)</f>
        <v/>
      </c>
      <c r="B129" s="14" t="str">
        <f aca="false">IFERROR(MATCH(LARGE(Takip!$T$2:$T$501,122),Takip!$T$2:$T$501,0)+1,"")</f>
        <v/>
      </c>
      <c r="C129" s="14" t="str">
        <f aca="false">IF(B129="","",INDEX(Takip!$M:$M,B129))</f>
        <v/>
      </c>
      <c r="D129" s="14" t="str">
        <f aca="false">IF($B129="","",INDEX(Takip!$C:$C,$B129))</f>
        <v/>
      </c>
      <c r="E129" s="14" t="str">
        <f aca="false">IF($B129="","",INDEX(Takip!$D:$D,$B129))</f>
        <v/>
      </c>
      <c r="F129" s="14" t="str">
        <f aca="false">IF($B129="","",INDEX(Takip!$A:$A,$B129))</f>
        <v/>
      </c>
      <c r="G129" s="14" t="str">
        <f aca="false">IF($B129="","",INDEX(Takip!$B:$B,$B129))</f>
        <v/>
      </c>
      <c r="H129" s="16" t="str">
        <f aca="false">IF($B129="","",INDEX(Takip!$Q:$Q,$B129))</f>
        <v/>
      </c>
      <c r="I129" s="17" t="str">
        <f aca="false">IF($B129="","",INDEX(Takip!$K:$K,$B129))</f>
        <v/>
      </c>
      <c r="J129" s="14" t="str">
        <f aca="false">IF($B129="","",INDEX(Takip!$R:$R,$B129))</f>
        <v/>
      </c>
    </row>
    <row r="130" customFormat="false" ht="15" hidden="false" customHeight="false" outlineLevel="0" collapsed="false">
      <c r="A130" s="14" t="str">
        <f aca="false">IF(B130="","",123)</f>
        <v/>
      </c>
      <c r="B130" s="14" t="str">
        <f aca="false">IFERROR(MATCH(LARGE(Takip!$T$2:$T$501,123),Takip!$T$2:$T$501,0)+1,"")</f>
        <v/>
      </c>
      <c r="C130" s="14" t="str">
        <f aca="false">IF(B130="","",INDEX(Takip!$M:$M,B130))</f>
        <v/>
      </c>
      <c r="D130" s="14" t="str">
        <f aca="false">IF($B130="","",INDEX(Takip!$C:$C,$B130))</f>
        <v/>
      </c>
      <c r="E130" s="14" t="str">
        <f aca="false">IF($B130="","",INDEX(Takip!$D:$D,$B130))</f>
        <v/>
      </c>
      <c r="F130" s="14" t="str">
        <f aca="false">IF($B130="","",INDEX(Takip!$A:$A,$B130))</f>
        <v/>
      </c>
      <c r="G130" s="14" t="str">
        <f aca="false">IF($B130="","",INDEX(Takip!$B:$B,$B130))</f>
        <v/>
      </c>
      <c r="H130" s="16" t="str">
        <f aca="false">IF($B130="","",INDEX(Takip!$Q:$Q,$B130))</f>
        <v/>
      </c>
      <c r="I130" s="17" t="str">
        <f aca="false">IF($B130="","",INDEX(Takip!$K:$K,$B130))</f>
        <v/>
      </c>
      <c r="J130" s="14" t="str">
        <f aca="false">IF($B130="","",INDEX(Takip!$R:$R,$B130))</f>
        <v/>
      </c>
    </row>
    <row r="131" customFormat="false" ht="15" hidden="false" customHeight="false" outlineLevel="0" collapsed="false">
      <c r="A131" s="14" t="str">
        <f aca="false">IF(B131="","",124)</f>
        <v/>
      </c>
      <c r="B131" s="14" t="str">
        <f aca="false">IFERROR(MATCH(LARGE(Takip!$T$2:$T$501,124),Takip!$T$2:$T$501,0)+1,"")</f>
        <v/>
      </c>
      <c r="C131" s="14" t="str">
        <f aca="false">IF(B131="","",INDEX(Takip!$M:$M,B131))</f>
        <v/>
      </c>
      <c r="D131" s="14" t="str">
        <f aca="false">IF($B131="","",INDEX(Takip!$C:$C,$B131))</f>
        <v/>
      </c>
      <c r="E131" s="14" t="str">
        <f aca="false">IF($B131="","",INDEX(Takip!$D:$D,$B131))</f>
        <v/>
      </c>
      <c r="F131" s="14" t="str">
        <f aca="false">IF($B131="","",INDEX(Takip!$A:$A,$B131))</f>
        <v/>
      </c>
      <c r="G131" s="14" t="str">
        <f aca="false">IF($B131="","",INDEX(Takip!$B:$B,$B131))</f>
        <v/>
      </c>
      <c r="H131" s="16" t="str">
        <f aca="false">IF($B131="","",INDEX(Takip!$Q:$Q,$B131))</f>
        <v/>
      </c>
      <c r="I131" s="17" t="str">
        <f aca="false">IF($B131="","",INDEX(Takip!$K:$K,$B131))</f>
        <v/>
      </c>
      <c r="J131" s="14" t="str">
        <f aca="false">IF($B131="","",INDEX(Takip!$R:$R,$B131))</f>
        <v/>
      </c>
    </row>
    <row r="132" customFormat="false" ht="15" hidden="false" customHeight="false" outlineLevel="0" collapsed="false">
      <c r="A132" s="14" t="str">
        <f aca="false">IF(B132="","",125)</f>
        <v/>
      </c>
      <c r="B132" s="14" t="str">
        <f aca="false">IFERROR(MATCH(LARGE(Takip!$T$2:$T$501,125),Takip!$T$2:$T$501,0)+1,"")</f>
        <v/>
      </c>
      <c r="C132" s="14" t="str">
        <f aca="false">IF(B132="","",INDEX(Takip!$M:$M,B132))</f>
        <v/>
      </c>
      <c r="D132" s="14" t="str">
        <f aca="false">IF($B132="","",INDEX(Takip!$C:$C,$B132))</f>
        <v/>
      </c>
      <c r="E132" s="14" t="str">
        <f aca="false">IF($B132="","",INDEX(Takip!$D:$D,$B132))</f>
        <v/>
      </c>
      <c r="F132" s="14" t="str">
        <f aca="false">IF($B132="","",INDEX(Takip!$A:$A,$B132))</f>
        <v/>
      </c>
      <c r="G132" s="14" t="str">
        <f aca="false">IF($B132="","",INDEX(Takip!$B:$B,$B132))</f>
        <v/>
      </c>
      <c r="H132" s="16" t="str">
        <f aca="false">IF($B132="","",INDEX(Takip!$Q:$Q,$B132))</f>
        <v/>
      </c>
      <c r="I132" s="17" t="str">
        <f aca="false">IF($B132="","",INDEX(Takip!$K:$K,$B132))</f>
        <v/>
      </c>
      <c r="J132" s="14" t="str">
        <f aca="false">IF($B132="","",INDEX(Takip!$R:$R,$B132))</f>
        <v/>
      </c>
    </row>
    <row r="133" customFormat="false" ht="15" hidden="false" customHeight="false" outlineLevel="0" collapsed="false">
      <c r="A133" s="14" t="str">
        <f aca="false">IF(B133="","",126)</f>
        <v/>
      </c>
      <c r="B133" s="14" t="str">
        <f aca="false">IFERROR(MATCH(LARGE(Takip!$T$2:$T$501,126),Takip!$T$2:$T$501,0)+1,"")</f>
        <v/>
      </c>
      <c r="C133" s="14" t="str">
        <f aca="false">IF(B133="","",INDEX(Takip!$M:$M,B133))</f>
        <v/>
      </c>
      <c r="D133" s="14" t="str">
        <f aca="false">IF($B133="","",INDEX(Takip!$C:$C,$B133))</f>
        <v/>
      </c>
      <c r="E133" s="14" t="str">
        <f aca="false">IF($B133="","",INDEX(Takip!$D:$D,$B133))</f>
        <v/>
      </c>
      <c r="F133" s="14" t="str">
        <f aca="false">IF($B133="","",INDEX(Takip!$A:$A,$B133))</f>
        <v/>
      </c>
      <c r="G133" s="14" t="str">
        <f aca="false">IF($B133="","",INDEX(Takip!$B:$B,$B133))</f>
        <v/>
      </c>
      <c r="H133" s="16" t="str">
        <f aca="false">IF($B133="","",INDEX(Takip!$Q:$Q,$B133))</f>
        <v/>
      </c>
      <c r="I133" s="17" t="str">
        <f aca="false">IF($B133="","",INDEX(Takip!$K:$K,$B133))</f>
        <v/>
      </c>
      <c r="J133" s="14" t="str">
        <f aca="false">IF($B133="","",INDEX(Takip!$R:$R,$B133))</f>
        <v/>
      </c>
    </row>
    <row r="134" customFormat="false" ht="15" hidden="false" customHeight="false" outlineLevel="0" collapsed="false">
      <c r="A134" s="14" t="str">
        <f aca="false">IF(B134="","",127)</f>
        <v/>
      </c>
      <c r="B134" s="14" t="str">
        <f aca="false">IFERROR(MATCH(LARGE(Takip!$T$2:$T$501,127),Takip!$T$2:$T$501,0)+1,"")</f>
        <v/>
      </c>
      <c r="C134" s="14" t="str">
        <f aca="false">IF(B134="","",INDEX(Takip!$M:$M,B134))</f>
        <v/>
      </c>
      <c r="D134" s="14" t="str">
        <f aca="false">IF($B134="","",INDEX(Takip!$C:$C,$B134))</f>
        <v/>
      </c>
      <c r="E134" s="14" t="str">
        <f aca="false">IF($B134="","",INDEX(Takip!$D:$D,$B134))</f>
        <v/>
      </c>
      <c r="F134" s="14" t="str">
        <f aca="false">IF($B134="","",INDEX(Takip!$A:$A,$B134))</f>
        <v/>
      </c>
      <c r="G134" s="14" t="str">
        <f aca="false">IF($B134="","",INDEX(Takip!$B:$B,$B134))</f>
        <v/>
      </c>
      <c r="H134" s="16" t="str">
        <f aca="false">IF($B134="","",INDEX(Takip!$Q:$Q,$B134))</f>
        <v/>
      </c>
      <c r="I134" s="17" t="str">
        <f aca="false">IF($B134="","",INDEX(Takip!$K:$K,$B134))</f>
        <v/>
      </c>
      <c r="J134" s="14" t="str">
        <f aca="false">IF($B134="","",INDEX(Takip!$R:$R,$B134))</f>
        <v/>
      </c>
    </row>
    <row r="135" customFormat="false" ht="15" hidden="false" customHeight="false" outlineLevel="0" collapsed="false">
      <c r="A135" s="14" t="str">
        <f aca="false">IF(B135="","",128)</f>
        <v/>
      </c>
      <c r="B135" s="14" t="str">
        <f aca="false">IFERROR(MATCH(LARGE(Takip!$T$2:$T$501,128),Takip!$T$2:$T$501,0)+1,"")</f>
        <v/>
      </c>
      <c r="C135" s="14" t="str">
        <f aca="false">IF(B135="","",INDEX(Takip!$M:$M,B135))</f>
        <v/>
      </c>
      <c r="D135" s="14" t="str">
        <f aca="false">IF($B135="","",INDEX(Takip!$C:$C,$B135))</f>
        <v/>
      </c>
      <c r="E135" s="14" t="str">
        <f aca="false">IF($B135="","",INDEX(Takip!$D:$D,$B135))</f>
        <v/>
      </c>
      <c r="F135" s="14" t="str">
        <f aca="false">IF($B135="","",INDEX(Takip!$A:$A,$B135))</f>
        <v/>
      </c>
      <c r="G135" s="14" t="str">
        <f aca="false">IF($B135="","",INDEX(Takip!$B:$B,$B135))</f>
        <v/>
      </c>
      <c r="H135" s="16" t="str">
        <f aca="false">IF($B135="","",INDEX(Takip!$Q:$Q,$B135))</f>
        <v/>
      </c>
      <c r="I135" s="17" t="str">
        <f aca="false">IF($B135="","",INDEX(Takip!$K:$K,$B135))</f>
        <v/>
      </c>
      <c r="J135" s="14" t="str">
        <f aca="false">IF($B135="","",INDEX(Takip!$R:$R,$B135))</f>
        <v/>
      </c>
    </row>
    <row r="136" customFormat="false" ht="15" hidden="false" customHeight="false" outlineLevel="0" collapsed="false">
      <c r="A136" s="14" t="str">
        <f aca="false">IF(B136="","",129)</f>
        <v/>
      </c>
      <c r="B136" s="14" t="str">
        <f aca="false">IFERROR(MATCH(LARGE(Takip!$T$2:$T$501,129),Takip!$T$2:$T$501,0)+1,"")</f>
        <v/>
      </c>
      <c r="C136" s="14" t="str">
        <f aca="false">IF(B136="","",INDEX(Takip!$M:$M,B136))</f>
        <v/>
      </c>
      <c r="D136" s="14" t="str">
        <f aca="false">IF($B136="","",INDEX(Takip!$C:$C,$B136))</f>
        <v/>
      </c>
      <c r="E136" s="14" t="str">
        <f aca="false">IF($B136="","",INDEX(Takip!$D:$D,$B136))</f>
        <v/>
      </c>
      <c r="F136" s="14" t="str">
        <f aca="false">IF($B136="","",INDEX(Takip!$A:$A,$B136))</f>
        <v/>
      </c>
      <c r="G136" s="14" t="str">
        <f aca="false">IF($B136="","",INDEX(Takip!$B:$B,$B136))</f>
        <v/>
      </c>
      <c r="H136" s="16" t="str">
        <f aca="false">IF($B136="","",INDEX(Takip!$Q:$Q,$B136))</f>
        <v/>
      </c>
      <c r="I136" s="17" t="str">
        <f aca="false">IF($B136="","",INDEX(Takip!$K:$K,$B136))</f>
        <v/>
      </c>
      <c r="J136" s="14" t="str">
        <f aca="false">IF($B136="","",INDEX(Takip!$R:$R,$B136))</f>
        <v/>
      </c>
    </row>
    <row r="137" customFormat="false" ht="15" hidden="false" customHeight="false" outlineLevel="0" collapsed="false">
      <c r="A137" s="14" t="str">
        <f aca="false">IF(B137="","",130)</f>
        <v/>
      </c>
      <c r="B137" s="14" t="str">
        <f aca="false">IFERROR(MATCH(LARGE(Takip!$T$2:$T$501,130),Takip!$T$2:$T$501,0)+1,"")</f>
        <v/>
      </c>
      <c r="C137" s="14" t="str">
        <f aca="false">IF(B137="","",INDEX(Takip!$M:$M,B137))</f>
        <v/>
      </c>
      <c r="D137" s="14" t="str">
        <f aca="false">IF($B137="","",INDEX(Takip!$C:$C,$B137))</f>
        <v/>
      </c>
      <c r="E137" s="14" t="str">
        <f aca="false">IF($B137="","",INDEX(Takip!$D:$D,$B137))</f>
        <v/>
      </c>
      <c r="F137" s="14" t="str">
        <f aca="false">IF($B137="","",INDEX(Takip!$A:$A,$B137))</f>
        <v/>
      </c>
      <c r="G137" s="14" t="str">
        <f aca="false">IF($B137="","",INDEX(Takip!$B:$B,$B137))</f>
        <v/>
      </c>
      <c r="H137" s="16" t="str">
        <f aca="false">IF($B137="","",INDEX(Takip!$Q:$Q,$B137))</f>
        <v/>
      </c>
      <c r="I137" s="17" t="str">
        <f aca="false">IF($B137="","",INDEX(Takip!$K:$K,$B137))</f>
        <v/>
      </c>
      <c r="J137" s="14" t="str">
        <f aca="false">IF($B137="","",INDEX(Takip!$R:$R,$B137))</f>
        <v/>
      </c>
    </row>
    <row r="138" customFormat="false" ht="15" hidden="false" customHeight="false" outlineLevel="0" collapsed="false">
      <c r="A138" s="14" t="str">
        <f aca="false">IF(B138="","",131)</f>
        <v/>
      </c>
      <c r="B138" s="14" t="str">
        <f aca="false">IFERROR(MATCH(LARGE(Takip!$T$2:$T$501,131),Takip!$T$2:$T$501,0)+1,"")</f>
        <v/>
      </c>
      <c r="C138" s="14" t="str">
        <f aca="false">IF(B138="","",INDEX(Takip!$M:$M,B138))</f>
        <v/>
      </c>
      <c r="D138" s="14" t="str">
        <f aca="false">IF($B138="","",INDEX(Takip!$C:$C,$B138))</f>
        <v/>
      </c>
      <c r="E138" s="14" t="str">
        <f aca="false">IF($B138="","",INDEX(Takip!$D:$D,$B138))</f>
        <v/>
      </c>
      <c r="F138" s="14" t="str">
        <f aca="false">IF($B138="","",INDEX(Takip!$A:$A,$B138))</f>
        <v/>
      </c>
      <c r="G138" s="14" t="str">
        <f aca="false">IF($B138="","",INDEX(Takip!$B:$B,$B138))</f>
        <v/>
      </c>
      <c r="H138" s="16" t="str">
        <f aca="false">IF($B138="","",INDEX(Takip!$Q:$Q,$B138))</f>
        <v/>
      </c>
      <c r="I138" s="17" t="str">
        <f aca="false">IF($B138="","",INDEX(Takip!$K:$K,$B138))</f>
        <v/>
      </c>
      <c r="J138" s="14" t="str">
        <f aca="false">IF($B138="","",INDEX(Takip!$R:$R,$B138))</f>
        <v/>
      </c>
    </row>
    <row r="139" customFormat="false" ht="15" hidden="false" customHeight="false" outlineLevel="0" collapsed="false">
      <c r="A139" s="14" t="str">
        <f aca="false">IF(B139="","",132)</f>
        <v/>
      </c>
      <c r="B139" s="14" t="str">
        <f aca="false">IFERROR(MATCH(LARGE(Takip!$T$2:$T$501,132),Takip!$T$2:$T$501,0)+1,"")</f>
        <v/>
      </c>
      <c r="C139" s="14" t="str">
        <f aca="false">IF(B139="","",INDEX(Takip!$M:$M,B139))</f>
        <v/>
      </c>
      <c r="D139" s="14" t="str">
        <f aca="false">IF($B139="","",INDEX(Takip!$C:$C,$B139))</f>
        <v/>
      </c>
      <c r="E139" s="14" t="str">
        <f aca="false">IF($B139="","",INDEX(Takip!$D:$D,$B139))</f>
        <v/>
      </c>
      <c r="F139" s="14" t="str">
        <f aca="false">IF($B139="","",INDEX(Takip!$A:$A,$B139))</f>
        <v/>
      </c>
      <c r="G139" s="14" t="str">
        <f aca="false">IF($B139="","",INDEX(Takip!$B:$B,$B139))</f>
        <v/>
      </c>
      <c r="H139" s="16" t="str">
        <f aca="false">IF($B139="","",INDEX(Takip!$Q:$Q,$B139))</f>
        <v/>
      </c>
      <c r="I139" s="17" t="str">
        <f aca="false">IF($B139="","",INDEX(Takip!$K:$K,$B139))</f>
        <v/>
      </c>
      <c r="J139" s="14" t="str">
        <f aca="false">IF($B139="","",INDEX(Takip!$R:$R,$B139))</f>
        <v/>
      </c>
    </row>
    <row r="140" customFormat="false" ht="15" hidden="false" customHeight="false" outlineLevel="0" collapsed="false">
      <c r="A140" s="14" t="str">
        <f aca="false">IF(B140="","",133)</f>
        <v/>
      </c>
      <c r="B140" s="14" t="str">
        <f aca="false">IFERROR(MATCH(LARGE(Takip!$T$2:$T$501,133),Takip!$T$2:$T$501,0)+1,"")</f>
        <v/>
      </c>
      <c r="C140" s="14" t="str">
        <f aca="false">IF(B140="","",INDEX(Takip!$M:$M,B140))</f>
        <v/>
      </c>
      <c r="D140" s="14" t="str">
        <f aca="false">IF($B140="","",INDEX(Takip!$C:$C,$B140))</f>
        <v/>
      </c>
      <c r="E140" s="14" t="str">
        <f aca="false">IF($B140="","",INDEX(Takip!$D:$D,$B140))</f>
        <v/>
      </c>
      <c r="F140" s="14" t="str">
        <f aca="false">IF($B140="","",INDEX(Takip!$A:$A,$B140))</f>
        <v/>
      </c>
      <c r="G140" s="14" t="str">
        <f aca="false">IF($B140="","",INDEX(Takip!$B:$B,$B140))</f>
        <v/>
      </c>
      <c r="H140" s="16" t="str">
        <f aca="false">IF($B140="","",INDEX(Takip!$Q:$Q,$B140))</f>
        <v/>
      </c>
      <c r="I140" s="17" t="str">
        <f aca="false">IF($B140="","",INDEX(Takip!$K:$K,$B140))</f>
        <v/>
      </c>
      <c r="J140" s="14" t="str">
        <f aca="false">IF($B140="","",INDEX(Takip!$R:$R,$B140))</f>
        <v/>
      </c>
    </row>
    <row r="141" customFormat="false" ht="15" hidden="false" customHeight="false" outlineLevel="0" collapsed="false">
      <c r="A141" s="14" t="str">
        <f aca="false">IF(B141="","",134)</f>
        <v/>
      </c>
      <c r="B141" s="14" t="str">
        <f aca="false">IFERROR(MATCH(LARGE(Takip!$T$2:$T$501,134),Takip!$T$2:$T$501,0)+1,"")</f>
        <v/>
      </c>
      <c r="C141" s="14" t="str">
        <f aca="false">IF(B141="","",INDEX(Takip!$M:$M,B141))</f>
        <v/>
      </c>
      <c r="D141" s="14" t="str">
        <f aca="false">IF($B141="","",INDEX(Takip!$C:$C,$B141))</f>
        <v/>
      </c>
      <c r="E141" s="14" t="str">
        <f aca="false">IF($B141="","",INDEX(Takip!$D:$D,$B141))</f>
        <v/>
      </c>
      <c r="F141" s="14" t="str">
        <f aca="false">IF($B141="","",INDEX(Takip!$A:$A,$B141))</f>
        <v/>
      </c>
      <c r="G141" s="14" t="str">
        <f aca="false">IF($B141="","",INDEX(Takip!$B:$B,$B141))</f>
        <v/>
      </c>
      <c r="H141" s="16" t="str">
        <f aca="false">IF($B141="","",INDEX(Takip!$Q:$Q,$B141))</f>
        <v/>
      </c>
      <c r="I141" s="17" t="str">
        <f aca="false">IF($B141="","",INDEX(Takip!$K:$K,$B141))</f>
        <v/>
      </c>
      <c r="J141" s="14" t="str">
        <f aca="false">IF($B141="","",INDEX(Takip!$R:$R,$B141))</f>
        <v/>
      </c>
    </row>
    <row r="142" customFormat="false" ht="15" hidden="false" customHeight="false" outlineLevel="0" collapsed="false">
      <c r="A142" s="14" t="str">
        <f aca="false">IF(B142="","",135)</f>
        <v/>
      </c>
      <c r="B142" s="14" t="str">
        <f aca="false">IFERROR(MATCH(LARGE(Takip!$T$2:$T$501,135),Takip!$T$2:$T$501,0)+1,"")</f>
        <v/>
      </c>
      <c r="C142" s="14" t="str">
        <f aca="false">IF(B142="","",INDEX(Takip!$M:$M,B142))</f>
        <v/>
      </c>
      <c r="D142" s="14" t="str">
        <f aca="false">IF($B142="","",INDEX(Takip!$C:$C,$B142))</f>
        <v/>
      </c>
      <c r="E142" s="14" t="str">
        <f aca="false">IF($B142="","",INDEX(Takip!$D:$D,$B142))</f>
        <v/>
      </c>
      <c r="F142" s="14" t="str">
        <f aca="false">IF($B142="","",INDEX(Takip!$A:$A,$B142))</f>
        <v/>
      </c>
      <c r="G142" s="14" t="str">
        <f aca="false">IF($B142="","",INDEX(Takip!$B:$B,$B142))</f>
        <v/>
      </c>
      <c r="H142" s="16" t="str">
        <f aca="false">IF($B142="","",INDEX(Takip!$Q:$Q,$B142))</f>
        <v/>
      </c>
      <c r="I142" s="17" t="str">
        <f aca="false">IF($B142="","",INDEX(Takip!$K:$K,$B142))</f>
        <v/>
      </c>
      <c r="J142" s="14" t="str">
        <f aca="false">IF($B142="","",INDEX(Takip!$R:$R,$B142))</f>
        <v/>
      </c>
    </row>
    <row r="143" customFormat="false" ht="15" hidden="false" customHeight="false" outlineLevel="0" collapsed="false">
      <c r="A143" s="14" t="str">
        <f aca="false">IF(B143="","",136)</f>
        <v/>
      </c>
      <c r="B143" s="14" t="str">
        <f aca="false">IFERROR(MATCH(LARGE(Takip!$T$2:$T$501,136),Takip!$T$2:$T$501,0)+1,"")</f>
        <v/>
      </c>
      <c r="C143" s="14" t="str">
        <f aca="false">IF(B143="","",INDEX(Takip!$M:$M,B143))</f>
        <v/>
      </c>
      <c r="D143" s="14" t="str">
        <f aca="false">IF($B143="","",INDEX(Takip!$C:$C,$B143))</f>
        <v/>
      </c>
      <c r="E143" s="14" t="str">
        <f aca="false">IF($B143="","",INDEX(Takip!$D:$D,$B143))</f>
        <v/>
      </c>
      <c r="F143" s="14" t="str">
        <f aca="false">IF($B143="","",INDEX(Takip!$A:$A,$B143))</f>
        <v/>
      </c>
      <c r="G143" s="14" t="str">
        <f aca="false">IF($B143="","",INDEX(Takip!$B:$B,$B143))</f>
        <v/>
      </c>
      <c r="H143" s="16" t="str">
        <f aca="false">IF($B143="","",INDEX(Takip!$Q:$Q,$B143))</f>
        <v/>
      </c>
      <c r="I143" s="17" t="str">
        <f aca="false">IF($B143="","",INDEX(Takip!$K:$K,$B143))</f>
        <v/>
      </c>
      <c r="J143" s="14" t="str">
        <f aca="false">IF($B143="","",INDEX(Takip!$R:$R,$B143))</f>
        <v/>
      </c>
    </row>
    <row r="144" customFormat="false" ht="15" hidden="false" customHeight="false" outlineLevel="0" collapsed="false">
      <c r="A144" s="14" t="str">
        <f aca="false">IF(B144="","",137)</f>
        <v/>
      </c>
      <c r="B144" s="14" t="str">
        <f aca="false">IFERROR(MATCH(LARGE(Takip!$T$2:$T$501,137),Takip!$T$2:$T$501,0)+1,"")</f>
        <v/>
      </c>
      <c r="C144" s="14" t="str">
        <f aca="false">IF(B144="","",INDEX(Takip!$M:$M,B144))</f>
        <v/>
      </c>
      <c r="D144" s="14" t="str">
        <f aca="false">IF($B144="","",INDEX(Takip!$C:$C,$B144))</f>
        <v/>
      </c>
      <c r="E144" s="14" t="str">
        <f aca="false">IF($B144="","",INDEX(Takip!$D:$D,$B144))</f>
        <v/>
      </c>
      <c r="F144" s="14" t="str">
        <f aca="false">IF($B144="","",INDEX(Takip!$A:$A,$B144))</f>
        <v/>
      </c>
      <c r="G144" s="14" t="str">
        <f aca="false">IF($B144="","",INDEX(Takip!$B:$B,$B144))</f>
        <v/>
      </c>
      <c r="H144" s="16" t="str">
        <f aca="false">IF($B144="","",INDEX(Takip!$Q:$Q,$B144))</f>
        <v/>
      </c>
      <c r="I144" s="17" t="str">
        <f aca="false">IF($B144="","",INDEX(Takip!$K:$K,$B144))</f>
        <v/>
      </c>
      <c r="J144" s="14" t="str">
        <f aca="false">IF($B144="","",INDEX(Takip!$R:$R,$B144))</f>
        <v/>
      </c>
    </row>
    <row r="145" customFormat="false" ht="15" hidden="false" customHeight="false" outlineLevel="0" collapsed="false">
      <c r="A145" s="14" t="str">
        <f aca="false">IF(B145="","",138)</f>
        <v/>
      </c>
      <c r="B145" s="14" t="str">
        <f aca="false">IFERROR(MATCH(LARGE(Takip!$T$2:$T$501,138),Takip!$T$2:$T$501,0)+1,"")</f>
        <v/>
      </c>
      <c r="C145" s="14" t="str">
        <f aca="false">IF(B145="","",INDEX(Takip!$M:$M,B145))</f>
        <v/>
      </c>
      <c r="D145" s="14" t="str">
        <f aca="false">IF($B145="","",INDEX(Takip!$C:$C,$B145))</f>
        <v/>
      </c>
      <c r="E145" s="14" t="str">
        <f aca="false">IF($B145="","",INDEX(Takip!$D:$D,$B145))</f>
        <v/>
      </c>
      <c r="F145" s="14" t="str">
        <f aca="false">IF($B145="","",INDEX(Takip!$A:$A,$B145))</f>
        <v/>
      </c>
      <c r="G145" s="14" t="str">
        <f aca="false">IF($B145="","",INDEX(Takip!$B:$B,$B145))</f>
        <v/>
      </c>
      <c r="H145" s="16" t="str">
        <f aca="false">IF($B145="","",INDEX(Takip!$Q:$Q,$B145))</f>
        <v/>
      </c>
      <c r="I145" s="17" t="str">
        <f aca="false">IF($B145="","",INDEX(Takip!$K:$K,$B145))</f>
        <v/>
      </c>
      <c r="J145" s="14" t="str">
        <f aca="false">IF($B145="","",INDEX(Takip!$R:$R,$B145))</f>
        <v/>
      </c>
    </row>
    <row r="146" customFormat="false" ht="15" hidden="false" customHeight="false" outlineLevel="0" collapsed="false">
      <c r="A146" s="14" t="str">
        <f aca="false">IF(B146="","",139)</f>
        <v/>
      </c>
      <c r="B146" s="14" t="str">
        <f aca="false">IFERROR(MATCH(LARGE(Takip!$T$2:$T$501,139),Takip!$T$2:$T$501,0)+1,"")</f>
        <v/>
      </c>
      <c r="C146" s="14" t="str">
        <f aca="false">IF(B146="","",INDEX(Takip!$M:$M,B146))</f>
        <v/>
      </c>
      <c r="D146" s="14" t="str">
        <f aca="false">IF($B146="","",INDEX(Takip!$C:$C,$B146))</f>
        <v/>
      </c>
      <c r="E146" s="14" t="str">
        <f aca="false">IF($B146="","",INDEX(Takip!$D:$D,$B146))</f>
        <v/>
      </c>
      <c r="F146" s="14" t="str">
        <f aca="false">IF($B146="","",INDEX(Takip!$A:$A,$B146))</f>
        <v/>
      </c>
      <c r="G146" s="14" t="str">
        <f aca="false">IF($B146="","",INDEX(Takip!$B:$B,$B146))</f>
        <v/>
      </c>
      <c r="H146" s="16" t="str">
        <f aca="false">IF($B146="","",INDEX(Takip!$Q:$Q,$B146))</f>
        <v/>
      </c>
      <c r="I146" s="17" t="str">
        <f aca="false">IF($B146="","",INDEX(Takip!$K:$K,$B146))</f>
        <v/>
      </c>
      <c r="J146" s="14" t="str">
        <f aca="false">IF($B146="","",INDEX(Takip!$R:$R,$B146))</f>
        <v/>
      </c>
    </row>
    <row r="147" customFormat="false" ht="15" hidden="false" customHeight="false" outlineLevel="0" collapsed="false">
      <c r="A147" s="14" t="str">
        <f aca="false">IF(B147="","",140)</f>
        <v/>
      </c>
      <c r="B147" s="14" t="str">
        <f aca="false">IFERROR(MATCH(LARGE(Takip!$T$2:$T$501,140),Takip!$T$2:$T$501,0)+1,"")</f>
        <v/>
      </c>
      <c r="C147" s="14" t="str">
        <f aca="false">IF(B147="","",INDEX(Takip!$M:$M,B147))</f>
        <v/>
      </c>
      <c r="D147" s="14" t="str">
        <f aca="false">IF($B147="","",INDEX(Takip!$C:$C,$B147))</f>
        <v/>
      </c>
      <c r="E147" s="14" t="str">
        <f aca="false">IF($B147="","",INDEX(Takip!$D:$D,$B147))</f>
        <v/>
      </c>
      <c r="F147" s="14" t="str">
        <f aca="false">IF($B147="","",INDEX(Takip!$A:$A,$B147))</f>
        <v/>
      </c>
      <c r="G147" s="14" t="str">
        <f aca="false">IF($B147="","",INDEX(Takip!$B:$B,$B147))</f>
        <v/>
      </c>
      <c r="H147" s="16" t="str">
        <f aca="false">IF($B147="","",INDEX(Takip!$Q:$Q,$B147))</f>
        <v/>
      </c>
      <c r="I147" s="17" t="str">
        <f aca="false">IF($B147="","",INDEX(Takip!$K:$K,$B147))</f>
        <v/>
      </c>
      <c r="J147" s="14" t="str">
        <f aca="false">IF($B147="","",INDEX(Takip!$R:$R,$B147))</f>
        <v/>
      </c>
    </row>
    <row r="148" customFormat="false" ht="15" hidden="false" customHeight="false" outlineLevel="0" collapsed="false">
      <c r="A148" s="14" t="str">
        <f aca="false">IF(B148="","",141)</f>
        <v/>
      </c>
      <c r="B148" s="14" t="str">
        <f aca="false">IFERROR(MATCH(LARGE(Takip!$T$2:$T$501,141),Takip!$T$2:$T$501,0)+1,"")</f>
        <v/>
      </c>
      <c r="C148" s="14" t="str">
        <f aca="false">IF(B148="","",INDEX(Takip!$M:$M,B148))</f>
        <v/>
      </c>
      <c r="D148" s="14" t="str">
        <f aca="false">IF($B148="","",INDEX(Takip!$C:$C,$B148))</f>
        <v/>
      </c>
      <c r="E148" s="14" t="str">
        <f aca="false">IF($B148="","",INDEX(Takip!$D:$D,$B148))</f>
        <v/>
      </c>
      <c r="F148" s="14" t="str">
        <f aca="false">IF($B148="","",INDEX(Takip!$A:$A,$B148))</f>
        <v/>
      </c>
      <c r="G148" s="14" t="str">
        <f aca="false">IF($B148="","",INDEX(Takip!$B:$B,$B148))</f>
        <v/>
      </c>
      <c r="H148" s="16" t="str">
        <f aca="false">IF($B148="","",INDEX(Takip!$Q:$Q,$B148))</f>
        <v/>
      </c>
      <c r="I148" s="17" t="str">
        <f aca="false">IF($B148="","",INDEX(Takip!$K:$K,$B148))</f>
        <v/>
      </c>
      <c r="J148" s="14" t="str">
        <f aca="false">IF($B148="","",INDEX(Takip!$R:$R,$B148))</f>
        <v/>
      </c>
    </row>
    <row r="149" customFormat="false" ht="15" hidden="false" customHeight="false" outlineLevel="0" collapsed="false">
      <c r="A149" s="14" t="str">
        <f aca="false">IF(B149="","",142)</f>
        <v/>
      </c>
      <c r="B149" s="14" t="str">
        <f aca="false">IFERROR(MATCH(LARGE(Takip!$T$2:$T$501,142),Takip!$T$2:$T$501,0)+1,"")</f>
        <v/>
      </c>
      <c r="C149" s="14" t="str">
        <f aca="false">IF(B149="","",INDEX(Takip!$M:$M,B149))</f>
        <v/>
      </c>
      <c r="D149" s="14" t="str">
        <f aca="false">IF($B149="","",INDEX(Takip!$C:$C,$B149))</f>
        <v/>
      </c>
      <c r="E149" s="14" t="str">
        <f aca="false">IF($B149="","",INDEX(Takip!$D:$D,$B149))</f>
        <v/>
      </c>
      <c r="F149" s="14" t="str">
        <f aca="false">IF($B149="","",INDEX(Takip!$A:$A,$B149))</f>
        <v/>
      </c>
      <c r="G149" s="14" t="str">
        <f aca="false">IF($B149="","",INDEX(Takip!$B:$B,$B149))</f>
        <v/>
      </c>
      <c r="H149" s="16" t="str">
        <f aca="false">IF($B149="","",INDEX(Takip!$Q:$Q,$B149))</f>
        <v/>
      </c>
      <c r="I149" s="17" t="str">
        <f aca="false">IF($B149="","",INDEX(Takip!$K:$K,$B149))</f>
        <v/>
      </c>
      <c r="J149" s="14" t="str">
        <f aca="false">IF($B149="","",INDEX(Takip!$R:$R,$B149))</f>
        <v/>
      </c>
    </row>
    <row r="150" customFormat="false" ht="15" hidden="false" customHeight="false" outlineLevel="0" collapsed="false">
      <c r="A150" s="14" t="str">
        <f aca="false">IF(B150="","",143)</f>
        <v/>
      </c>
      <c r="B150" s="14" t="str">
        <f aca="false">IFERROR(MATCH(LARGE(Takip!$T$2:$T$501,143),Takip!$T$2:$T$501,0)+1,"")</f>
        <v/>
      </c>
      <c r="C150" s="14" t="str">
        <f aca="false">IF(B150="","",INDEX(Takip!$M:$M,B150))</f>
        <v/>
      </c>
      <c r="D150" s="14" t="str">
        <f aca="false">IF($B150="","",INDEX(Takip!$C:$C,$B150))</f>
        <v/>
      </c>
      <c r="E150" s="14" t="str">
        <f aca="false">IF($B150="","",INDEX(Takip!$D:$D,$B150))</f>
        <v/>
      </c>
      <c r="F150" s="14" t="str">
        <f aca="false">IF($B150="","",INDEX(Takip!$A:$A,$B150))</f>
        <v/>
      </c>
      <c r="G150" s="14" t="str">
        <f aca="false">IF($B150="","",INDEX(Takip!$B:$B,$B150))</f>
        <v/>
      </c>
      <c r="H150" s="16" t="str">
        <f aca="false">IF($B150="","",INDEX(Takip!$Q:$Q,$B150))</f>
        <v/>
      </c>
      <c r="I150" s="17" t="str">
        <f aca="false">IF($B150="","",INDEX(Takip!$K:$K,$B150))</f>
        <v/>
      </c>
      <c r="J150" s="14" t="str">
        <f aca="false">IF($B150="","",INDEX(Takip!$R:$R,$B150))</f>
        <v/>
      </c>
    </row>
    <row r="151" customFormat="false" ht="15" hidden="false" customHeight="false" outlineLevel="0" collapsed="false">
      <c r="A151" s="14" t="str">
        <f aca="false">IF(B151="","",144)</f>
        <v/>
      </c>
      <c r="B151" s="14" t="str">
        <f aca="false">IFERROR(MATCH(LARGE(Takip!$T$2:$T$501,144),Takip!$T$2:$T$501,0)+1,"")</f>
        <v/>
      </c>
      <c r="C151" s="14" t="str">
        <f aca="false">IF(B151="","",INDEX(Takip!$M:$M,B151))</f>
        <v/>
      </c>
      <c r="D151" s="14" t="str">
        <f aca="false">IF($B151="","",INDEX(Takip!$C:$C,$B151))</f>
        <v/>
      </c>
      <c r="E151" s="14" t="str">
        <f aca="false">IF($B151="","",INDEX(Takip!$D:$D,$B151))</f>
        <v/>
      </c>
      <c r="F151" s="14" t="str">
        <f aca="false">IF($B151="","",INDEX(Takip!$A:$A,$B151))</f>
        <v/>
      </c>
      <c r="G151" s="14" t="str">
        <f aca="false">IF($B151="","",INDEX(Takip!$B:$B,$B151))</f>
        <v/>
      </c>
      <c r="H151" s="16" t="str">
        <f aca="false">IF($B151="","",INDEX(Takip!$Q:$Q,$B151))</f>
        <v/>
      </c>
      <c r="I151" s="17" t="str">
        <f aca="false">IF($B151="","",INDEX(Takip!$K:$K,$B151))</f>
        <v/>
      </c>
      <c r="J151" s="14" t="str">
        <f aca="false">IF($B151="","",INDEX(Takip!$R:$R,$B151))</f>
        <v/>
      </c>
    </row>
    <row r="152" customFormat="false" ht="15" hidden="false" customHeight="false" outlineLevel="0" collapsed="false">
      <c r="A152" s="14" t="str">
        <f aca="false">IF(B152="","",145)</f>
        <v/>
      </c>
      <c r="B152" s="14" t="str">
        <f aca="false">IFERROR(MATCH(LARGE(Takip!$T$2:$T$501,145),Takip!$T$2:$T$501,0)+1,"")</f>
        <v/>
      </c>
      <c r="C152" s="14" t="str">
        <f aca="false">IF(B152="","",INDEX(Takip!$M:$M,B152))</f>
        <v/>
      </c>
      <c r="D152" s="14" t="str">
        <f aca="false">IF($B152="","",INDEX(Takip!$C:$C,$B152))</f>
        <v/>
      </c>
      <c r="E152" s="14" t="str">
        <f aca="false">IF($B152="","",INDEX(Takip!$D:$D,$B152))</f>
        <v/>
      </c>
      <c r="F152" s="14" t="str">
        <f aca="false">IF($B152="","",INDEX(Takip!$A:$A,$B152))</f>
        <v/>
      </c>
      <c r="G152" s="14" t="str">
        <f aca="false">IF($B152="","",INDEX(Takip!$B:$B,$B152))</f>
        <v/>
      </c>
      <c r="H152" s="16" t="str">
        <f aca="false">IF($B152="","",INDEX(Takip!$Q:$Q,$B152))</f>
        <v/>
      </c>
      <c r="I152" s="17" t="str">
        <f aca="false">IF($B152="","",INDEX(Takip!$K:$K,$B152))</f>
        <v/>
      </c>
      <c r="J152" s="14" t="str">
        <f aca="false">IF($B152="","",INDEX(Takip!$R:$R,$B152))</f>
        <v/>
      </c>
    </row>
    <row r="153" customFormat="false" ht="15" hidden="false" customHeight="false" outlineLevel="0" collapsed="false">
      <c r="A153" s="14" t="str">
        <f aca="false">IF(B153="","",146)</f>
        <v/>
      </c>
      <c r="B153" s="14" t="str">
        <f aca="false">IFERROR(MATCH(LARGE(Takip!$T$2:$T$501,146),Takip!$T$2:$T$501,0)+1,"")</f>
        <v/>
      </c>
      <c r="C153" s="14" t="str">
        <f aca="false">IF(B153="","",INDEX(Takip!$M:$M,B153))</f>
        <v/>
      </c>
      <c r="D153" s="14" t="str">
        <f aca="false">IF($B153="","",INDEX(Takip!$C:$C,$B153))</f>
        <v/>
      </c>
      <c r="E153" s="14" t="str">
        <f aca="false">IF($B153="","",INDEX(Takip!$D:$D,$B153))</f>
        <v/>
      </c>
      <c r="F153" s="14" t="str">
        <f aca="false">IF($B153="","",INDEX(Takip!$A:$A,$B153))</f>
        <v/>
      </c>
      <c r="G153" s="14" t="str">
        <f aca="false">IF($B153="","",INDEX(Takip!$B:$B,$B153))</f>
        <v/>
      </c>
      <c r="H153" s="16" t="str">
        <f aca="false">IF($B153="","",INDEX(Takip!$Q:$Q,$B153))</f>
        <v/>
      </c>
      <c r="I153" s="17" t="str">
        <f aca="false">IF($B153="","",INDEX(Takip!$K:$K,$B153))</f>
        <v/>
      </c>
      <c r="J153" s="14" t="str">
        <f aca="false">IF($B153="","",INDEX(Takip!$R:$R,$B153))</f>
        <v/>
      </c>
    </row>
    <row r="154" customFormat="false" ht="15" hidden="false" customHeight="false" outlineLevel="0" collapsed="false">
      <c r="A154" s="14" t="str">
        <f aca="false">IF(B154="","",147)</f>
        <v/>
      </c>
      <c r="B154" s="14" t="str">
        <f aca="false">IFERROR(MATCH(LARGE(Takip!$T$2:$T$501,147),Takip!$T$2:$T$501,0)+1,"")</f>
        <v/>
      </c>
      <c r="C154" s="14" t="str">
        <f aca="false">IF(B154="","",INDEX(Takip!$M:$M,B154))</f>
        <v/>
      </c>
      <c r="D154" s="14" t="str">
        <f aca="false">IF($B154="","",INDEX(Takip!$C:$C,$B154))</f>
        <v/>
      </c>
      <c r="E154" s="14" t="str">
        <f aca="false">IF($B154="","",INDEX(Takip!$D:$D,$B154))</f>
        <v/>
      </c>
      <c r="F154" s="14" t="str">
        <f aca="false">IF($B154="","",INDEX(Takip!$A:$A,$B154))</f>
        <v/>
      </c>
      <c r="G154" s="14" t="str">
        <f aca="false">IF($B154="","",INDEX(Takip!$B:$B,$B154))</f>
        <v/>
      </c>
      <c r="H154" s="16" t="str">
        <f aca="false">IF($B154="","",INDEX(Takip!$Q:$Q,$B154))</f>
        <v/>
      </c>
      <c r="I154" s="17" t="str">
        <f aca="false">IF($B154="","",INDEX(Takip!$K:$K,$B154))</f>
        <v/>
      </c>
      <c r="J154" s="14" t="str">
        <f aca="false">IF($B154="","",INDEX(Takip!$R:$R,$B154))</f>
        <v/>
      </c>
    </row>
    <row r="155" customFormat="false" ht="15" hidden="false" customHeight="false" outlineLevel="0" collapsed="false">
      <c r="A155" s="14" t="str">
        <f aca="false">IF(B155="","",148)</f>
        <v/>
      </c>
      <c r="B155" s="14" t="str">
        <f aca="false">IFERROR(MATCH(LARGE(Takip!$T$2:$T$501,148),Takip!$T$2:$T$501,0)+1,"")</f>
        <v/>
      </c>
      <c r="C155" s="14" t="str">
        <f aca="false">IF(B155="","",INDEX(Takip!$M:$M,B155))</f>
        <v/>
      </c>
      <c r="D155" s="14" t="str">
        <f aca="false">IF($B155="","",INDEX(Takip!$C:$C,$B155))</f>
        <v/>
      </c>
      <c r="E155" s="14" t="str">
        <f aca="false">IF($B155="","",INDEX(Takip!$D:$D,$B155))</f>
        <v/>
      </c>
      <c r="F155" s="14" t="str">
        <f aca="false">IF($B155="","",INDEX(Takip!$A:$A,$B155))</f>
        <v/>
      </c>
      <c r="G155" s="14" t="str">
        <f aca="false">IF($B155="","",INDEX(Takip!$B:$B,$B155))</f>
        <v/>
      </c>
      <c r="H155" s="16" t="str">
        <f aca="false">IF($B155="","",INDEX(Takip!$Q:$Q,$B155))</f>
        <v/>
      </c>
      <c r="I155" s="17" t="str">
        <f aca="false">IF($B155="","",INDEX(Takip!$K:$K,$B155))</f>
        <v/>
      </c>
      <c r="J155" s="14" t="str">
        <f aca="false">IF($B155="","",INDEX(Takip!$R:$R,$B155))</f>
        <v/>
      </c>
    </row>
    <row r="156" customFormat="false" ht="15" hidden="false" customHeight="false" outlineLevel="0" collapsed="false">
      <c r="A156" s="14" t="str">
        <f aca="false">IF(B156="","",149)</f>
        <v/>
      </c>
      <c r="B156" s="14" t="str">
        <f aca="false">IFERROR(MATCH(LARGE(Takip!$T$2:$T$501,149),Takip!$T$2:$T$501,0)+1,"")</f>
        <v/>
      </c>
      <c r="C156" s="14" t="str">
        <f aca="false">IF(B156="","",INDEX(Takip!$M:$M,B156))</f>
        <v/>
      </c>
      <c r="D156" s="14" t="str">
        <f aca="false">IF($B156="","",INDEX(Takip!$C:$C,$B156))</f>
        <v/>
      </c>
      <c r="E156" s="14" t="str">
        <f aca="false">IF($B156="","",INDEX(Takip!$D:$D,$B156))</f>
        <v/>
      </c>
      <c r="F156" s="14" t="str">
        <f aca="false">IF($B156="","",INDEX(Takip!$A:$A,$B156))</f>
        <v/>
      </c>
      <c r="G156" s="14" t="str">
        <f aca="false">IF($B156="","",INDEX(Takip!$B:$B,$B156))</f>
        <v/>
      </c>
      <c r="H156" s="16" t="str">
        <f aca="false">IF($B156="","",INDEX(Takip!$Q:$Q,$B156))</f>
        <v/>
      </c>
      <c r="I156" s="17" t="str">
        <f aca="false">IF($B156="","",INDEX(Takip!$K:$K,$B156))</f>
        <v/>
      </c>
      <c r="J156" s="14" t="str">
        <f aca="false">IF($B156="","",INDEX(Takip!$R:$R,$B156))</f>
        <v/>
      </c>
    </row>
    <row r="157" customFormat="false" ht="15" hidden="false" customHeight="false" outlineLevel="0" collapsed="false">
      <c r="A157" s="14" t="str">
        <f aca="false">IF(B157="","",150)</f>
        <v/>
      </c>
      <c r="B157" s="14" t="str">
        <f aca="false">IFERROR(MATCH(LARGE(Takip!$T$2:$T$501,150),Takip!$T$2:$T$501,0)+1,"")</f>
        <v/>
      </c>
      <c r="C157" s="14" t="str">
        <f aca="false">IF(B157="","",INDEX(Takip!$M:$M,B157))</f>
        <v/>
      </c>
      <c r="D157" s="14" t="str">
        <f aca="false">IF($B157="","",INDEX(Takip!$C:$C,$B157))</f>
        <v/>
      </c>
      <c r="E157" s="14" t="str">
        <f aca="false">IF($B157="","",INDEX(Takip!$D:$D,$B157))</f>
        <v/>
      </c>
      <c r="F157" s="14" t="str">
        <f aca="false">IF($B157="","",INDEX(Takip!$A:$A,$B157))</f>
        <v/>
      </c>
      <c r="G157" s="14" t="str">
        <f aca="false">IF($B157="","",INDEX(Takip!$B:$B,$B157))</f>
        <v/>
      </c>
      <c r="H157" s="16" t="str">
        <f aca="false">IF($B157="","",INDEX(Takip!$Q:$Q,$B157))</f>
        <v/>
      </c>
      <c r="I157" s="17" t="str">
        <f aca="false">IF($B157="","",INDEX(Takip!$K:$K,$B157))</f>
        <v/>
      </c>
      <c r="J157" s="14" t="str">
        <f aca="false">IF($B157="","",INDEX(Takip!$R:$R,$B157))</f>
        <v/>
      </c>
    </row>
    <row r="158" customFormat="false" ht="15" hidden="false" customHeight="false" outlineLevel="0" collapsed="false">
      <c r="A158" s="14" t="str">
        <f aca="false">IF(B158="","",151)</f>
        <v/>
      </c>
      <c r="B158" s="14" t="str">
        <f aca="false">IFERROR(MATCH(LARGE(Takip!$T$2:$T$501,151),Takip!$T$2:$T$501,0)+1,"")</f>
        <v/>
      </c>
      <c r="C158" s="14" t="str">
        <f aca="false">IF(B158="","",INDEX(Takip!$M:$M,B158))</f>
        <v/>
      </c>
      <c r="D158" s="14" t="str">
        <f aca="false">IF($B158="","",INDEX(Takip!$C:$C,$B158))</f>
        <v/>
      </c>
      <c r="E158" s="14" t="str">
        <f aca="false">IF($B158="","",INDEX(Takip!$D:$D,$B158))</f>
        <v/>
      </c>
      <c r="F158" s="14" t="str">
        <f aca="false">IF($B158="","",INDEX(Takip!$A:$A,$B158))</f>
        <v/>
      </c>
      <c r="G158" s="14" t="str">
        <f aca="false">IF($B158="","",INDEX(Takip!$B:$B,$B158))</f>
        <v/>
      </c>
      <c r="H158" s="16" t="str">
        <f aca="false">IF($B158="","",INDEX(Takip!$Q:$Q,$B158))</f>
        <v/>
      </c>
      <c r="I158" s="17" t="str">
        <f aca="false">IF($B158="","",INDEX(Takip!$K:$K,$B158))</f>
        <v/>
      </c>
      <c r="J158" s="14" t="str">
        <f aca="false">IF($B158="","",INDEX(Takip!$R:$R,$B158))</f>
        <v/>
      </c>
    </row>
    <row r="159" customFormat="false" ht="15" hidden="false" customHeight="false" outlineLevel="0" collapsed="false">
      <c r="A159" s="14" t="str">
        <f aca="false">IF(B159="","",152)</f>
        <v/>
      </c>
      <c r="B159" s="14" t="str">
        <f aca="false">IFERROR(MATCH(LARGE(Takip!$T$2:$T$501,152),Takip!$T$2:$T$501,0)+1,"")</f>
        <v/>
      </c>
      <c r="C159" s="14" t="str">
        <f aca="false">IF(B159="","",INDEX(Takip!$M:$M,B159))</f>
        <v/>
      </c>
      <c r="D159" s="14" t="str">
        <f aca="false">IF($B159="","",INDEX(Takip!$C:$C,$B159))</f>
        <v/>
      </c>
      <c r="E159" s="14" t="str">
        <f aca="false">IF($B159="","",INDEX(Takip!$D:$D,$B159))</f>
        <v/>
      </c>
      <c r="F159" s="14" t="str">
        <f aca="false">IF($B159="","",INDEX(Takip!$A:$A,$B159))</f>
        <v/>
      </c>
      <c r="G159" s="14" t="str">
        <f aca="false">IF($B159="","",INDEX(Takip!$B:$B,$B159))</f>
        <v/>
      </c>
      <c r="H159" s="16" t="str">
        <f aca="false">IF($B159="","",INDEX(Takip!$Q:$Q,$B159))</f>
        <v/>
      </c>
      <c r="I159" s="17" t="str">
        <f aca="false">IF($B159="","",INDEX(Takip!$K:$K,$B159))</f>
        <v/>
      </c>
      <c r="J159" s="14" t="str">
        <f aca="false">IF($B159="","",INDEX(Takip!$R:$R,$B159))</f>
        <v/>
      </c>
    </row>
    <row r="160" customFormat="false" ht="15" hidden="false" customHeight="false" outlineLevel="0" collapsed="false">
      <c r="A160" s="14" t="str">
        <f aca="false">IF(B160="","",153)</f>
        <v/>
      </c>
      <c r="B160" s="14" t="str">
        <f aca="false">IFERROR(MATCH(LARGE(Takip!$T$2:$T$501,153),Takip!$T$2:$T$501,0)+1,"")</f>
        <v/>
      </c>
      <c r="C160" s="14" t="str">
        <f aca="false">IF(B160="","",INDEX(Takip!$M:$M,B160))</f>
        <v/>
      </c>
      <c r="D160" s="14" t="str">
        <f aca="false">IF($B160="","",INDEX(Takip!$C:$C,$B160))</f>
        <v/>
      </c>
      <c r="E160" s="14" t="str">
        <f aca="false">IF($B160="","",INDEX(Takip!$D:$D,$B160))</f>
        <v/>
      </c>
      <c r="F160" s="14" t="str">
        <f aca="false">IF($B160="","",INDEX(Takip!$A:$A,$B160))</f>
        <v/>
      </c>
      <c r="G160" s="14" t="str">
        <f aca="false">IF($B160="","",INDEX(Takip!$B:$B,$B160))</f>
        <v/>
      </c>
      <c r="H160" s="16" t="str">
        <f aca="false">IF($B160="","",INDEX(Takip!$Q:$Q,$B160))</f>
        <v/>
      </c>
      <c r="I160" s="17" t="str">
        <f aca="false">IF($B160="","",INDEX(Takip!$K:$K,$B160))</f>
        <v/>
      </c>
      <c r="J160" s="14" t="str">
        <f aca="false">IF($B160="","",INDEX(Takip!$R:$R,$B160))</f>
        <v/>
      </c>
    </row>
    <row r="161" customFormat="false" ht="15" hidden="false" customHeight="false" outlineLevel="0" collapsed="false">
      <c r="A161" s="14" t="str">
        <f aca="false">IF(B161="","",154)</f>
        <v/>
      </c>
      <c r="B161" s="14" t="str">
        <f aca="false">IFERROR(MATCH(LARGE(Takip!$T$2:$T$501,154),Takip!$T$2:$T$501,0)+1,"")</f>
        <v/>
      </c>
      <c r="C161" s="14" t="str">
        <f aca="false">IF(B161="","",INDEX(Takip!$M:$M,B161))</f>
        <v/>
      </c>
      <c r="D161" s="14" t="str">
        <f aca="false">IF($B161="","",INDEX(Takip!$C:$C,$B161))</f>
        <v/>
      </c>
      <c r="E161" s="14" t="str">
        <f aca="false">IF($B161="","",INDEX(Takip!$D:$D,$B161))</f>
        <v/>
      </c>
      <c r="F161" s="14" t="str">
        <f aca="false">IF($B161="","",INDEX(Takip!$A:$A,$B161))</f>
        <v/>
      </c>
      <c r="G161" s="14" t="str">
        <f aca="false">IF($B161="","",INDEX(Takip!$B:$B,$B161))</f>
        <v/>
      </c>
      <c r="H161" s="16" t="str">
        <f aca="false">IF($B161="","",INDEX(Takip!$Q:$Q,$B161))</f>
        <v/>
      </c>
      <c r="I161" s="17" t="str">
        <f aca="false">IF($B161="","",INDEX(Takip!$K:$K,$B161))</f>
        <v/>
      </c>
      <c r="J161" s="14" t="str">
        <f aca="false">IF($B161="","",INDEX(Takip!$R:$R,$B161))</f>
        <v/>
      </c>
    </row>
    <row r="162" customFormat="false" ht="15" hidden="false" customHeight="false" outlineLevel="0" collapsed="false">
      <c r="A162" s="14" t="str">
        <f aca="false">IF(B162="","",155)</f>
        <v/>
      </c>
      <c r="B162" s="14" t="str">
        <f aca="false">IFERROR(MATCH(LARGE(Takip!$T$2:$T$501,155),Takip!$T$2:$T$501,0)+1,"")</f>
        <v/>
      </c>
      <c r="C162" s="14" t="str">
        <f aca="false">IF(B162="","",INDEX(Takip!$M:$M,B162))</f>
        <v/>
      </c>
      <c r="D162" s="14" t="str">
        <f aca="false">IF($B162="","",INDEX(Takip!$C:$C,$B162))</f>
        <v/>
      </c>
      <c r="E162" s="14" t="str">
        <f aca="false">IF($B162="","",INDEX(Takip!$D:$D,$B162))</f>
        <v/>
      </c>
      <c r="F162" s="14" t="str">
        <f aca="false">IF($B162="","",INDEX(Takip!$A:$A,$B162))</f>
        <v/>
      </c>
      <c r="G162" s="14" t="str">
        <f aca="false">IF($B162="","",INDEX(Takip!$B:$B,$B162))</f>
        <v/>
      </c>
      <c r="H162" s="16" t="str">
        <f aca="false">IF($B162="","",INDEX(Takip!$Q:$Q,$B162))</f>
        <v/>
      </c>
      <c r="I162" s="17" t="str">
        <f aca="false">IF($B162="","",INDEX(Takip!$K:$K,$B162))</f>
        <v/>
      </c>
      <c r="J162" s="14" t="str">
        <f aca="false">IF($B162="","",INDEX(Takip!$R:$R,$B162))</f>
        <v/>
      </c>
    </row>
    <row r="163" customFormat="false" ht="15" hidden="false" customHeight="false" outlineLevel="0" collapsed="false">
      <c r="A163" s="14" t="str">
        <f aca="false">IF(B163="","",156)</f>
        <v/>
      </c>
      <c r="B163" s="14" t="str">
        <f aca="false">IFERROR(MATCH(LARGE(Takip!$T$2:$T$501,156),Takip!$T$2:$T$501,0)+1,"")</f>
        <v/>
      </c>
      <c r="C163" s="14" t="str">
        <f aca="false">IF(B163="","",INDEX(Takip!$M:$M,B163))</f>
        <v/>
      </c>
      <c r="D163" s="14" t="str">
        <f aca="false">IF($B163="","",INDEX(Takip!$C:$C,$B163))</f>
        <v/>
      </c>
      <c r="E163" s="14" t="str">
        <f aca="false">IF($B163="","",INDEX(Takip!$D:$D,$B163))</f>
        <v/>
      </c>
      <c r="F163" s="14" t="str">
        <f aca="false">IF($B163="","",INDEX(Takip!$A:$A,$B163))</f>
        <v/>
      </c>
      <c r="G163" s="14" t="str">
        <f aca="false">IF($B163="","",INDEX(Takip!$B:$B,$B163))</f>
        <v/>
      </c>
      <c r="H163" s="16" t="str">
        <f aca="false">IF($B163="","",INDEX(Takip!$Q:$Q,$B163))</f>
        <v/>
      </c>
      <c r="I163" s="17" t="str">
        <f aca="false">IF($B163="","",INDEX(Takip!$K:$K,$B163))</f>
        <v/>
      </c>
      <c r="J163" s="14" t="str">
        <f aca="false">IF($B163="","",INDEX(Takip!$R:$R,$B163))</f>
        <v/>
      </c>
    </row>
    <row r="164" customFormat="false" ht="15" hidden="false" customHeight="false" outlineLevel="0" collapsed="false">
      <c r="A164" s="14" t="str">
        <f aca="false">IF(B164="","",157)</f>
        <v/>
      </c>
      <c r="B164" s="14" t="str">
        <f aca="false">IFERROR(MATCH(LARGE(Takip!$T$2:$T$501,157),Takip!$T$2:$T$501,0)+1,"")</f>
        <v/>
      </c>
      <c r="C164" s="14" t="str">
        <f aca="false">IF(B164="","",INDEX(Takip!$M:$M,B164))</f>
        <v/>
      </c>
      <c r="D164" s="14" t="str">
        <f aca="false">IF($B164="","",INDEX(Takip!$C:$C,$B164))</f>
        <v/>
      </c>
      <c r="E164" s="14" t="str">
        <f aca="false">IF($B164="","",INDEX(Takip!$D:$D,$B164))</f>
        <v/>
      </c>
      <c r="F164" s="14" t="str">
        <f aca="false">IF($B164="","",INDEX(Takip!$A:$A,$B164))</f>
        <v/>
      </c>
      <c r="G164" s="14" t="str">
        <f aca="false">IF($B164="","",INDEX(Takip!$B:$B,$B164))</f>
        <v/>
      </c>
      <c r="H164" s="16" t="str">
        <f aca="false">IF($B164="","",INDEX(Takip!$Q:$Q,$B164))</f>
        <v/>
      </c>
      <c r="I164" s="17" t="str">
        <f aca="false">IF($B164="","",INDEX(Takip!$K:$K,$B164))</f>
        <v/>
      </c>
      <c r="J164" s="14" t="str">
        <f aca="false">IF($B164="","",INDEX(Takip!$R:$R,$B164))</f>
        <v/>
      </c>
    </row>
    <row r="165" customFormat="false" ht="15" hidden="false" customHeight="false" outlineLevel="0" collapsed="false">
      <c r="A165" s="14" t="str">
        <f aca="false">IF(B165="","",158)</f>
        <v/>
      </c>
      <c r="B165" s="14" t="str">
        <f aca="false">IFERROR(MATCH(LARGE(Takip!$T$2:$T$501,158),Takip!$T$2:$T$501,0)+1,"")</f>
        <v/>
      </c>
      <c r="C165" s="14" t="str">
        <f aca="false">IF(B165="","",INDEX(Takip!$M:$M,B165))</f>
        <v/>
      </c>
      <c r="D165" s="14" t="str">
        <f aca="false">IF($B165="","",INDEX(Takip!$C:$C,$B165))</f>
        <v/>
      </c>
      <c r="E165" s="14" t="str">
        <f aca="false">IF($B165="","",INDEX(Takip!$D:$D,$B165))</f>
        <v/>
      </c>
      <c r="F165" s="14" t="str">
        <f aca="false">IF($B165="","",INDEX(Takip!$A:$A,$B165))</f>
        <v/>
      </c>
      <c r="G165" s="14" t="str">
        <f aca="false">IF($B165="","",INDEX(Takip!$B:$B,$B165))</f>
        <v/>
      </c>
      <c r="H165" s="16" t="str">
        <f aca="false">IF($B165="","",INDEX(Takip!$Q:$Q,$B165))</f>
        <v/>
      </c>
      <c r="I165" s="17" t="str">
        <f aca="false">IF($B165="","",INDEX(Takip!$K:$K,$B165))</f>
        <v/>
      </c>
      <c r="J165" s="14" t="str">
        <f aca="false">IF($B165="","",INDEX(Takip!$R:$R,$B165))</f>
        <v/>
      </c>
    </row>
    <row r="166" customFormat="false" ht="15" hidden="false" customHeight="false" outlineLevel="0" collapsed="false">
      <c r="A166" s="14" t="str">
        <f aca="false">IF(B166="","",159)</f>
        <v/>
      </c>
      <c r="B166" s="14" t="str">
        <f aca="false">IFERROR(MATCH(LARGE(Takip!$T$2:$T$501,159),Takip!$T$2:$T$501,0)+1,"")</f>
        <v/>
      </c>
      <c r="C166" s="14" t="str">
        <f aca="false">IF(B166="","",INDEX(Takip!$M:$M,B166))</f>
        <v/>
      </c>
      <c r="D166" s="14" t="str">
        <f aca="false">IF($B166="","",INDEX(Takip!$C:$C,$B166))</f>
        <v/>
      </c>
      <c r="E166" s="14" t="str">
        <f aca="false">IF($B166="","",INDEX(Takip!$D:$D,$B166))</f>
        <v/>
      </c>
      <c r="F166" s="14" t="str">
        <f aca="false">IF($B166="","",INDEX(Takip!$A:$A,$B166))</f>
        <v/>
      </c>
      <c r="G166" s="14" t="str">
        <f aca="false">IF($B166="","",INDEX(Takip!$B:$B,$B166))</f>
        <v/>
      </c>
      <c r="H166" s="16" t="str">
        <f aca="false">IF($B166="","",INDEX(Takip!$Q:$Q,$B166))</f>
        <v/>
      </c>
      <c r="I166" s="17" t="str">
        <f aca="false">IF($B166="","",INDEX(Takip!$K:$K,$B166))</f>
        <v/>
      </c>
      <c r="J166" s="14" t="str">
        <f aca="false">IF($B166="","",INDEX(Takip!$R:$R,$B166))</f>
        <v/>
      </c>
    </row>
    <row r="167" customFormat="false" ht="15" hidden="false" customHeight="false" outlineLevel="0" collapsed="false">
      <c r="A167" s="14" t="str">
        <f aca="false">IF(B167="","",160)</f>
        <v/>
      </c>
      <c r="B167" s="14" t="str">
        <f aca="false">IFERROR(MATCH(LARGE(Takip!$T$2:$T$501,160),Takip!$T$2:$T$501,0)+1,"")</f>
        <v/>
      </c>
      <c r="C167" s="14" t="str">
        <f aca="false">IF(B167="","",INDEX(Takip!$M:$M,B167))</f>
        <v/>
      </c>
      <c r="D167" s="14" t="str">
        <f aca="false">IF($B167="","",INDEX(Takip!$C:$C,$B167))</f>
        <v/>
      </c>
      <c r="E167" s="14" t="str">
        <f aca="false">IF($B167="","",INDEX(Takip!$D:$D,$B167))</f>
        <v/>
      </c>
      <c r="F167" s="14" t="str">
        <f aca="false">IF($B167="","",INDEX(Takip!$A:$A,$B167))</f>
        <v/>
      </c>
      <c r="G167" s="14" t="str">
        <f aca="false">IF($B167="","",INDEX(Takip!$B:$B,$B167))</f>
        <v/>
      </c>
      <c r="H167" s="16" t="str">
        <f aca="false">IF($B167="","",INDEX(Takip!$Q:$Q,$B167))</f>
        <v/>
      </c>
      <c r="I167" s="17" t="str">
        <f aca="false">IF($B167="","",INDEX(Takip!$K:$K,$B167))</f>
        <v/>
      </c>
      <c r="J167" s="14" t="str">
        <f aca="false">IF($B167="","",INDEX(Takip!$R:$R,$B167))</f>
        <v/>
      </c>
    </row>
    <row r="168" customFormat="false" ht="15" hidden="false" customHeight="false" outlineLevel="0" collapsed="false">
      <c r="A168" s="14" t="str">
        <f aca="false">IF(B168="","",161)</f>
        <v/>
      </c>
      <c r="B168" s="14" t="str">
        <f aca="false">IFERROR(MATCH(LARGE(Takip!$T$2:$T$501,161),Takip!$T$2:$T$501,0)+1,"")</f>
        <v/>
      </c>
      <c r="C168" s="14" t="str">
        <f aca="false">IF(B168="","",INDEX(Takip!$M:$M,B168))</f>
        <v/>
      </c>
      <c r="D168" s="14" t="str">
        <f aca="false">IF($B168="","",INDEX(Takip!$C:$C,$B168))</f>
        <v/>
      </c>
      <c r="E168" s="14" t="str">
        <f aca="false">IF($B168="","",INDEX(Takip!$D:$D,$B168))</f>
        <v/>
      </c>
      <c r="F168" s="14" t="str">
        <f aca="false">IF($B168="","",INDEX(Takip!$A:$A,$B168))</f>
        <v/>
      </c>
      <c r="G168" s="14" t="str">
        <f aca="false">IF($B168="","",INDEX(Takip!$B:$B,$B168))</f>
        <v/>
      </c>
      <c r="H168" s="16" t="str">
        <f aca="false">IF($B168="","",INDEX(Takip!$Q:$Q,$B168))</f>
        <v/>
      </c>
      <c r="I168" s="17" t="str">
        <f aca="false">IF($B168="","",INDEX(Takip!$K:$K,$B168))</f>
        <v/>
      </c>
      <c r="J168" s="14" t="str">
        <f aca="false">IF($B168="","",INDEX(Takip!$R:$R,$B168))</f>
        <v/>
      </c>
    </row>
    <row r="169" customFormat="false" ht="15" hidden="false" customHeight="false" outlineLevel="0" collapsed="false">
      <c r="A169" s="14" t="str">
        <f aca="false">IF(B169="","",162)</f>
        <v/>
      </c>
      <c r="B169" s="14" t="str">
        <f aca="false">IFERROR(MATCH(LARGE(Takip!$T$2:$T$501,162),Takip!$T$2:$T$501,0)+1,"")</f>
        <v/>
      </c>
      <c r="C169" s="14" t="str">
        <f aca="false">IF(B169="","",INDEX(Takip!$M:$M,B169))</f>
        <v/>
      </c>
      <c r="D169" s="14" t="str">
        <f aca="false">IF($B169="","",INDEX(Takip!$C:$C,$B169))</f>
        <v/>
      </c>
      <c r="E169" s="14" t="str">
        <f aca="false">IF($B169="","",INDEX(Takip!$D:$D,$B169))</f>
        <v/>
      </c>
      <c r="F169" s="14" t="str">
        <f aca="false">IF($B169="","",INDEX(Takip!$A:$A,$B169))</f>
        <v/>
      </c>
      <c r="G169" s="14" t="str">
        <f aca="false">IF($B169="","",INDEX(Takip!$B:$B,$B169))</f>
        <v/>
      </c>
      <c r="H169" s="16" t="str">
        <f aca="false">IF($B169="","",INDEX(Takip!$Q:$Q,$B169))</f>
        <v/>
      </c>
      <c r="I169" s="17" t="str">
        <f aca="false">IF($B169="","",INDEX(Takip!$K:$K,$B169))</f>
        <v/>
      </c>
      <c r="J169" s="14" t="str">
        <f aca="false">IF($B169="","",INDEX(Takip!$R:$R,$B169))</f>
        <v/>
      </c>
    </row>
    <row r="170" customFormat="false" ht="15" hidden="false" customHeight="false" outlineLevel="0" collapsed="false">
      <c r="A170" s="14" t="str">
        <f aca="false">IF(B170="","",163)</f>
        <v/>
      </c>
      <c r="B170" s="14" t="str">
        <f aca="false">IFERROR(MATCH(LARGE(Takip!$T$2:$T$501,163),Takip!$T$2:$T$501,0)+1,"")</f>
        <v/>
      </c>
      <c r="C170" s="14" t="str">
        <f aca="false">IF(B170="","",INDEX(Takip!$M:$M,B170))</f>
        <v/>
      </c>
      <c r="D170" s="14" t="str">
        <f aca="false">IF($B170="","",INDEX(Takip!$C:$C,$B170))</f>
        <v/>
      </c>
      <c r="E170" s="14" t="str">
        <f aca="false">IF($B170="","",INDEX(Takip!$D:$D,$B170))</f>
        <v/>
      </c>
      <c r="F170" s="14" t="str">
        <f aca="false">IF($B170="","",INDEX(Takip!$A:$A,$B170))</f>
        <v/>
      </c>
      <c r="G170" s="14" t="str">
        <f aca="false">IF($B170="","",INDEX(Takip!$B:$B,$B170))</f>
        <v/>
      </c>
      <c r="H170" s="16" t="str">
        <f aca="false">IF($B170="","",INDEX(Takip!$Q:$Q,$B170))</f>
        <v/>
      </c>
      <c r="I170" s="17" t="str">
        <f aca="false">IF($B170="","",INDEX(Takip!$K:$K,$B170))</f>
        <v/>
      </c>
      <c r="J170" s="14" t="str">
        <f aca="false">IF($B170="","",INDEX(Takip!$R:$R,$B170))</f>
        <v/>
      </c>
    </row>
    <row r="171" customFormat="false" ht="15" hidden="false" customHeight="false" outlineLevel="0" collapsed="false">
      <c r="A171" s="14" t="str">
        <f aca="false">IF(B171="","",164)</f>
        <v/>
      </c>
      <c r="B171" s="14" t="str">
        <f aca="false">IFERROR(MATCH(LARGE(Takip!$T$2:$T$501,164),Takip!$T$2:$T$501,0)+1,"")</f>
        <v/>
      </c>
      <c r="C171" s="14" t="str">
        <f aca="false">IF(B171="","",INDEX(Takip!$M:$M,B171))</f>
        <v/>
      </c>
      <c r="D171" s="14" t="str">
        <f aca="false">IF($B171="","",INDEX(Takip!$C:$C,$B171))</f>
        <v/>
      </c>
      <c r="E171" s="14" t="str">
        <f aca="false">IF($B171="","",INDEX(Takip!$D:$D,$B171))</f>
        <v/>
      </c>
      <c r="F171" s="14" t="str">
        <f aca="false">IF($B171="","",INDEX(Takip!$A:$A,$B171))</f>
        <v/>
      </c>
      <c r="G171" s="14" t="str">
        <f aca="false">IF($B171="","",INDEX(Takip!$B:$B,$B171))</f>
        <v/>
      </c>
      <c r="H171" s="16" t="str">
        <f aca="false">IF($B171="","",INDEX(Takip!$Q:$Q,$B171))</f>
        <v/>
      </c>
      <c r="I171" s="17" t="str">
        <f aca="false">IF($B171="","",INDEX(Takip!$K:$K,$B171))</f>
        <v/>
      </c>
      <c r="J171" s="14" t="str">
        <f aca="false">IF($B171="","",INDEX(Takip!$R:$R,$B171))</f>
        <v/>
      </c>
    </row>
    <row r="172" customFormat="false" ht="15" hidden="false" customHeight="false" outlineLevel="0" collapsed="false">
      <c r="A172" s="14" t="str">
        <f aca="false">IF(B172="","",165)</f>
        <v/>
      </c>
      <c r="B172" s="14" t="str">
        <f aca="false">IFERROR(MATCH(LARGE(Takip!$T$2:$T$501,165),Takip!$T$2:$T$501,0)+1,"")</f>
        <v/>
      </c>
      <c r="C172" s="14" t="str">
        <f aca="false">IF(B172="","",INDEX(Takip!$M:$M,B172))</f>
        <v/>
      </c>
      <c r="D172" s="14" t="str">
        <f aca="false">IF($B172="","",INDEX(Takip!$C:$C,$B172))</f>
        <v/>
      </c>
      <c r="E172" s="14" t="str">
        <f aca="false">IF($B172="","",INDEX(Takip!$D:$D,$B172))</f>
        <v/>
      </c>
      <c r="F172" s="14" t="str">
        <f aca="false">IF($B172="","",INDEX(Takip!$A:$A,$B172))</f>
        <v/>
      </c>
      <c r="G172" s="14" t="str">
        <f aca="false">IF($B172="","",INDEX(Takip!$B:$B,$B172))</f>
        <v/>
      </c>
      <c r="H172" s="16" t="str">
        <f aca="false">IF($B172="","",INDEX(Takip!$Q:$Q,$B172))</f>
        <v/>
      </c>
      <c r="I172" s="17" t="str">
        <f aca="false">IF($B172="","",INDEX(Takip!$K:$K,$B172))</f>
        <v/>
      </c>
      <c r="J172" s="14" t="str">
        <f aca="false">IF($B172="","",INDEX(Takip!$R:$R,$B172))</f>
        <v/>
      </c>
    </row>
    <row r="173" customFormat="false" ht="15" hidden="false" customHeight="false" outlineLevel="0" collapsed="false">
      <c r="A173" s="14" t="str">
        <f aca="false">IF(B173="","",166)</f>
        <v/>
      </c>
      <c r="B173" s="14" t="str">
        <f aca="false">IFERROR(MATCH(LARGE(Takip!$T$2:$T$501,166),Takip!$T$2:$T$501,0)+1,"")</f>
        <v/>
      </c>
      <c r="C173" s="14" t="str">
        <f aca="false">IF(B173="","",INDEX(Takip!$M:$M,B173))</f>
        <v/>
      </c>
      <c r="D173" s="14" t="str">
        <f aca="false">IF($B173="","",INDEX(Takip!$C:$C,$B173))</f>
        <v/>
      </c>
      <c r="E173" s="14" t="str">
        <f aca="false">IF($B173="","",INDEX(Takip!$D:$D,$B173))</f>
        <v/>
      </c>
      <c r="F173" s="14" t="str">
        <f aca="false">IF($B173="","",INDEX(Takip!$A:$A,$B173))</f>
        <v/>
      </c>
      <c r="G173" s="14" t="str">
        <f aca="false">IF($B173="","",INDEX(Takip!$B:$B,$B173))</f>
        <v/>
      </c>
      <c r="H173" s="16" t="str">
        <f aca="false">IF($B173="","",INDEX(Takip!$Q:$Q,$B173))</f>
        <v/>
      </c>
      <c r="I173" s="17" t="str">
        <f aca="false">IF($B173="","",INDEX(Takip!$K:$K,$B173))</f>
        <v/>
      </c>
      <c r="J173" s="14" t="str">
        <f aca="false">IF($B173="","",INDEX(Takip!$R:$R,$B173))</f>
        <v/>
      </c>
    </row>
    <row r="174" customFormat="false" ht="15" hidden="false" customHeight="false" outlineLevel="0" collapsed="false">
      <c r="A174" s="14" t="str">
        <f aca="false">IF(B174="","",167)</f>
        <v/>
      </c>
      <c r="B174" s="14" t="str">
        <f aca="false">IFERROR(MATCH(LARGE(Takip!$T$2:$T$501,167),Takip!$T$2:$T$501,0)+1,"")</f>
        <v/>
      </c>
      <c r="C174" s="14" t="str">
        <f aca="false">IF(B174="","",INDEX(Takip!$M:$M,B174))</f>
        <v/>
      </c>
      <c r="D174" s="14" t="str">
        <f aca="false">IF($B174="","",INDEX(Takip!$C:$C,$B174))</f>
        <v/>
      </c>
      <c r="E174" s="14" t="str">
        <f aca="false">IF($B174="","",INDEX(Takip!$D:$D,$B174))</f>
        <v/>
      </c>
      <c r="F174" s="14" t="str">
        <f aca="false">IF($B174="","",INDEX(Takip!$A:$A,$B174))</f>
        <v/>
      </c>
      <c r="G174" s="14" t="str">
        <f aca="false">IF($B174="","",INDEX(Takip!$B:$B,$B174))</f>
        <v/>
      </c>
      <c r="H174" s="16" t="str">
        <f aca="false">IF($B174="","",INDEX(Takip!$Q:$Q,$B174))</f>
        <v/>
      </c>
      <c r="I174" s="17" t="str">
        <f aca="false">IF($B174="","",INDEX(Takip!$K:$K,$B174))</f>
        <v/>
      </c>
      <c r="J174" s="14" t="str">
        <f aca="false">IF($B174="","",INDEX(Takip!$R:$R,$B174))</f>
        <v/>
      </c>
    </row>
    <row r="175" customFormat="false" ht="15" hidden="false" customHeight="false" outlineLevel="0" collapsed="false">
      <c r="A175" s="14" t="str">
        <f aca="false">IF(B175="","",168)</f>
        <v/>
      </c>
      <c r="B175" s="14" t="str">
        <f aca="false">IFERROR(MATCH(LARGE(Takip!$T$2:$T$501,168),Takip!$T$2:$T$501,0)+1,"")</f>
        <v/>
      </c>
      <c r="C175" s="14" t="str">
        <f aca="false">IF(B175="","",INDEX(Takip!$M:$M,B175))</f>
        <v/>
      </c>
      <c r="D175" s="14" t="str">
        <f aca="false">IF($B175="","",INDEX(Takip!$C:$C,$B175))</f>
        <v/>
      </c>
      <c r="E175" s="14" t="str">
        <f aca="false">IF($B175="","",INDEX(Takip!$D:$D,$B175))</f>
        <v/>
      </c>
      <c r="F175" s="14" t="str">
        <f aca="false">IF($B175="","",INDEX(Takip!$A:$A,$B175))</f>
        <v/>
      </c>
      <c r="G175" s="14" t="str">
        <f aca="false">IF($B175="","",INDEX(Takip!$B:$B,$B175))</f>
        <v/>
      </c>
      <c r="H175" s="16" t="str">
        <f aca="false">IF($B175="","",INDEX(Takip!$Q:$Q,$B175))</f>
        <v/>
      </c>
      <c r="I175" s="17" t="str">
        <f aca="false">IF($B175="","",INDEX(Takip!$K:$K,$B175))</f>
        <v/>
      </c>
      <c r="J175" s="14" t="str">
        <f aca="false">IF($B175="","",INDEX(Takip!$R:$R,$B175))</f>
        <v/>
      </c>
    </row>
    <row r="176" customFormat="false" ht="15" hidden="false" customHeight="false" outlineLevel="0" collapsed="false">
      <c r="A176" s="14" t="str">
        <f aca="false">IF(B176="","",169)</f>
        <v/>
      </c>
      <c r="B176" s="14" t="str">
        <f aca="false">IFERROR(MATCH(LARGE(Takip!$T$2:$T$501,169),Takip!$T$2:$T$501,0)+1,"")</f>
        <v/>
      </c>
      <c r="C176" s="14" t="str">
        <f aca="false">IF(B176="","",INDEX(Takip!$M:$M,B176))</f>
        <v/>
      </c>
      <c r="D176" s="14" t="str">
        <f aca="false">IF($B176="","",INDEX(Takip!$C:$C,$B176))</f>
        <v/>
      </c>
      <c r="E176" s="14" t="str">
        <f aca="false">IF($B176="","",INDEX(Takip!$D:$D,$B176))</f>
        <v/>
      </c>
      <c r="F176" s="14" t="str">
        <f aca="false">IF($B176="","",INDEX(Takip!$A:$A,$B176))</f>
        <v/>
      </c>
      <c r="G176" s="14" t="str">
        <f aca="false">IF($B176="","",INDEX(Takip!$B:$B,$B176))</f>
        <v/>
      </c>
      <c r="H176" s="16" t="str">
        <f aca="false">IF($B176="","",INDEX(Takip!$Q:$Q,$B176))</f>
        <v/>
      </c>
      <c r="I176" s="17" t="str">
        <f aca="false">IF($B176="","",INDEX(Takip!$K:$K,$B176))</f>
        <v/>
      </c>
      <c r="J176" s="14" t="str">
        <f aca="false">IF($B176="","",INDEX(Takip!$R:$R,$B176))</f>
        <v/>
      </c>
    </row>
    <row r="177" customFormat="false" ht="15" hidden="false" customHeight="false" outlineLevel="0" collapsed="false">
      <c r="A177" s="14" t="str">
        <f aca="false">IF(B177="","",170)</f>
        <v/>
      </c>
      <c r="B177" s="14" t="str">
        <f aca="false">IFERROR(MATCH(LARGE(Takip!$T$2:$T$501,170),Takip!$T$2:$T$501,0)+1,"")</f>
        <v/>
      </c>
      <c r="C177" s="14" t="str">
        <f aca="false">IF(B177="","",INDEX(Takip!$M:$M,B177))</f>
        <v/>
      </c>
      <c r="D177" s="14" t="str">
        <f aca="false">IF($B177="","",INDEX(Takip!$C:$C,$B177))</f>
        <v/>
      </c>
      <c r="E177" s="14" t="str">
        <f aca="false">IF($B177="","",INDEX(Takip!$D:$D,$B177))</f>
        <v/>
      </c>
      <c r="F177" s="14" t="str">
        <f aca="false">IF($B177="","",INDEX(Takip!$A:$A,$B177))</f>
        <v/>
      </c>
      <c r="G177" s="14" t="str">
        <f aca="false">IF($B177="","",INDEX(Takip!$B:$B,$B177))</f>
        <v/>
      </c>
      <c r="H177" s="16" t="str">
        <f aca="false">IF($B177="","",INDEX(Takip!$Q:$Q,$B177))</f>
        <v/>
      </c>
      <c r="I177" s="17" t="str">
        <f aca="false">IF($B177="","",INDEX(Takip!$K:$K,$B177))</f>
        <v/>
      </c>
      <c r="J177" s="14" t="str">
        <f aca="false">IF($B177="","",INDEX(Takip!$R:$R,$B177))</f>
        <v/>
      </c>
    </row>
    <row r="178" customFormat="false" ht="15" hidden="false" customHeight="false" outlineLevel="0" collapsed="false">
      <c r="A178" s="14" t="str">
        <f aca="false">IF(B178="","",171)</f>
        <v/>
      </c>
      <c r="B178" s="14" t="str">
        <f aca="false">IFERROR(MATCH(LARGE(Takip!$T$2:$T$501,171),Takip!$T$2:$T$501,0)+1,"")</f>
        <v/>
      </c>
      <c r="C178" s="14" t="str">
        <f aca="false">IF(B178="","",INDEX(Takip!$M:$M,B178))</f>
        <v/>
      </c>
      <c r="D178" s="14" t="str">
        <f aca="false">IF($B178="","",INDEX(Takip!$C:$C,$B178))</f>
        <v/>
      </c>
      <c r="E178" s="14" t="str">
        <f aca="false">IF($B178="","",INDEX(Takip!$D:$D,$B178))</f>
        <v/>
      </c>
      <c r="F178" s="14" t="str">
        <f aca="false">IF($B178="","",INDEX(Takip!$A:$A,$B178))</f>
        <v/>
      </c>
      <c r="G178" s="14" t="str">
        <f aca="false">IF($B178="","",INDEX(Takip!$B:$B,$B178))</f>
        <v/>
      </c>
      <c r="H178" s="16" t="str">
        <f aca="false">IF($B178="","",INDEX(Takip!$Q:$Q,$B178))</f>
        <v/>
      </c>
      <c r="I178" s="17" t="str">
        <f aca="false">IF($B178="","",INDEX(Takip!$K:$K,$B178))</f>
        <v/>
      </c>
      <c r="J178" s="14" t="str">
        <f aca="false">IF($B178="","",INDEX(Takip!$R:$R,$B178))</f>
        <v/>
      </c>
    </row>
    <row r="179" customFormat="false" ht="15" hidden="false" customHeight="false" outlineLevel="0" collapsed="false">
      <c r="A179" s="14" t="str">
        <f aca="false">IF(B179="","",172)</f>
        <v/>
      </c>
      <c r="B179" s="14" t="str">
        <f aca="false">IFERROR(MATCH(LARGE(Takip!$T$2:$T$501,172),Takip!$T$2:$T$501,0)+1,"")</f>
        <v/>
      </c>
      <c r="C179" s="14" t="str">
        <f aca="false">IF(B179="","",INDEX(Takip!$M:$M,B179))</f>
        <v/>
      </c>
      <c r="D179" s="14" t="str">
        <f aca="false">IF($B179="","",INDEX(Takip!$C:$C,$B179))</f>
        <v/>
      </c>
      <c r="E179" s="14" t="str">
        <f aca="false">IF($B179="","",INDEX(Takip!$D:$D,$B179))</f>
        <v/>
      </c>
      <c r="F179" s="14" t="str">
        <f aca="false">IF($B179="","",INDEX(Takip!$A:$A,$B179))</f>
        <v/>
      </c>
      <c r="G179" s="14" t="str">
        <f aca="false">IF($B179="","",INDEX(Takip!$B:$B,$B179))</f>
        <v/>
      </c>
      <c r="H179" s="16" t="str">
        <f aca="false">IF($B179="","",INDEX(Takip!$Q:$Q,$B179))</f>
        <v/>
      </c>
      <c r="I179" s="17" t="str">
        <f aca="false">IF($B179="","",INDEX(Takip!$K:$K,$B179))</f>
        <v/>
      </c>
      <c r="J179" s="14" t="str">
        <f aca="false">IF($B179="","",INDEX(Takip!$R:$R,$B179))</f>
        <v/>
      </c>
    </row>
    <row r="180" customFormat="false" ht="15" hidden="false" customHeight="false" outlineLevel="0" collapsed="false">
      <c r="A180" s="14" t="str">
        <f aca="false">IF(B180="","",173)</f>
        <v/>
      </c>
      <c r="B180" s="14" t="str">
        <f aca="false">IFERROR(MATCH(LARGE(Takip!$T$2:$T$501,173),Takip!$T$2:$T$501,0)+1,"")</f>
        <v/>
      </c>
      <c r="C180" s="14" t="str">
        <f aca="false">IF(B180="","",INDEX(Takip!$M:$M,B180))</f>
        <v/>
      </c>
      <c r="D180" s="14" t="str">
        <f aca="false">IF($B180="","",INDEX(Takip!$C:$C,$B180))</f>
        <v/>
      </c>
      <c r="E180" s="14" t="str">
        <f aca="false">IF($B180="","",INDEX(Takip!$D:$D,$B180))</f>
        <v/>
      </c>
      <c r="F180" s="14" t="str">
        <f aca="false">IF($B180="","",INDEX(Takip!$A:$A,$B180))</f>
        <v/>
      </c>
      <c r="G180" s="14" t="str">
        <f aca="false">IF($B180="","",INDEX(Takip!$B:$B,$B180))</f>
        <v/>
      </c>
      <c r="H180" s="16" t="str">
        <f aca="false">IF($B180="","",INDEX(Takip!$Q:$Q,$B180))</f>
        <v/>
      </c>
      <c r="I180" s="17" t="str">
        <f aca="false">IF($B180="","",INDEX(Takip!$K:$K,$B180))</f>
        <v/>
      </c>
      <c r="J180" s="14" t="str">
        <f aca="false">IF($B180="","",INDEX(Takip!$R:$R,$B180))</f>
        <v/>
      </c>
    </row>
    <row r="181" customFormat="false" ht="15" hidden="false" customHeight="false" outlineLevel="0" collapsed="false">
      <c r="A181" s="14" t="str">
        <f aca="false">IF(B181="","",174)</f>
        <v/>
      </c>
      <c r="B181" s="14" t="str">
        <f aca="false">IFERROR(MATCH(LARGE(Takip!$T$2:$T$501,174),Takip!$T$2:$T$501,0)+1,"")</f>
        <v/>
      </c>
      <c r="C181" s="14" t="str">
        <f aca="false">IF(B181="","",INDEX(Takip!$M:$M,B181))</f>
        <v/>
      </c>
      <c r="D181" s="14" t="str">
        <f aca="false">IF($B181="","",INDEX(Takip!$C:$C,$B181))</f>
        <v/>
      </c>
      <c r="E181" s="14" t="str">
        <f aca="false">IF($B181="","",INDEX(Takip!$D:$D,$B181))</f>
        <v/>
      </c>
      <c r="F181" s="14" t="str">
        <f aca="false">IF($B181="","",INDEX(Takip!$A:$A,$B181))</f>
        <v/>
      </c>
      <c r="G181" s="14" t="str">
        <f aca="false">IF($B181="","",INDEX(Takip!$B:$B,$B181))</f>
        <v/>
      </c>
      <c r="H181" s="16" t="str">
        <f aca="false">IF($B181="","",INDEX(Takip!$Q:$Q,$B181))</f>
        <v/>
      </c>
      <c r="I181" s="17" t="str">
        <f aca="false">IF($B181="","",INDEX(Takip!$K:$K,$B181))</f>
        <v/>
      </c>
      <c r="J181" s="14" t="str">
        <f aca="false">IF($B181="","",INDEX(Takip!$R:$R,$B181))</f>
        <v/>
      </c>
    </row>
    <row r="182" customFormat="false" ht="15" hidden="false" customHeight="false" outlineLevel="0" collapsed="false">
      <c r="A182" s="14" t="str">
        <f aca="false">IF(B182="","",175)</f>
        <v/>
      </c>
      <c r="B182" s="14" t="str">
        <f aca="false">IFERROR(MATCH(LARGE(Takip!$T$2:$T$501,175),Takip!$T$2:$T$501,0)+1,"")</f>
        <v/>
      </c>
      <c r="C182" s="14" t="str">
        <f aca="false">IF(B182="","",INDEX(Takip!$M:$M,B182))</f>
        <v/>
      </c>
      <c r="D182" s="14" t="str">
        <f aca="false">IF($B182="","",INDEX(Takip!$C:$C,$B182))</f>
        <v/>
      </c>
      <c r="E182" s="14" t="str">
        <f aca="false">IF($B182="","",INDEX(Takip!$D:$D,$B182))</f>
        <v/>
      </c>
      <c r="F182" s="14" t="str">
        <f aca="false">IF($B182="","",INDEX(Takip!$A:$A,$B182))</f>
        <v/>
      </c>
      <c r="G182" s="14" t="str">
        <f aca="false">IF($B182="","",INDEX(Takip!$B:$B,$B182))</f>
        <v/>
      </c>
      <c r="H182" s="16" t="str">
        <f aca="false">IF($B182="","",INDEX(Takip!$Q:$Q,$B182))</f>
        <v/>
      </c>
      <c r="I182" s="17" t="str">
        <f aca="false">IF($B182="","",INDEX(Takip!$K:$K,$B182))</f>
        <v/>
      </c>
      <c r="J182" s="14" t="str">
        <f aca="false">IF($B182="","",INDEX(Takip!$R:$R,$B182))</f>
        <v/>
      </c>
    </row>
    <row r="183" customFormat="false" ht="15" hidden="false" customHeight="false" outlineLevel="0" collapsed="false">
      <c r="A183" s="14" t="str">
        <f aca="false">IF(B183="","",176)</f>
        <v/>
      </c>
      <c r="B183" s="14" t="str">
        <f aca="false">IFERROR(MATCH(LARGE(Takip!$T$2:$T$501,176),Takip!$T$2:$T$501,0)+1,"")</f>
        <v/>
      </c>
      <c r="C183" s="14" t="str">
        <f aca="false">IF(B183="","",INDEX(Takip!$M:$M,B183))</f>
        <v/>
      </c>
      <c r="D183" s="14" t="str">
        <f aca="false">IF($B183="","",INDEX(Takip!$C:$C,$B183))</f>
        <v/>
      </c>
      <c r="E183" s="14" t="str">
        <f aca="false">IF($B183="","",INDEX(Takip!$D:$D,$B183))</f>
        <v/>
      </c>
      <c r="F183" s="14" t="str">
        <f aca="false">IF($B183="","",INDEX(Takip!$A:$A,$B183))</f>
        <v/>
      </c>
      <c r="G183" s="14" t="str">
        <f aca="false">IF($B183="","",INDEX(Takip!$B:$B,$B183))</f>
        <v/>
      </c>
      <c r="H183" s="16" t="str">
        <f aca="false">IF($B183="","",INDEX(Takip!$Q:$Q,$B183))</f>
        <v/>
      </c>
      <c r="I183" s="17" t="str">
        <f aca="false">IF($B183="","",INDEX(Takip!$K:$K,$B183))</f>
        <v/>
      </c>
      <c r="J183" s="14" t="str">
        <f aca="false">IF($B183="","",INDEX(Takip!$R:$R,$B183))</f>
        <v/>
      </c>
    </row>
    <row r="184" customFormat="false" ht="15" hidden="false" customHeight="false" outlineLevel="0" collapsed="false">
      <c r="A184" s="14" t="str">
        <f aca="false">IF(B184="","",177)</f>
        <v/>
      </c>
      <c r="B184" s="14" t="str">
        <f aca="false">IFERROR(MATCH(LARGE(Takip!$T$2:$T$501,177),Takip!$T$2:$T$501,0)+1,"")</f>
        <v/>
      </c>
      <c r="C184" s="14" t="str">
        <f aca="false">IF(B184="","",INDEX(Takip!$M:$M,B184))</f>
        <v/>
      </c>
      <c r="D184" s="14" t="str">
        <f aca="false">IF($B184="","",INDEX(Takip!$C:$C,$B184))</f>
        <v/>
      </c>
      <c r="E184" s="14" t="str">
        <f aca="false">IF($B184="","",INDEX(Takip!$D:$D,$B184))</f>
        <v/>
      </c>
      <c r="F184" s="14" t="str">
        <f aca="false">IF($B184="","",INDEX(Takip!$A:$A,$B184))</f>
        <v/>
      </c>
      <c r="G184" s="14" t="str">
        <f aca="false">IF($B184="","",INDEX(Takip!$B:$B,$B184))</f>
        <v/>
      </c>
      <c r="H184" s="16" t="str">
        <f aca="false">IF($B184="","",INDEX(Takip!$Q:$Q,$B184))</f>
        <v/>
      </c>
      <c r="I184" s="17" t="str">
        <f aca="false">IF($B184="","",INDEX(Takip!$K:$K,$B184))</f>
        <v/>
      </c>
      <c r="J184" s="14" t="str">
        <f aca="false">IF($B184="","",INDEX(Takip!$R:$R,$B184))</f>
        <v/>
      </c>
    </row>
    <row r="185" customFormat="false" ht="15" hidden="false" customHeight="false" outlineLevel="0" collapsed="false">
      <c r="A185" s="14" t="str">
        <f aca="false">IF(B185="","",178)</f>
        <v/>
      </c>
      <c r="B185" s="14" t="str">
        <f aca="false">IFERROR(MATCH(LARGE(Takip!$T$2:$T$501,178),Takip!$T$2:$T$501,0)+1,"")</f>
        <v/>
      </c>
      <c r="C185" s="14" t="str">
        <f aca="false">IF(B185="","",INDEX(Takip!$M:$M,B185))</f>
        <v/>
      </c>
      <c r="D185" s="14" t="str">
        <f aca="false">IF($B185="","",INDEX(Takip!$C:$C,$B185))</f>
        <v/>
      </c>
      <c r="E185" s="14" t="str">
        <f aca="false">IF($B185="","",INDEX(Takip!$D:$D,$B185))</f>
        <v/>
      </c>
      <c r="F185" s="14" t="str">
        <f aca="false">IF($B185="","",INDEX(Takip!$A:$A,$B185))</f>
        <v/>
      </c>
      <c r="G185" s="14" t="str">
        <f aca="false">IF($B185="","",INDEX(Takip!$B:$B,$B185))</f>
        <v/>
      </c>
      <c r="H185" s="16" t="str">
        <f aca="false">IF($B185="","",INDEX(Takip!$Q:$Q,$B185))</f>
        <v/>
      </c>
      <c r="I185" s="17" t="str">
        <f aca="false">IF($B185="","",INDEX(Takip!$K:$K,$B185))</f>
        <v/>
      </c>
      <c r="J185" s="14" t="str">
        <f aca="false">IF($B185="","",INDEX(Takip!$R:$R,$B185))</f>
        <v/>
      </c>
    </row>
    <row r="186" customFormat="false" ht="15" hidden="false" customHeight="false" outlineLevel="0" collapsed="false">
      <c r="A186" s="14" t="str">
        <f aca="false">IF(B186="","",179)</f>
        <v/>
      </c>
      <c r="B186" s="14" t="str">
        <f aca="false">IFERROR(MATCH(LARGE(Takip!$T$2:$T$501,179),Takip!$T$2:$T$501,0)+1,"")</f>
        <v/>
      </c>
      <c r="C186" s="14" t="str">
        <f aca="false">IF(B186="","",INDEX(Takip!$M:$M,B186))</f>
        <v/>
      </c>
      <c r="D186" s="14" t="str">
        <f aca="false">IF($B186="","",INDEX(Takip!$C:$C,$B186))</f>
        <v/>
      </c>
      <c r="E186" s="14" t="str">
        <f aca="false">IF($B186="","",INDEX(Takip!$D:$D,$B186))</f>
        <v/>
      </c>
      <c r="F186" s="14" t="str">
        <f aca="false">IF($B186="","",INDEX(Takip!$A:$A,$B186))</f>
        <v/>
      </c>
      <c r="G186" s="14" t="str">
        <f aca="false">IF($B186="","",INDEX(Takip!$B:$B,$B186))</f>
        <v/>
      </c>
      <c r="H186" s="16" t="str">
        <f aca="false">IF($B186="","",INDEX(Takip!$Q:$Q,$B186))</f>
        <v/>
      </c>
      <c r="I186" s="17" t="str">
        <f aca="false">IF($B186="","",INDEX(Takip!$K:$K,$B186))</f>
        <v/>
      </c>
      <c r="J186" s="14" t="str">
        <f aca="false">IF($B186="","",INDEX(Takip!$R:$R,$B186))</f>
        <v/>
      </c>
    </row>
    <row r="187" customFormat="false" ht="15" hidden="false" customHeight="false" outlineLevel="0" collapsed="false">
      <c r="A187" s="14" t="str">
        <f aca="false">IF(B187="","",180)</f>
        <v/>
      </c>
      <c r="B187" s="14" t="str">
        <f aca="false">IFERROR(MATCH(LARGE(Takip!$T$2:$T$501,180),Takip!$T$2:$T$501,0)+1,"")</f>
        <v/>
      </c>
      <c r="C187" s="14" t="str">
        <f aca="false">IF(B187="","",INDEX(Takip!$M:$M,B187))</f>
        <v/>
      </c>
      <c r="D187" s="14" t="str">
        <f aca="false">IF($B187="","",INDEX(Takip!$C:$C,$B187))</f>
        <v/>
      </c>
      <c r="E187" s="14" t="str">
        <f aca="false">IF($B187="","",INDEX(Takip!$D:$D,$B187))</f>
        <v/>
      </c>
      <c r="F187" s="14" t="str">
        <f aca="false">IF($B187="","",INDEX(Takip!$A:$A,$B187))</f>
        <v/>
      </c>
      <c r="G187" s="14" t="str">
        <f aca="false">IF($B187="","",INDEX(Takip!$B:$B,$B187))</f>
        <v/>
      </c>
      <c r="H187" s="16" t="str">
        <f aca="false">IF($B187="","",INDEX(Takip!$Q:$Q,$B187))</f>
        <v/>
      </c>
      <c r="I187" s="17" t="str">
        <f aca="false">IF($B187="","",INDEX(Takip!$K:$K,$B187))</f>
        <v/>
      </c>
      <c r="J187" s="14" t="str">
        <f aca="false">IF($B187="","",INDEX(Takip!$R:$R,$B187))</f>
        <v/>
      </c>
    </row>
    <row r="188" customFormat="false" ht="15" hidden="false" customHeight="false" outlineLevel="0" collapsed="false">
      <c r="A188" s="14" t="str">
        <f aca="false">IF(B188="","",181)</f>
        <v/>
      </c>
      <c r="B188" s="14" t="str">
        <f aca="false">IFERROR(MATCH(LARGE(Takip!$T$2:$T$501,181),Takip!$T$2:$T$501,0)+1,"")</f>
        <v/>
      </c>
      <c r="C188" s="14" t="str">
        <f aca="false">IF(B188="","",INDEX(Takip!$M:$M,B188))</f>
        <v/>
      </c>
      <c r="D188" s="14" t="str">
        <f aca="false">IF($B188="","",INDEX(Takip!$C:$C,$B188))</f>
        <v/>
      </c>
      <c r="E188" s="14" t="str">
        <f aca="false">IF($B188="","",INDEX(Takip!$D:$D,$B188))</f>
        <v/>
      </c>
      <c r="F188" s="14" t="str">
        <f aca="false">IF($B188="","",INDEX(Takip!$A:$A,$B188))</f>
        <v/>
      </c>
      <c r="G188" s="14" t="str">
        <f aca="false">IF($B188="","",INDEX(Takip!$B:$B,$B188))</f>
        <v/>
      </c>
      <c r="H188" s="16" t="str">
        <f aca="false">IF($B188="","",INDEX(Takip!$Q:$Q,$B188))</f>
        <v/>
      </c>
      <c r="I188" s="17" t="str">
        <f aca="false">IF($B188="","",INDEX(Takip!$K:$K,$B188))</f>
        <v/>
      </c>
      <c r="J188" s="14" t="str">
        <f aca="false">IF($B188="","",INDEX(Takip!$R:$R,$B188))</f>
        <v/>
      </c>
    </row>
    <row r="189" customFormat="false" ht="15" hidden="false" customHeight="false" outlineLevel="0" collapsed="false">
      <c r="A189" s="14" t="str">
        <f aca="false">IF(B189="","",182)</f>
        <v/>
      </c>
      <c r="B189" s="14" t="str">
        <f aca="false">IFERROR(MATCH(LARGE(Takip!$T$2:$T$501,182),Takip!$T$2:$T$501,0)+1,"")</f>
        <v/>
      </c>
      <c r="C189" s="14" t="str">
        <f aca="false">IF(B189="","",INDEX(Takip!$M:$M,B189))</f>
        <v/>
      </c>
      <c r="D189" s="14" t="str">
        <f aca="false">IF($B189="","",INDEX(Takip!$C:$C,$B189))</f>
        <v/>
      </c>
      <c r="E189" s="14" t="str">
        <f aca="false">IF($B189="","",INDEX(Takip!$D:$D,$B189))</f>
        <v/>
      </c>
      <c r="F189" s="14" t="str">
        <f aca="false">IF($B189="","",INDEX(Takip!$A:$A,$B189))</f>
        <v/>
      </c>
      <c r="G189" s="14" t="str">
        <f aca="false">IF($B189="","",INDEX(Takip!$B:$B,$B189))</f>
        <v/>
      </c>
      <c r="H189" s="16" t="str">
        <f aca="false">IF($B189="","",INDEX(Takip!$Q:$Q,$B189))</f>
        <v/>
      </c>
      <c r="I189" s="17" t="str">
        <f aca="false">IF($B189="","",INDEX(Takip!$K:$K,$B189))</f>
        <v/>
      </c>
      <c r="J189" s="14" t="str">
        <f aca="false">IF($B189="","",INDEX(Takip!$R:$R,$B189))</f>
        <v/>
      </c>
    </row>
    <row r="190" customFormat="false" ht="15" hidden="false" customHeight="false" outlineLevel="0" collapsed="false">
      <c r="A190" s="14" t="str">
        <f aca="false">IF(B190="","",183)</f>
        <v/>
      </c>
      <c r="B190" s="14" t="str">
        <f aca="false">IFERROR(MATCH(LARGE(Takip!$T$2:$T$501,183),Takip!$T$2:$T$501,0)+1,"")</f>
        <v/>
      </c>
      <c r="C190" s="14" t="str">
        <f aca="false">IF(B190="","",INDEX(Takip!$M:$M,B190))</f>
        <v/>
      </c>
      <c r="D190" s="14" t="str">
        <f aca="false">IF($B190="","",INDEX(Takip!$C:$C,$B190))</f>
        <v/>
      </c>
      <c r="E190" s="14" t="str">
        <f aca="false">IF($B190="","",INDEX(Takip!$D:$D,$B190))</f>
        <v/>
      </c>
      <c r="F190" s="14" t="str">
        <f aca="false">IF($B190="","",INDEX(Takip!$A:$A,$B190))</f>
        <v/>
      </c>
      <c r="G190" s="14" t="str">
        <f aca="false">IF($B190="","",INDEX(Takip!$B:$B,$B190))</f>
        <v/>
      </c>
      <c r="H190" s="16" t="str">
        <f aca="false">IF($B190="","",INDEX(Takip!$Q:$Q,$B190))</f>
        <v/>
      </c>
      <c r="I190" s="17" t="str">
        <f aca="false">IF($B190="","",INDEX(Takip!$K:$K,$B190))</f>
        <v/>
      </c>
      <c r="J190" s="14" t="str">
        <f aca="false">IF($B190="","",INDEX(Takip!$R:$R,$B190))</f>
        <v/>
      </c>
    </row>
    <row r="191" customFormat="false" ht="15" hidden="false" customHeight="false" outlineLevel="0" collapsed="false">
      <c r="A191" s="14" t="str">
        <f aca="false">IF(B191="","",184)</f>
        <v/>
      </c>
      <c r="B191" s="14" t="str">
        <f aca="false">IFERROR(MATCH(LARGE(Takip!$T$2:$T$501,184),Takip!$T$2:$T$501,0)+1,"")</f>
        <v/>
      </c>
      <c r="C191" s="14" t="str">
        <f aca="false">IF(B191="","",INDEX(Takip!$M:$M,B191))</f>
        <v/>
      </c>
      <c r="D191" s="14" t="str">
        <f aca="false">IF($B191="","",INDEX(Takip!$C:$C,$B191))</f>
        <v/>
      </c>
      <c r="E191" s="14" t="str">
        <f aca="false">IF($B191="","",INDEX(Takip!$D:$D,$B191))</f>
        <v/>
      </c>
      <c r="F191" s="14" t="str">
        <f aca="false">IF($B191="","",INDEX(Takip!$A:$A,$B191))</f>
        <v/>
      </c>
      <c r="G191" s="14" t="str">
        <f aca="false">IF($B191="","",INDEX(Takip!$B:$B,$B191))</f>
        <v/>
      </c>
      <c r="H191" s="16" t="str">
        <f aca="false">IF($B191="","",INDEX(Takip!$Q:$Q,$B191))</f>
        <v/>
      </c>
      <c r="I191" s="17" t="str">
        <f aca="false">IF($B191="","",INDEX(Takip!$K:$K,$B191))</f>
        <v/>
      </c>
      <c r="J191" s="14" t="str">
        <f aca="false">IF($B191="","",INDEX(Takip!$R:$R,$B191))</f>
        <v/>
      </c>
    </row>
    <row r="192" customFormat="false" ht="15" hidden="false" customHeight="false" outlineLevel="0" collapsed="false">
      <c r="A192" s="14" t="str">
        <f aca="false">IF(B192="","",185)</f>
        <v/>
      </c>
      <c r="B192" s="14" t="str">
        <f aca="false">IFERROR(MATCH(LARGE(Takip!$T$2:$T$501,185),Takip!$T$2:$T$501,0)+1,"")</f>
        <v/>
      </c>
      <c r="C192" s="14" t="str">
        <f aca="false">IF(B192="","",INDEX(Takip!$M:$M,B192))</f>
        <v/>
      </c>
      <c r="D192" s="14" t="str">
        <f aca="false">IF($B192="","",INDEX(Takip!$C:$C,$B192))</f>
        <v/>
      </c>
      <c r="E192" s="14" t="str">
        <f aca="false">IF($B192="","",INDEX(Takip!$D:$D,$B192))</f>
        <v/>
      </c>
      <c r="F192" s="14" t="str">
        <f aca="false">IF($B192="","",INDEX(Takip!$A:$A,$B192))</f>
        <v/>
      </c>
      <c r="G192" s="14" t="str">
        <f aca="false">IF($B192="","",INDEX(Takip!$B:$B,$B192))</f>
        <v/>
      </c>
      <c r="H192" s="16" t="str">
        <f aca="false">IF($B192="","",INDEX(Takip!$Q:$Q,$B192))</f>
        <v/>
      </c>
      <c r="I192" s="17" t="str">
        <f aca="false">IF($B192="","",INDEX(Takip!$K:$K,$B192))</f>
        <v/>
      </c>
      <c r="J192" s="14" t="str">
        <f aca="false">IF($B192="","",INDEX(Takip!$R:$R,$B192))</f>
        <v/>
      </c>
    </row>
    <row r="193" customFormat="false" ht="15" hidden="false" customHeight="false" outlineLevel="0" collapsed="false">
      <c r="A193" s="14" t="str">
        <f aca="false">IF(B193="","",186)</f>
        <v/>
      </c>
      <c r="B193" s="14" t="str">
        <f aca="false">IFERROR(MATCH(LARGE(Takip!$T$2:$T$501,186),Takip!$T$2:$T$501,0)+1,"")</f>
        <v/>
      </c>
      <c r="C193" s="14" t="str">
        <f aca="false">IF(B193="","",INDEX(Takip!$M:$M,B193))</f>
        <v/>
      </c>
      <c r="D193" s="14" t="str">
        <f aca="false">IF($B193="","",INDEX(Takip!$C:$C,$B193))</f>
        <v/>
      </c>
      <c r="E193" s="14" t="str">
        <f aca="false">IF($B193="","",INDEX(Takip!$D:$D,$B193))</f>
        <v/>
      </c>
      <c r="F193" s="14" t="str">
        <f aca="false">IF($B193="","",INDEX(Takip!$A:$A,$B193))</f>
        <v/>
      </c>
      <c r="G193" s="14" t="str">
        <f aca="false">IF($B193="","",INDEX(Takip!$B:$B,$B193))</f>
        <v/>
      </c>
      <c r="H193" s="16" t="str">
        <f aca="false">IF($B193="","",INDEX(Takip!$Q:$Q,$B193))</f>
        <v/>
      </c>
      <c r="I193" s="17" t="str">
        <f aca="false">IF($B193="","",INDEX(Takip!$K:$K,$B193))</f>
        <v/>
      </c>
      <c r="J193" s="14" t="str">
        <f aca="false">IF($B193="","",INDEX(Takip!$R:$R,$B193))</f>
        <v/>
      </c>
    </row>
    <row r="194" customFormat="false" ht="15" hidden="false" customHeight="false" outlineLevel="0" collapsed="false">
      <c r="A194" s="14" t="str">
        <f aca="false">IF(B194="","",187)</f>
        <v/>
      </c>
      <c r="B194" s="14" t="str">
        <f aca="false">IFERROR(MATCH(LARGE(Takip!$T$2:$T$501,187),Takip!$T$2:$T$501,0)+1,"")</f>
        <v/>
      </c>
      <c r="C194" s="14" t="str">
        <f aca="false">IF(B194="","",INDEX(Takip!$M:$M,B194))</f>
        <v/>
      </c>
      <c r="D194" s="14" t="str">
        <f aca="false">IF($B194="","",INDEX(Takip!$C:$C,$B194))</f>
        <v/>
      </c>
      <c r="E194" s="14" t="str">
        <f aca="false">IF($B194="","",INDEX(Takip!$D:$D,$B194))</f>
        <v/>
      </c>
      <c r="F194" s="14" t="str">
        <f aca="false">IF($B194="","",INDEX(Takip!$A:$A,$B194))</f>
        <v/>
      </c>
      <c r="G194" s="14" t="str">
        <f aca="false">IF($B194="","",INDEX(Takip!$B:$B,$B194))</f>
        <v/>
      </c>
      <c r="H194" s="16" t="str">
        <f aca="false">IF($B194="","",INDEX(Takip!$Q:$Q,$B194))</f>
        <v/>
      </c>
      <c r="I194" s="17" t="str">
        <f aca="false">IF($B194="","",INDEX(Takip!$K:$K,$B194))</f>
        <v/>
      </c>
      <c r="J194" s="14" t="str">
        <f aca="false">IF($B194="","",INDEX(Takip!$R:$R,$B194))</f>
        <v/>
      </c>
    </row>
    <row r="195" customFormat="false" ht="15" hidden="false" customHeight="false" outlineLevel="0" collapsed="false">
      <c r="A195" s="14" t="str">
        <f aca="false">IF(B195="","",188)</f>
        <v/>
      </c>
      <c r="B195" s="14" t="str">
        <f aca="false">IFERROR(MATCH(LARGE(Takip!$T$2:$T$501,188),Takip!$T$2:$T$501,0)+1,"")</f>
        <v/>
      </c>
      <c r="C195" s="14" t="str">
        <f aca="false">IF(B195="","",INDEX(Takip!$M:$M,B195))</f>
        <v/>
      </c>
      <c r="D195" s="14" t="str">
        <f aca="false">IF($B195="","",INDEX(Takip!$C:$C,$B195))</f>
        <v/>
      </c>
      <c r="E195" s="14" t="str">
        <f aca="false">IF($B195="","",INDEX(Takip!$D:$D,$B195))</f>
        <v/>
      </c>
      <c r="F195" s="14" t="str">
        <f aca="false">IF($B195="","",INDEX(Takip!$A:$A,$B195))</f>
        <v/>
      </c>
      <c r="G195" s="14" t="str">
        <f aca="false">IF($B195="","",INDEX(Takip!$B:$B,$B195))</f>
        <v/>
      </c>
      <c r="H195" s="16" t="str">
        <f aca="false">IF($B195="","",INDEX(Takip!$Q:$Q,$B195))</f>
        <v/>
      </c>
      <c r="I195" s="17" t="str">
        <f aca="false">IF($B195="","",INDEX(Takip!$K:$K,$B195))</f>
        <v/>
      </c>
      <c r="J195" s="14" t="str">
        <f aca="false">IF($B195="","",INDEX(Takip!$R:$R,$B195))</f>
        <v/>
      </c>
    </row>
    <row r="196" customFormat="false" ht="15" hidden="false" customHeight="false" outlineLevel="0" collapsed="false">
      <c r="A196" s="14" t="str">
        <f aca="false">IF(B196="","",189)</f>
        <v/>
      </c>
      <c r="B196" s="14" t="str">
        <f aca="false">IFERROR(MATCH(LARGE(Takip!$T$2:$T$501,189),Takip!$T$2:$T$501,0)+1,"")</f>
        <v/>
      </c>
      <c r="C196" s="14" t="str">
        <f aca="false">IF(B196="","",INDEX(Takip!$M:$M,B196))</f>
        <v/>
      </c>
      <c r="D196" s="14" t="str">
        <f aca="false">IF($B196="","",INDEX(Takip!$C:$C,$B196))</f>
        <v/>
      </c>
      <c r="E196" s="14" t="str">
        <f aca="false">IF($B196="","",INDEX(Takip!$D:$D,$B196))</f>
        <v/>
      </c>
      <c r="F196" s="14" t="str">
        <f aca="false">IF($B196="","",INDEX(Takip!$A:$A,$B196))</f>
        <v/>
      </c>
      <c r="G196" s="14" t="str">
        <f aca="false">IF($B196="","",INDEX(Takip!$B:$B,$B196))</f>
        <v/>
      </c>
      <c r="H196" s="16" t="str">
        <f aca="false">IF($B196="","",INDEX(Takip!$Q:$Q,$B196))</f>
        <v/>
      </c>
      <c r="I196" s="17" t="str">
        <f aca="false">IF($B196="","",INDEX(Takip!$K:$K,$B196))</f>
        <v/>
      </c>
      <c r="J196" s="14" t="str">
        <f aca="false">IF($B196="","",INDEX(Takip!$R:$R,$B196))</f>
        <v/>
      </c>
    </row>
    <row r="197" customFormat="false" ht="15" hidden="false" customHeight="false" outlineLevel="0" collapsed="false">
      <c r="A197" s="14" t="str">
        <f aca="false">IF(B197="","",190)</f>
        <v/>
      </c>
      <c r="B197" s="14" t="str">
        <f aca="false">IFERROR(MATCH(LARGE(Takip!$T$2:$T$501,190),Takip!$T$2:$T$501,0)+1,"")</f>
        <v/>
      </c>
      <c r="C197" s="14" t="str">
        <f aca="false">IF(B197="","",INDEX(Takip!$M:$M,B197))</f>
        <v/>
      </c>
      <c r="D197" s="14" t="str">
        <f aca="false">IF($B197="","",INDEX(Takip!$C:$C,$B197))</f>
        <v/>
      </c>
      <c r="E197" s="14" t="str">
        <f aca="false">IF($B197="","",INDEX(Takip!$D:$D,$B197))</f>
        <v/>
      </c>
      <c r="F197" s="14" t="str">
        <f aca="false">IF($B197="","",INDEX(Takip!$A:$A,$B197))</f>
        <v/>
      </c>
      <c r="G197" s="14" t="str">
        <f aca="false">IF($B197="","",INDEX(Takip!$B:$B,$B197))</f>
        <v/>
      </c>
      <c r="H197" s="16" t="str">
        <f aca="false">IF($B197="","",INDEX(Takip!$Q:$Q,$B197))</f>
        <v/>
      </c>
      <c r="I197" s="17" t="str">
        <f aca="false">IF($B197="","",INDEX(Takip!$K:$K,$B197))</f>
        <v/>
      </c>
      <c r="J197" s="14" t="str">
        <f aca="false">IF($B197="","",INDEX(Takip!$R:$R,$B197))</f>
        <v/>
      </c>
    </row>
    <row r="198" customFormat="false" ht="15" hidden="false" customHeight="false" outlineLevel="0" collapsed="false">
      <c r="A198" s="14" t="str">
        <f aca="false">IF(B198="","",191)</f>
        <v/>
      </c>
      <c r="B198" s="14" t="str">
        <f aca="false">IFERROR(MATCH(LARGE(Takip!$T$2:$T$501,191),Takip!$T$2:$T$501,0)+1,"")</f>
        <v/>
      </c>
      <c r="C198" s="14" t="str">
        <f aca="false">IF(B198="","",INDEX(Takip!$M:$M,B198))</f>
        <v/>
      </c>
      <c r="D198" s="14" t="str">
        <f aca="false">IF($B198="","",INDEX(Takip!$C:$C,$B198))</f>
        <v/>
      </c>
      <c r="E198" s="14" t="str">
        <f aca="false">IF($B198="","",INDEX(Takip!$D:$D,$B198))</f>
        <v/>
      </c>
      <c r="F198" s="14" t="str">
        <f aca="false">IF($B198="","",INDEX(Takip!$A:$A,$B198))</f>
        <v/>
      </c>
      <c r="G198" s="14" t="str">
        <f aca="false">IF($B198="","",INDEX(Takip!$B:$B,$B198))</f>
        <v/>
      </c>
      <c r="H198" s="16" t="str">
        <f aca="false">IF($B198="","",INDEX(Takip!$Q:$Q,$B198))</f>
        <v/>
      </c>
      <c r="I198" s="17" t="str">
        <f aca="false">IF($B198="","",INDEX(Takip!$K:$K,$B198))</f>
        <v/>
      </c>
      <c r="J198" s="14" t="str">
        <f aca="false">IF($B198="","",INDEX(Takip!$R:$R,$B198))</f>
        <v/>
      </c>
    </row>
    <row r="199" customFormat="false" ht="15" hidden="false" customHeight="false" outlineLevel="0" collapsed="false">
      <c r="A199" s="14" t="str">
        <f aca="false">IF(B199="","",192)</f>
        <v/>
      </c>
      <c r="B199" s="14" t="str">
        <f aca="false">IFERROR(MATCH(LARGE(Takip!$T$2:$T$501,192),Takip!$T$2:$T$501,0)+1,"")</f>
        <v/>
      </c>
      <c r="C199" s="14" t="str">
        <f aca="false">IF(B199="","",INDEX(Takip!$M:$M,B199))</f>
        <v/>
      </c>
      <c r="D199" s="14" t="str">
        <f aca="false">IF($B199="","",INDEX(Takip!$C:$C,$B199))</f>
        <v/>
      </c>
      <c r="E199" s="14" t="str">
        <f aca="false">IF($B199="","",INDEX(Takip!$D:$D,$B199))</f>
        <v/>
      </c>
      <c r="F199" s="14" t="str">
        <f aca="false">IF($B199="","",INDEX(Takip!$A:$A,$B199))</f>
        <v/>
      </c>
      <c r="G199" s="14" t="str">
        <f aca="false">IF($B199="","",INDEX(Takip!$B:$B,$B199))</f>
        <v/>
      </c>
      <c r="H199" s="16" t="str">
        <f aca="false">IF($B199="","",INDEX(Takip!$Q:$Q,$B199))</f>
        <v/>
      </c>
      <c r="I199" s="17" t="str">
        <f aca="false">IF($B199="","",INDEX(Takip!$K:$K,$B199))</f>
        <v/>
      </c>
      <c r="J199" s="14" t="str">
        <f aca="false">IF($B199="","",INDEX(Takip!$R:$R,$B199))</f>
        <v/>
      </c>
    </row>
    <row r="200" customFormat="false" ht="15" hidden="false" customHeight="false" outlineLevel="0" collapsed="false">
      <c r="A200" s="14" t="str">
        <f aca="false">IF(B200="","",193)</f>
        <v/>
      </c>
      <c r="B200" s="14" t="str">
        <f aca="false">IFERROR(MATCH(LARGE(Takip!$T$2:$T$501,193),Takip!$T$2:$T$501,0)+1,"")</f>
        <v/>
      </c>
      <c r="C200" s="14" t="str">
        <f aca="false">IF(B200="","",INDEX(Takip!$M:$M,B200))</f>
        <v/>
      </c>
      <c r="D200" s="14" t="str">
        <f aca="false">IF($B200="","",INDEX(Takip!$C:$C,$B200))</f>
        <v/>
      </c>
      <c r="E200" s="14" t="str">
        <f aca="false">IF($B200="","",INDEX(Takip!$D:$D,$B200))</f>
        <v/>
      </c>
      <c r="F200" s="14" t="str">
        <f aca="false">IF($B200="","",INDEX(Takip!$A:$A,$B200))</f>
        <v/>
      </c>
      <c r="G200" s="14" t="str">
        <f aca="false">IF($B200="","",INDEX(Takip!$B:$B,$B200))</f>
        <v/>
      </c>
      <c r="H200" s="16" t="str">
        <f aca="false">IF($B200="","",INDEX(Takip!$Q:$Q,$B200))</f>
        <v/>
      </c>
      <c r="I200" s="17" t="str">
        <f aca="false">IF($B200="","",INDEX(Takip!$K:$K,$B200))</f>
        <v/>
      </c>
      <c r="J200" s="14" t="str">
        <f aca="false">IF($B200="","",INDEX(Takip!$R:$R,$B200))</f>
        <v/>
      </c>
    </row>
    <row r="201" customFormat="false" ht="15" hidden="false" customHeight="false" outlineLevel="0" collapsed="false">
      <c r="A201" s="14" t="str">
        <f aca="false">IF(B201="","",194)</f>
        <v/>
      </c>
      <c r="B201" s="14" t="str">
        <f aca="false">IFERROR(MATCH(LARGE(Takip!$T$2:$T$501,194),Takip!$T$2:$T$501,0)+1,"")</f>
        <v/>
      </c>
      <c r="C201" s="14" t="str">
        <f aca="false">IF(B201="","",INDEX(Takip!$M:$M,B201))</f>
        <v/>
      </c>
      <c r="D201" s="14" t="str">
        <f aca="false">IF($B201="","",INDEX(Takip!$C:$C,$B201))</f>
        <v/>
      </c>
      <c r="E201" s="14" t="str">
        <f aca="false">IF($B201="","",INDEX(Takip!$D:$D,$B201))</f>
        <v/>
      </c>
      <c r="F201" s="14" t="str">
        <f aca="false">IF($B201="","",INDEX(Takip!$A:$A,$B201))</f>
        <v/>
      </c>
      <c r="G201" s="14" t="str">
        <f aca="false">IF($B201="","",INDEX(Takip!$B:$B,$B201))</f>
        <v/>
      </c>
      <c r="H201" s="16" t="str">
        <f aca="false">IF($B201="","",INDEX(Takip!$Q:$Q,$B201))</f>
        <v/>
      </c>
      <c r="I201" s="17" t="str">
        <f aca="false">IF($B201="","",INDEX(Takip!$K:$K,$B201))</f>
        <v/>
      </c>
      <c r="J201" s="14" t="str">
        <f aca="false">IF($B201="","",INDEX(Takip!$R:$R,$B201))</f>
        <v/>
      </c>
    </row>
    <row r="202" customFormat="false" ht="15" hidden="false" customHeight="false" outlineLevel="0" collapsed="false">
      <c r="A202" s="14" t="str">
        <f aca="false">IF(B202="","",195)</f>
        <v/>
      </c>
      <c r="B202" s="14" t="str">
        <f aca="false">IFERROR(MATCH(LARGE(Takip!$T$2:$T$501,195),Takip!$T$2:$T$501,0)+1,"")</f>
        <v/>
      </c>
      <c r="C202" s="14" t="str">
        <f aca="false">IF(B202="","",INDEX(Takip!$M:$M,B202))</f>
        <v/>
      </c>
      <c r="D202" s="14" t="str">
        <f aca="false">IF($B202="","",INDEX(Takip!$C:$C,$B202))</f>
        <v/>
      </c>
      <c r="E202" s="14" t="str">
        <f aca="false">IF($B202="","",INDEX(Takip!$D:$D,$B202))</f>
        <v/>
      </c>
      <c r="F202" s="14" t="str">
        <f aca="false">IF($B202="","",INDEX(Takip!$A:$A,$B202))</f>
        <v/>
      </c>
      <c r="G202" s="14" t="str">
        <f aca="false">IF($B202="","",INDEX(Takip!$B:$B,$B202))</f>
        <v/>
      </c>
      <c r="H202" s="16" t="str">
        <f aca="false">IF($B202="","",INDEX(Takip!$Q:$Q,$B202))</f>
        <v/>
      </c>
      <c r="I202" s="17" t="str">
        <f aca="false">IF($B202="","",INDEX(Takip!$K:$K,$B202))</f>
        <v/>
      </c>
      <c r="J202" s="14" t="str">
        <f aca="false">IF($B202="","",INDEX(Takip!$R:$R,$B202))</f>
        <v/>
      </c>
    </row>
    <row r="203" customFormat="false" ht="15" hidden="false" customHeight="false" outlineLevel="0" collapsed="false">
      <c r="A203" s="14" t="str">
        <f aca="false">IF(B203="","",196)</f>
        <v/>
      </c>
      <c r="B203" s="14" t="str">
        <f aca="false">IFERROR(MATCH(LARGE(Takip!$T$2:$T$501,196),Takip!$T$2:$T$501,0)+1,"")</f>
        <v/>
      </c>
      <c r="C203" s="14" t="str">
        <f aca="false">IF(B203="","",INDEX(Takip!$M:$M,B203))</f>
        <v/>
      </c>
      <c r="D203" s="14" t="str">
        <f aca="false">IF($B203="","",INDEX(Takip!$C:$C,$B203))</f>
        <v/>
      </c>
      <c r="E203" s="14" t="str">
        <f aca="false">IF($B203="","",INDEX(Takip!$D:$D,$B203))</f>
        <v/>
      </c>
      <c r="F203" s="14" t="str">
        <f aca="false">IF($B203="","",INDEX(Takip!$A:$A,$B203))</f>
        <v/>
      </c>
      <c r="G203" s="14" t="str">
        <f aca="false">IF($B203="","",INDEX(Takip!$B:$B,$B203))</f>
        <v/>
      </c>
      <c r="H203" s="16" t="str">
        <f aca="false">IF($B203="","",INDEX(Takip!$Q:$Q,$B203))</f>
        <v/>
      </c>
      <c r="I203" s="17" t="str">
        <f aca="false">IF($B203="","",INDEX(Takip!$K:$K,$B203))</f>
        <v/>
      </c>
      <c r="J203" s="14" t="str">
        <f aca="false">IF($B203="","",INDEX(Takip!$R:$R,$B203))</f>
        <v/>
      </c>
    </row>
    <row r="204" customFormat="false" ht="15" hidden="false" customHeight="false" outlineLevel="0" collapsed="false">
      <c r="A204" s="14" t="str">
        <f aca="false">IF(B204="","",197)</f>
        <v/>
      </c>
      <c r="B204" s="14" t="str">
        <f aca="false">IFERROR(MATCH(LARGE(Takip!$T$2:$T$501,197),Takip!$T$2:$T$501,0)+1,"")</f>
        <v/>
      </c>
      <c r="C204" s="14" t="str">
        <f aca="false">IF(B204="","",INDEX(Takip!$M:$M,B204))</f>
        <v/>
      </c>
      <c r="D204" s="14" t="str">
        <f aca="false">IF($B204="","",INDEX(Takip!$C:$C,$B204))</f>
        <v/>
      </c>
      <c r="E204" s="14" t="str">
        <f aca="false">IF($B204="","",INDEX(Takip!$D:$D,$B204))</f>
        <v/>
      </c>
      <c r="F204" s="14" t="str">
        <f aca="false">IF($B204="","",INDEX(Takip!$A:$A,$B204))</f>
        <v/>
      </c>
      <c r="G204" s="14" t="str">
        <f aca="false">IF($B204="","",INDEX(Takip!$B:$B,$B204))</f>
        <v/>
      </c>
      <c r="H204" s="16" t="str">
        <f aca="false">IF($B204="","",INDEX(Takip!$Q:$Q,$B204))</f>
        <v/>
      </c>
      <c r="I204" s="17" t="str">
        <f aca="false">IF($B204="","",INDEX(Takip!$K:$K,$B204))</f>
        <v/>
      </c>
      <c r="J204" s="14" t="str">
        <f aca="false">IF($B204="","",INDEX(Takip!$R:$R,$B204))</f>
        <v/>
      </c>
    </row>
    <row r="205" customFormat="false" ht="15" hidden="false" customHeight="false" outlineLevel="0" collapsed="false">
      <c r="A205" s="14" t="str">
        <f aca="false">IF(B205="","",198)</f>
        <v/>
      </c>
      <c r="B205" s="14" t="str">
        <f aca="false">IFERROR(MATCH(LARGE(Takip!$T$2:$T$501,198),Takip!$T$2:$T$501,0)+1,"")</f>
        <v/>
      </c>
      <c r="C205" s="14" t="str">
        <f aca="false">IF(B205="","",INDEX(Takip!$M:$M,B205))</f>
        <v/>
      </c>
      <c r="D205" s="14" t="str">
        <f aca="false">IF($B205="","",INDEX(Takip!$C:$C,$B205))</f>
        <v/>
      </c>
      <c r="E205" s="14" t="str">
        <f aca="false">IF($B205="","",INDEX(Takip!$D:$D,$B205))</f>
        <v/>
      </c>
      <c r="F205" s="14" t="str">
        <f aca="false">IF($B205="","",INDEX(Takip!$A:$A,$B205))</f>
        <v/>
      </c>
      <c r="G205" s="14" t="str">
        <f aca="false">IF($B205="","",INDEX(Takip!$B:$B,$B205))</f>
        <v/>
      </c>
      <c r="H205" s="16" t="str">
        <f aca="false">IF($B205="","",INDEX(Takip!$Q:$Q,$B205))</f>
        <v/>
      </c>
      <c r="I205" s="17" t="str">
        <f aca="false">IF($B205="","",INDEX(Takip!$K:$K,$B205))</f>
        <v/>
      </c>
      <c r="J205" s="14" t="str">
        <f aca="false">IF($B205="","",INDEX(Takip!$R:$R,$B205))</f>
        <v/>
      </c>
    </row>
    <row r="206" customFormat="false" ht="15" hidden="false" customHeight="false" outlineLevel="0" collapsed="false">
      <c r="A206" s="14" t="str">
        <f aca="false">IF(B206="","",199)</f>
        <v/>
      </c>
      <c r="B206" s="14" t="str">
        <f aca="false">IFERROR(MATCH(LARGE(Takip!$T$2:$T$501,199),Takip!$T$2:$T$501,0)+1,"")</f>
        <v/>
      </c>
      <c r="C206" s="14" t="str">
        <f aca="false">IF(B206="","",INDEX(Takip!$M:$M,B206))</f>
        <v/>
      </c>
      <c r="D206" s="14" t="str">
        <f aca="false">IF($B206="","",INDEX(Takip!$C:$C,$B206))</f>
        <v/>
      </c>
      <c r="E206" s="14" t="str">
        <f aca="false">IF($B206="","",INDEX(Takip!$D:$D,$B206))</f>
        <v/>
      </c>
      <c r="F206" s="14" t="str">
        <f aca="false">IF($B206="","",INDEX(Takip!$A:$A,$B206))</f>
        <v/>
      </c>
      <c r="G206" s="14" t="str">
        <f aca="false">IF($B206="","",INDEX(Takip!$B:$B,$B206))</f>
        <v/>
      </c>
      <c r="H206" s="16" t="str">
        <f aca="false">IF($B206="","",INDEX(Takip!$Q:$Q,$B206))</f>
        <v/>
      </c>
      <c r="I206" s="17" t="str">
        <f aca="false">IF($B206="","",INDEX(Takip!$K:$K,$B206))</f>
        <v/>
      </c>
      <c r="J206" s="14" t="str">
        <f aca="false">IF($B206="","",INDEX(Takip!$R:$R,$B206))</f>
        <v/>
      </c>
    </row>
    <row r="207" customFormat="false" ht="15" hidden="false" customHeight="false" outlineLevel="0" collapsed="false">
      <c r="A207" s="14" t="str">
        <f aca="false">IF(B207="","",200)</f>
        <v/>
      </c>
      <c r="B207" s="14" t="str">
        <f aca="false">IFERROR(MATCH(LARGE(Takip!$T$2:$T$501,200),Takip!$T$2:$T$501,0)+1,"")</f>
        <v/>
      </c>
      <c r="C207" s="14" t="str">
        <f aca="false">IF(B207="","",INDEX(Takip!$M:$M,B207))</f>
        <v/>
      </c>
      <c r="D207" s="14" t="str">
        <f aca="false">IF($B207="","",INDEX(Takip!$C:$C,$B207))</f>
        <v/>
      </c>
      <c r="E207" s="14" t="str">
        <f aca="false">IF($B207="","",INDEX(Takip!$D:$D,$B207))</f>
        <v/>
      </c>
      <c r="F207" s="14" t="str">
        <f aca="false">IF($B207="","",INDEX(Takip!$A:$A,$B207))</f>
        <v/>
      </c>
      <c r="G207" s="14" t="str">
        <f aca="false">IF($B207="","",INDEX(Takip!$B:$B,$B207))</f>
        <v/>
      </c>
      <c r="H207" s="16" t="str">
        <f aca="false">IF($B207="","",INDEX(Takip!$Q:$Q,$B207))</f>
        <v/>
      </c>
      <c r="I207" s="17" t="str">
        <f aca="false">IF($B207="","",INDEX(Takip!$K:$K,$B207))</f>
        <v/>
      </c>
      <c r="J207" s="14" t="str">
        <f aca="false">IF($B207="","",INDEX(Takip!$R:$R,$B207))</f>
        <v/>
      </c>
    </row>
  </sheetData>
  <mergeCells count="1">
    <mergeCell ref="A4:J5"/>
  </mergeCells>
  <conditionalFormatting sqref="H8:H207">
    <cfRule type="expression" priority="2" aboveAverage="0" equalAverage="0" bottom="0" percent="0" rank="0" text="" dxfId="2">
      <formula>H8="ALARM"</formula>
    </cfRule>
    <cfRule type="expression" priority="3" aboveAverage="0" equalAverage="0" bottom="0" percent="0" rank="0" text="" dxfId="1">
      <formula>H8="Planla"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8" min="15" style="0" width="10"/>
    <col collapsed="false" customWidth="true" hidden="false" outlineLevel="0" max="19" min="19" style="0" width="13"/>
    <col collapsed="false" customWidth="true" hidden="true" outlineLevel="0" max="20" min="20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14</v>
      </c>
      <c r="D1" s="5" t="s">
        <v>34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38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39</v>
      </c>
      <c r="S1" s="5" t="s">
        <v>52</v>
      </c>
      <c r="T1" s="5" t="s">
        <v>53</v>
      </c>
    </row>
    <row r="2" customFormat="false" ht="15" hidden="false" customHeight="false" outlineLevel="0" collapsed="false">
      <c r="A2" s="18" t="str">
        <f aca="false">IF(Veri_Guncel!A2="","",Veri_Guncel!A2)</f>
        <v>S10001</v>
      </c>
      <c r="B2" s="18" t="str">
        <f aca="false">IF($A2="","",Veri_Guncel!B2)</f>
        <v>Buse Yıldız</v>
      </c>
      <c r="C2" s="18" t="str">
        <f aca="false">IF($A2="","",Veri_Guncel!C2)</f>
        <v>Bölge 1</v>
      </c>
      <c r="D2" s="18" t="str">
        <f aca="false">IF($A2="","",Veri_Guncel!D2)</f>
        <v>Mağaza 1A</v>
      </c>
      <c r="E2" s="19" t="n">
        <f aca="false">IF($A2="","",Veri_Guncel!E2)</f>
        <v>45606</v>
      </c>
      <c r="F2" s="19" t="n">
        <f aca="false">IF($A2="","",Veri_Guncel!F2)</f>
        <v>37372</v>
      </c>
      <c r="G2" s="14" t="n">
        <f aca="false">IF(A2="","",IF(COUNTIF(Ayarlar!$A$15:$A$20,C2)&gt;0,1,0))</f>
        <v>1</v>
      </c>
      <c r="H2" s="14" t="n">
        <f aca="false">IF(A2="","",DATEDIF(E2,Ayarlar!$B$3,"y"))</f>
        <v>1</v>
      </c>
      <c r="I2" s="14" t="n">
        <f aca="false">IF(OR(A2="",F2=""),"",DATEDIF(F2,Ayarlar!$B$3,"y"))</f>
        <v>24</v>
      </c>
      <c r="J2" s="14" t="n">
        <f aca="false">IF(A2="","",IF(H2&lt;1,0,MAX(IF(H2&lt;5,14,IF(H2&lt;15,20,26)),IF(AND(I2&lt;&gt;"",OR(I2&lt;=18,I2&gt;=50)),20,0))))</f>
        <v>14</v>
      </c>
      <c r="K2" s="17" t="n">
        <f aca="false">IF(A2="","",EDATE(E2,12*(H2+1)))</f>
        <v>46336</v>
      </c>
      <c r="L2" s="14" t="n">
        <f aca="false">IF(A2="","",K2-Ayarlar!$B$3)</f>
        <v>57</v>
      </c>
      <c r="M2" s="18" t="n">
        <f aca="false">IF(A2="","",Veri_Guncel!H2)</f>
        <v>14</v>
      </c>
      <c r="N2" s="18" t="n">
        <f aca="false">IF(A2="","",IFERROR(INDEX(Veri_Onceki!$H:$H,MATCH(A2,Veri_Onceki!$A:$A,0)),""))</f>
        <v>17</v>
      </c>
      <c r="O2" s="14" t="n">
        <f aca="false">IF(A2="","",IF(AND(H2&gt;=1,EDATE(E2,12*H2)&gt;Ayarlar!$B$4,EDATE(E2,12*H2)&lt;=Ayarlar!$B$3),J2,0))</f>
        <v>0</v>
      </c>
      <c r="P2" s="14" t="n">
        <f aca="false">IF(OR(A2="",N2=""),"",N2+O2-M2)</f>
        <v>3</v>
      </c>
      <c r="Q2" s="16" t="str">
        <f aca="false">IF(A2="","",IF(M2&gt;=Ayarlar!$B$7,"ALARM",IF(M2&gt;=Ayarlar!$B$6,"Planla","")))</f>
        <v>Planla</v>
      </c>
      <c r="R2" s="14" t="str">
        <f aca="false">IF(A2="","",IF(AND(L2&gt;=0,L2&lt;=Ayarlar!$B$9),"Evet",""))</f>
        <v>Evet</v>
      </c>
      <c r="S2" s="16" t="str">
        <f aca="false">IF(A2="","",IF(N2="","Yeni personel",IF(P2&lt;0,"Kontrol et","")))</f>
        <v/>
      </c>
      <c r="T2" s="14" t="n">
        <f aca="false">IF(A2="","",IF(AND(G2=1,M2&gt;=Ayarlar!$B$6,OR(Ayarlar!$B$11="Tümü",C2=Ayarlar!$B$11)),M2+ROW()/100000,""))</f>
        <v>14.00002</v>
      </c>
    </row>
    <row r="3" customFormat="false" ht="15" hidden="false" customHeight="false" outlineLevel="0" collapsed="false">
      <c r="A3" s="18" t="str">
        <f aca="false">IF(Veri_Guncel!A3="","",Veri_Guncel!A3)</f>
        <v>S10002</v>
      </c>
      <c r="B3" s="18" t="str">
        <f aca="false">IF($A3="","",Veri_Guncel!B3)</f>
        <v>Elif Öztürk</v>
      </c>
      <c r="C3" s="18" t="str">
        <f aca="false">IF($A3="","",Veri_Guncel!C3)</f>
        <v>Bölge 1</v>
      </c>
      <c r="D3" s="18" t="str">
        <f aca="false">IF($A3="","",Veri_Guncel!D3)</f>
        <v>Mağaza 1A</v>
      </c>
      <c r="E3" s="19" t="n">
        <f aca="false">IF($A3="","",Veri_Guncel!E3)</f>
        <v>43101</v>
      </c>
      <c r="F3" s="19" t="n">
        <f aca="false">IF($A3="","",Veri_Guncel!F3)</f>
        <v>34986</v>
      </c>
      <c r="G3" s="14" t="n">
        <f aca="false">IF(A3="","",IF(COUNTIF(Ayarlar!$A$15:$A$20,C3)&gt;0,1,0))</f>
        <v>1</v>
      </c>
      <c r="H3" s="14" t="n">
        <f aca="false">IF(A3="","",DATEDIF(E3,Ayarlar!$B$3,"y"))</f>
        <v>8</v>
      </c>
      <c r="I3" s="14" t="n">
        <f aca="false">IF(OR(A3="",F3=""),"",DATEDIF(F3,Ayarlar!$B$3,"y"))</f>
        <v>30</v>
      </c>
      <c r="J3" s="14" t="n">
        <f aca="false">IF(A3="","",IF(H3&lt;1,0,MAX(IF(H3&lt;5,14,IF(H3&lt;15,20,26)),IF(AND(I3&lt;&gt;"",OR(I3&lt;=18,I3&gt;=50)),20,0))))</f>
        <v>20</v>
      </c>
      <c r="K3" s="17" t="n">
        <f aca="false">IF(A3="","",EDATE(E3,12*(H3+1)))</f>
        <v>46388</v>
      </c>
      <c r="L3" s="14" t="n">
        <f aca="false">IF(A3="","",K3-Ayarlar!$B$3)</f>
        <v>109</v>
      </c>
      <c r="M3" s="18" t="n">
        <f aca="false">IF(A3="","",Veri_Guncel!H3)</f>
        <v>2</v>
      </c>
      <c r="N3" s="18" t="n">
        <f aca="false">IF(A3="","",IFERROR(INDEX(Veri_Onceki!$H:$H,MATCH(A3,Veri_Onceki!$A:$A,0)),""))</f>
        <v>5</v>
      </c>
      <c r="O3" s="14" t="n">
        <f aca="false">IF(A3="","",IF(AND(H3&gt;=1,EDATE(E3,12*H3)&gt;Ayarlar!$B$4,EDATE(E3,12*H3)&lt;=Ayarlar!$B$3),J3,0))</f>
        <v>0</v>
      </c>
      <c r="P3" s="14" t="n">
        <f aca="false">IF(OR(A3="",N3=""),"",N3+O3-M3)</f>
        <v>3</v>
      </c>
      <c r="Q3" s="16" t="str">
        <f aca="false">IF(A3="","",IF(M3&gt;=Ayarlar!$B$7,"ALARM",IF(M3&gt;=Ayarlar!$B$6,"Planla","")))</f>
        <v/>
      </c>
      <c r="R3" s="14" t="str">
        <f aca="false">IF(A3="","",IF(AND(L3&gt;=0,L3&lt;=Ayarlar!$B$9),"Evet",""))</f>
        <v/>
      </c>
      <c r="S3" s="16" t="str">
        <f aca="false">IF(A3="","",IF(N3="","Yeni personel",IF(P3&lt;0,"Kontrol et","")))</f>
        <v/>
      </c>
      <c r="T3" s="14" t="str">
        <f aca="false">IF(A3="","",IF(AND(G3=1,M3&gt;=Ayarlar!$B$6,OR(Ayarlar!$B$11="Tümü",C3=Ayarlar!$B$11)),M3+ROW()/100000,""))</f>
        <v/>
      </c>
    </row>
    <row r="4" customFormat="false" ht="15" hidden="false" customHeight="false" outlineLevel="0" collapsed="false">
      <c r="A4" s="18" t="str">
        <f aca="false">IF(Veri_Guncel!A4="","",Veri_Guncel!A4)</f>
        <v>S10003</v>
      </c>
      <c r="B4" s="18" t="str">
        <f aca="false">IF($A4="","",Veri_Guncel!B4)</f>
        <v>Serkan Özdemir</v>
      </c>
      <c r="C4" s="18" t="str">
        <f aca="false">IF($A4="","",Veri_Guncel!C4)</f>
        <v>Bölge 1</v>
      </c>
      <c r="D4" s="18" t="str">
        <f aca="false">IF($A4="","",Veri_Guncel!D4)</f>
        <v>Mağaza 1A</v>
      </c>
      <c r="E4" s="19" t="n">
        <f aca="false">IF($A4="","",Veri_Guncel!E4)</f>
        <v>43436</v>
      </c>
      <c r="F4" s="19" t="n">
        <f aca="false">IF($A4="","",Veri_Guncel!F4)</f>
        <v>36519</v>
      </c>
      <c r="G4" s="14" t="n">
        <f aca="false">IF(A4="","",IF(COUNTIF(Ayarlar!$A$15:$A$20,C4)&gt;0,1,0))</f>
        <v>1</v>
      </c>
      <c r="H4" s="14" t="n">
        <f aca="false">IF(A4="","",DATEDIF(E4,Ayarlar!$B$3,"y"))</f>
        <v>7</v>
      </c>
      <c r="I4" s="14" t="n">
        <f aca="false">IF(OR(A4="",F4=""),"",DATEDIF(F4,Ayarlar!$B$3,"y"))</f>
        <v>26</v>
      </c>
      <c r="J4" s="14" t="n">
        <f aca="false">IF(A4="","",IF(H4&lt;1,0,MAX(IF(H4&lt;5,14,IF(H4&lt;15,20,26)),IF(AND(I4&lt;&gt;"",OR(I4&lt;=18,I4&gt;=50)),20,0))))</f>
        <v>20</v>
      </c>
      <c r="K4" s="17" t="n">
        <f aca="false">IF(A4="","",EDATE(E4,12*(H4+1)))</f>
        <v>46358</v>
      </c>
      <c r="L4" s="14" t="n">
        <f aca="false">IF(A4="","",K4-Ayarlar!$B$3)</f>
        <v>79</v>
      </c>
      <c r="M4" s="18" t="n">
        <f aca="false">IF(A4="","",Veri_Guncel!H4)</f>
        <v>12</v>
      </c>
      <c r="N4" s="18" t="n">
        <f aca="false">IF(A4="","",IFERROR(INDEX(Veri_Onceki!$H:$H,MATCH(A4,Veri_Onceki!$A:$A,0)),""))</f>
        <v>19</v>
      </c>
      <c r="O4" s="14" t="n">
        <f aca="false">IF(A4="","",IF(AND(H4&gt;=1,EDATE(E4,12*H4)&gt;Ayarlar!$B$4,EDATE(E4,12*H4)&lt;=Ayarlar!$B$3),J4,0))</f>
        <v>0</v>
      </c>
      <c r="P4" s="14" t="n">
        <f aca="false">IF(OR(A4="",N4=""),"",N4+O4-M4)</f>
        <v>7</v>
      </c>
      <c r="Q4" s="16" t="str">
        <f aca="false">IF(A4="","",IF(M4&gt;=Ayarlar!$B$7,"ALARM",IF(M4&gt;=Ayarlar!$B$6,"Planla","")))</f>
        <v/>
      </c>
      <c r="R4" s="14" t="str">
        <f aca="false">IF(A4="","",IF(AND(L4&gt;=0,L4&lt;=Ayarlar!$B$9),"Evet",""))</f>
        <v/>
      </c>
      <c r="S4" s="16" t="str">
        <f aca="false">IF(A4="","",IF(N4="","Yeni personel",IF(P4&lt;0,"Kontrol et","")))</f>
        <v/>
      </c>
      <c r="T4" s="14" t="str">
        <f aca="false">IF(A4="","",IF(AND(G4=1,M4&gt;=Ayarlar!$B$6,OR(Ayarlar!$B$11="Tümü",C4=Ayarlar!$B$11)),M4+ROW()/100000,""))</f>
        <v/>
      </c>
    </row>
    <row r="5" customFormat="false" ht="15" hidden="false" customHeight="false" outlineLevel="0" collapsed="false">
      <c r="A5" s="18" t="str">
        <f aca="false">IF(Veri_Guncel!A5="","",Veri_Guncel!A5)</f>
        <v>S10004</v>
      </c>
      <c r="B5" s="18" t="str">
        <f aca="false">IF($A5="","",Veri_Guncel!B5)</f>
        <v>Onur Yılmaz</v>
      </c>
      <c r="C5" s="18" t="str">
        <f aca="false">IF($A5="","",Veri_Guncel!C5)</f>
        <v>Bölge 1</v>
      </c>
      <c r="D5" s="18" t="str">
        <f aca="false">IF($A5="","",Veri_Guncel!D5)</f>
        <v>Mağaza 1A</v>
      </c>
      <c r="E5" s="19" t="n">
        <f aca="false">IF($A5="","",Veri_Guncel!E5)</f>
        <v>41078</v>
      </c>
      <c r="F5" s="19" t="n">
        <f aca="false">IF($A5="","",Veri_Guncel!F5)</f>
        <v>37959</v>
      </c>
      <c r="G5" s="14" t="n">
        <f aca="false">IF(A5="","",IF(COUNTIF(Ayarlar!$A$15:$A$20,C5)&gt;0,1,0))</f>
        <v>1</v>
      </c>
      <c r="H5" s="14" t="n">
        <f aca="false">IF(A5="","",DATEDIF(E5,Ayarlar!$B$3,"y"))</f>
        <v>14</v>
      </c>
      <c r="I5" s="14" t="n">
        <f aca="false">IF(OR(A5="",F5=""),"",DATEDIF(F5,Ayarlar!$B$3,"y"))</f>
        <v>22</v>
      </c>
      <c r="J5" s="14" t="n">
        <f aca="false">IF(A5="","",IF(H5&lt;1,0,MAX(IF(H5&lt;5,14,IF(H5&lt;15,20,26)),IF(AND(I5&lt;&gt;"",OR(I5&lt;=18,I5&gt;=50)),20,0))))</f>
        <v>20</v>
      </c>
      <c r="K5" s="17" t="n">
        <f aca="false">IF(A5="","",EDATE(E5,12*(H5+1)))</f>
        <v>46556</v>
      </c>
      <c r="L5" s="14" t="n">
        <f aca="false">IF(A5="","",K5-Ayarlar!$B$3)</f>
        <v>277</v>
      </c>
      <c r="M5" s="18" t="n">
        <f aca="false">IF(A5="","",Veri_Guncel!H5)</f>
        <v>19</v>
      </c>
      <c r="N5" s="18" t="n">
        <f aca="false">IF(A5="","",IFERROR(INDEX(Veri_Onceki!$H:$H,MATCH(A5,Veri_Onceki!$A:$A,0)),""))</f>
        <v>21</v>
      </c>
      <c r="O5" s="14" t="n">
        <f aca="false">IF(A5="","",IF(AND(H5&gt;=1,EDATE(E5,12*H5)&gt;Ayarlar!$B$4,EDATE(E5,12*H5)&lt;=Ayarlar!$B$3),J5,0))</f>
        <v>0</v>
      </c>
      <c r="P5" s="14" t="n">
        <f aca="false">IF(OR(A5="",N5=""),"",N5+O5-M5)</f>
        <v>2</v>
      </c>
      <c r="Q5" s="16" t="str">
        <f aca="false">IF(A5="","",IF(M5&gt;=Ayarlar!$B$7,"ALARM",IF(M5&gt;=Ayarlar!$B$6,"Planla","")))</f>
        <v>Planla</v>
      </c>
      <c r="R5" s="14" t="str">
        <f aca="false">IF(A5="","",IF(AND(L5&gt;=0,L5&lt;=Ayarlar!$B$9),"Evet",""))</f>
        <v/>
      </c>
      <c r="S5" s="16" t="str">
        <f aca="false">IF(A5="","",IF(N5="","Yeni personel",IF(P5&lt;0,"Kontrol et","")))</f>
        <v/>
      </c>
      <c r="T5" s="14" t="n">
        <f aca="false">IF(A5="","",IF(AND(G5=1,M5&gt;=Ayarlar!$B$6,OR(Ayarlar!$B$11="Tümü",C5=Ayarlar!$B$11)),M5+ROW()/100000,""))</f>
        <v>19.00005</v>
      </c>
    </row>
    <row r="6" customFormat="false" ht="15" hidden="false" customHeight="false" outlineLevel="0" collapsed="false">
      <c r="A6" s="18" t="str">
        <f aca="false">IF(Veri_Guncel!A6="","",Veri_Guncel!A6)</f>
        <v>S10005</v>
      </c>
      <c r="B6" s="18" t="str">
        <f aca="false">IF($A6="","",Veri_Guncel!B6)</f>
        <v>İrem Yıldız</v>
      </c>
      <c r="C6" s="18" t="str">
        <f aca="false">IF($A6="","",Veri_Guncel!C6)</f>
        <v>Bölge 1</v>
      </c>
      <c r="D6" s="18" t="str">
        <f aca="false">IF($A6="","",Veri_Guncel!D6)</f>
        <v>Mağaza 1A</v>
      </c>
      <c r="E6" s="19" t="n">
        <f aca="false">IF($A6="","",Veri_Guncel!E6)</f>
        <v>42365</v>
      </c>
      <c r="F6" s="19" t="n">
        <f aca="false">IF($A6="","",Veri_Guncel!F6)</f>
        <v>28182</v>
      </c>
      <c r="G6" s="14" t="n">
        <f aca="false">IF(A6="","",IF(COUNTIF(Ayarlar!$A$15:$A$20,C6)&gt;0,1,0))</f>
        <v>1</v>
      </c>
      <c r="H6" s="14" t="n">
        <f aca="false">IF(A6="","",DATEDIF(E6,Ayarlar!$B$3,"y"))</f>
        <v>10</v>
      </c>
      <c r="I6" s="14" t="n">
        <f aca="false">IF(OR(A6="",F6=""),"",DATEDIF(F6,Ayarlar!$B$3,"y"))</f>
        <v>49</v>
      </c>
      <c r="J6" s="14" t="n">
        <f aca="false">IF(A6="","",IF(H6&lt;1,0,MAX(IF(H6&lt;5,14,IF(H6&lt;15,20,26)),IF(AND(I6&lt;&gt;"",OR(I6&lt;=18,I6&gt;=50)),20,0))))</f>
        <v>20</v>
      </c>
      <c r="K6" s="17" t="n">
        <f aca="false">IF(A6="","",EDATE(E6,12*(H6+1)))</f>
        <v>46383</v>
      </c>
      <c r="L6" s="14" t="n">
        <f aca="false">IF(A6="","",K6-Ayarlar!$B$3)</f>
        <v>104</v>
      </c>
      <c r="M6" s="18" t="n">
        <f aca="false">IF(A6="","",Veri_Guncel!H6)</f>
        <v>0</v>
      </c>
      <c r="N6" s="18" t="n">
        <f aca="false">IF(A6="","",IFERROR(INDEX(Veri_Onceki!$H:$H,MATCH(A6,Veri_Onceki!$A:$A,0)),""))</f>
        <v>7</v>
      </c>
      <c r="O6" s="14" t="n">
        <f aca="false">IF(A6="","",IF(AND(H6&gt;=1,EDATE(E6,12*H6)&gt;Ayarlar!$B$4,EDATE(E6,12*H6)&lt;=Ayarlar!$B$3),J6,0))</f>
        <v>0</v>
      </c>
      <c r="P6" s="14" t="n">
        <f aca="false">IF(OR(A6="",N6=""),"",N6+O6-M6)</f>
        <v>7</v>
      </c>
      <c r="Q6" s="16" t="str">
        <f aca="false">IF(A6="","",IF(M6&gt;=Ayarlar!$B$7,"ALARM",IF(M6&gt;=Ayarlar!$B$6,"Planla","")))</f>
        <v/>
      </c>
      <c r="R6" s="14" t="str">
        <f aca="false">IF(A6="","",IF(AND(L6&gt;=0,L6&lt;=Ayarlar!$B$9),"Evet",""))</f>
        <v/>
      </c>
      <c r="S6" s="16" t="str">
        <f aca="false">IF(A6="","",IF(N6="","Yeni personel",IF(P6&lt;0,"Kontrol et","")))</f>
        <v/>
      </c>
      <c r="T6" s="14" t="str">
        <f aca="false">IF(A6="","",IF(AND(G6=1,M6&gt;=Ayarlar!$B$6,OR(Ayarlar!$B$11="Tümü",C6=Ayarlar!$B$11)),M6+ROW()/100000,""))</f>
        <v/>
      </c>
    </row>
    <row r="7" customFormat="false" ht="15" hidden="false" customHeight="false" outlineLevel="0" collapsed="false">
      <c r="A7" s="18" t="str">
        <f aca="false">IF(Veri_Guncel!A7="","",Veri_Guncel!A7)</f>
        <v>S10006</v>
      </c>
      <c r="B7" s="18" t="str">
        <f aca="false">IF($A7="","",Veri_Guncel!B7)</f>
        <v>Cem Öztürk</v>
      </c>
      <c r="C7" s="18" t="str">
        <f aca="false">IF($A7="","",Veri_Guncel!C7)</f>
        <v>Bölge 1</v>
      </c>
      <c r="D7" s="18" t="str">
        <f aca="false">IF($A7="","",Veri_Guncel!D7)</f>
        <v>Mağaza 1A</v>
      </c>
      <c r="E7" s="19" t="n">
        <f aca="false">IF($A7="","",Veri_Guncel!E7)</f>
        <v>44393</v>
      </c>
      <c r="F7" s="19" t="n">
        <f aca="false">IF($A7="","",Veri_Guncel!F7)</f>
        <v>29667</v>
      </c>
      <c r="G7" s="14" t="n">
        <f aca="false">IF(A7="","",IF(COUNTIF(Ayarlar!$A$15:$A$20,C7)&gt;0,1,0))</f>
        <v>1</v>
      </c>
      <c r="H7" s="14" t="n">
        <f aca="false">IF(A7="","",DATEDIF(E7,Ayarlar!$B$3,"y"))</f>
        <v>5</v>
      </c>
      <c r="I7" s="14" t="n">
        <f aca="false">IF(OR(A7="",F7=""),"",DATEDIF(F7,Ayarlar!$B$3,"y"))</f>
        <v>45</v>
      </c>
      <c r="J7" s="14" t="n">
        <f aca="false">IF(A7="","",IF(H7&lt;1,0,MAX(IF(H7&lt;5,14,IF(H7&lt;15,20,26)),IF(AND(I7&lt;&gt;"",OR(I7&lt;=18,I7&gt;=50)),20,0))))</f>
        <v>20</v>
      </c>
      <c r="K7" s="17" t="n">
        <f aca="false">IF(A7="","",EDATE(E7,12*(H7+1)))</f>
        <v>46584</v>
      </c>
      <c r="L7" s="14" t="n">
        <f aca="false">IF(A7="","",K7-Ayarlar!$B$3)</f>
        <v>305</v>
      </c>
      <c r="M7" s="18" t="n">
        <f aca="false">IF(A7="","",Veri_Guncel!H7)</f>
        <v>0</v>
      </c>
      <c r="N7" s="18" t="n">
        <f aca="false">IF(A7="","",IFERROR(INDEX(Veri_Onceki!$H:$H,MATCH(A7,Veri_Onceki!$A:$A,0)),""))</f>
        <v>0</v>
      </c>
      <c r="O7" s="14" t="n">
        <f aca="false">IF(A7="","",IF(AND(H7&gt;=1,EDATE(E7,12*H7)&gt;Ayarlar!$B$4,EDATE(E7,12*H7)&lt;=Ayarlar!$B$3),J7,0))</f>
        <v>0</v>
      </c>
      <c r="P7" s="14" t="n">
        <f aca="false">IF(OR(A7="",N7=""),"",N7+O7-M7)</f>
        <v>0</v>
      </c>
      <c r="Q7" s="16" t="str">
        <f aca="false">IF(A7="","",IF(M7&gt;=Ayarlar!$B$7,"ALARM",IF(M7&gt;=Ayarlar!$B$6,"Planla","")))</f>
        <v/>
      </c>
      <c r="R7" s="14" t="str">
        <f aca="false">IF(A7="","",IF(AND(L7&gt;=0,L7&lt;=Ayarlar!$B$9),"Evet",""))</f>
        <v/>
      </c>
      <c r="S7" s="16" t="str">
        <f aca="false">IF(A7="","",IF(N7="","Yeni personel",IF(P7&lt;0,"Kontrol et","")))</f>
        <v/>
      </c>
      <c r="T7" s="14" t="str">
        <f aca="false">IF(A7="","",IF(AND(G7=1,M7&gt;=Ayarlar!$B$6,OR(Ayarlar!$B$11="Tümü",C7=Ayarlar!$B$11)),M7+ROW()/100000,""))</f>
        <v/>
      </c>
    </row>
    <row r="8" customFormat="false" ht="15" hidden="false" customHeight="false" outlineLevel="0" collapsed="false">
      <c r="A8" s="18" t="str">
        <f aca="false">IF(Veri_Guncel!A8="","",Veri_Guncel!A8)</f>
        <v>S10007</v>
      </c>
      <c r="B8" s="18" t="str">
        <f aca="false">IF($A8="","",Veri_Guncel!B8)</f>
        <v>Tolga Koç</v>
      </c>
      <c r="C8" s="18" t="str">
        <f aca="false">IF($A8="","",Veri_Guncel!C8)</f>
        <v>Bölge 1</v>
      </c>
      <c r="D8" s="18" t="str">
        <f aca="false">IF($A8="","",Veri_Guncel!D8)</f>
        <v>Mağaza 1A</v>
      </c>
      <c r="E8" s="19" t="n">
        <f aca="false">IF($A8="","",Veri_Guncel!E8)</f>
        <v>41371</v>
      </c>
      <c r="F8" s="19" t="n">
        <f aca="false">IF($A8="","",Veri_Guncel!F8)</f>
        <v>27808</v>
      </c>
      <c r="G8" s="14" t="n">
        <f aca="false">IF(A8="","",IF(COUNTIF(Ayarlar!$A$15:$A$20,C8)&gt;0,1,0))</f>
        <v>1</v>
      </c>
      <c r="H8" s="14" t="n">
        <f aca="false">IF(A8="","",DATEDIF(E8,Ayarlar!$B$3,"y"))</f>
        <v>13</v>
      </c>
      <c r="I8" s="14" t="n">
        <f aca="false">IF(OR(A8="",F8=""),"",DATEDIF(F8,Ayarlar!$B$3,"y"))</f>
        <v>50</v>
      </c>
      <c r="J8" s="14" t="n">
        <f aca="false">IF(A8="","",IF(H8&lt;1,0,MAX(IF(H8&lt;5,14,IF(H8&lt;15,20,26)),IF(AND(I8&lt;&gt;"",OR(I8&lt;=18,I8&gt;=50)),20,0))))</f>
        <v>20</v>
      </c>
      <c r="K8" s="17" t="n">
        <f aca="false">IF(A8="","",EDATE(E8,12*(H8+1)))</f>
        <v>46484</v>
      </c>
      <c r="L8" s="14" t="n">
        <f aca="false">IF(A8="","",K8-Ayarlar!$B$3)</f>
        <v>205</v>
      </c>
      <c r="M8" s="18" t="n">
        <f aca="false">IF(A8="","",Veri_Guncel!H8)</f>
        <v>14</v>
      </c>
      <c r="N8" s="18" t="n">
        <f aca="false">IF(A8="","",IFERROR(INDEX(Veri_Onceki!$H:$H,MATCH(A8,Veri_Onceki!$A:$A,0)),""))</f>
        <v>16</v>
      </c>
      <c r="O8" s="14" t="n">
        <f aca="false">IF(A8="","",IF(AND(H8&gt;=1,EDATE(E8,12*H8)&gt;Ayarlar!$B$4,EDATE(E8,12*H8)&lt;=Ayarlar!$B$3),J8,0))</f>
        <v>0</v>
      </c>
      <c r="P8" s="14" t="n">
        <f aca="false">IF(OR(A8="",N8=""),"",N8+O8-M8)</f>
        <v>2</v>
      </c>
      <c r="Q8" s="16" t="str">
        <f aca="false">IF(A8="","",IF(M8&gt;=Ayarlar!$B$7,"ALARM",IF(M8&gt;=Ayarlar!$B$6,"Planla","")))</f>
        <v>Planla</v>
      </c>
      <c r="R8" s="14" t="str">
        <f aca="false">IF(A8="","",IF(AND(L8&gt;=0,L8&lt;=Ayarlar!$B$9),"Evet",""))</f>
        <v/>
      </c>
      <c r="S8" s="16" t="str">
        <f aca="false">IF(A8="","",IF(N8="","Yeni personel",IF(P8&lt;0,"Kontrol et","")))</f>
        <v/>
      </c>
      <c r="T8" s="14" t="n">
        <f aca="false">IF(A8="","",IF(AND(G8=1,M8&gt;=Ayarlar!$B$6,OR(Ayarlar!$B$11="Tümü",C8=Ayarlar!$B$11)),M8+ROW()/100000,""))</f>
        <v>14.00008</v>
      </c>
    </row>
    <row r="9" customFormat="false" ht="15" hidden="false" customHeight="false" outlineLevel="0" collapsed="false">
      <c r="A9" s="18" t="str">
        <f aca="false">IF(Veri_Guncel!A9="","",Veri_Guncel!A9)</f>
        <v>S10008</v>
      </c>
      <c r="B9" s="18" t="str">
        <f aca="false">IF($A9="","",Veri_Guncel!B9)</f>
        <v>İrem Koç</v>
      </c>
      <c r="C9" s="18" t="str">
        <f aca="false">IF($A9="","",Veri_Guncel!C9)</f>
        <v>Bölge 1</v>
      </c>
      <c r="D9" s="18" t="str">
        <f aca="false">IF($A9="","",Veri_Guncel!D9)</f>
        <v>Mağaza 1A</v>
      </c>
      <c r="E9" s="19" t="n">
        <f aca="false">IF($A9="","",Veri_Guncel!E9)</f>
        <v>42891</v>
      </c>
      <c r="F9" s="19" t="n">
        <f aca="false">IF($A9="","",Veri_Guncel!F9)</f>
        <v>38908</v>
      </c>
      <c r="G9" s="14" t="n">
        <f aca="false">IF(A9="","",IF(COUNTIF(Ayarlar!$A$15:$A$20,C9)&gt;0,1,0))</f>
        <v>1</v>
      </c>
      <c r="H9" s="14" t="n">
        <f aca="false">IF(A9="","",DATEDIF(E9,Ayarlar!$B$3,"y"))</f>
        <v>9</v>
      </c>
      <c r="I9" s="14" t="n">
        <f aca="false">IF(OR(A9="",F9=""),"",DATEDIF(F9,Ayarlar!$B$3,"y"))</f>
        <v>20</v>
      </c>
      <c r="J9" s="14" t="n">
        <f aca="false">IF(A9="","",IF(H9&lt;1,0,MAX(IF(H9&lt;5,14,IF(H9&lt;15,20,26)),IF(AND(I9&lt;&gt;"",OR(I9&lt;=18,I9&gt;=50)),20,0))))</f>
        <v>20</v>
      </c>
      <c r="K9" s="17" t="n">
        <f aca="false">IF(A9="","",EDATE(E9,12*(H9+1)))</f>
        <v>46543</v>
      </c>
      <c r="L9" s="14" t="n">
        <f aca="false">IF(A9="","",K9-Ayarlar!$B$3)</f>
        <v>264</v>
      </c>
      <c r="M9" s="18" t="n">
        <f aca="false">IF(A9="","",Veri_Guncel!H9)</f>
        <v>10</v>
      </c>
      <c r="N9" s="18" t="n">
        <f aca="false">IF(A9="","",IFERROR(INDEX(Veri_Onceki!$H:$H,MATCH(A9,Veri_Onceki!$A:$A,0)),""))</f>
        <v>17</v>
      </c>
      <c r="O9" s="14" t="n">
        <f aca="false">IF(A9="","",IF(AND(H9&gt;=1,EDATE(E9,12*H9)&gt;Ayarlar!$B$4,EDATE(E9,12*H9)&lt;=Ayarlar!$B$3),J9,0))</f>
        <v>0</v>
      </c>
      <c r="P9" s="14" t="n">
        <f aca="false">IF(OR(A9="",N9=""),"",N9+O9-M9)</f>
        <v>7</v>
      </c>
      <c r="Q9" s="16" t="str">
        <f aca="false">IF(A9="","",IF(M9&gt;=Ayarlar!$B$7,"ALARM",IF(M9&gt;=Ayarlar!$B$6,"Planla","")))</f>
        <v/>
      </c>
      <c r="R9" s="14" t="str">
        <f aca="false">IF(A9="","",IF(AND(L9&gt;=0,L9&lt;=Ayarlar!$B$9),"Evet",""))</f>
        <v/>
      </c>
      <c r="S9" s="16" t="str">
        <f aca="false">IF(A9="","",IF(N9="","Yeni personel",IF(P9&lt;0,"Kontrol et","")))</f>
        <v/>
      </c>
      <c r="T9" s="14" t="str">
        <f aca="false">IF(A9="","",IF(AND(G9=1,M9&gt;=Ayarlar!$B$6,OR(Ayarlar!$B$11="Tümü",C9=Ayarlar!$B$11)),M9+ROW()/100000,""))</f>
        <v/>
      </c>
    </row>
    <row r="10" customFormat="false" ht="15" hidden="false" customHeight="false" outlineLevel="0" collapsed="false">
      <c r="A10" s="18" t="str">
        <f aca="false">IF(Veri_Guncel!A10="","",Veri_Guncel!A10)</f>
        <v>S10009</v>
      </c>
      <c r="B10" s="18" t="str">
        <f aca="false">IF($A10="","",Veri_Guncel!B10)</f>
        <v>Pınar Polat</v>
      </c>
      <c r="C10" s="18" t="str">
        <f aca="false">IF($A10="","",Veri_Guncel!C10)</f>
        <v>Bölge 1</v>
      </c>
      <c r="D10" s="18" t="str">
        <f aca="false">IF($A10="","",Veri_Guncel!D10)</f>
        <v>Mağaza 1B</v>
      </c>
      <c r="E10" s="19" t="n">
        <f aca="false">IF($A10="","",Veri_Guncel!E10)</f>
        <v>46212</v>
      </c>
      <c r="F10" s="19" t="n">
        <f aca="false">IF($A10="","",Veri_Guncel!F10)</f>
        <v>26701</v>
      </c>
      <c r="G10" s="14" t="n">
        <f aca="false">IF(A10="","",IF(COUNTIF(Ayarlar!$A$15:$A$20,C10)&gt;0,1,0))</f>
        <v>1</v>
      </c>
      <c r="H10" s="14" t="n">
        <f aca="false">IF(A10="","",DATEDIF(E10,Ayarlar!$B$3,"y"))</f>
        <v>0</v>
      </c>
      <c r="I10" s="14" t="n">
        <f aca="false">IF(OR(A10="",F10=""),"",DATEDIF(F10,Ayarlar!$B$3,"y"))</f>
        <v>53</v>
      </c>
      <c r="J10" s="14" t="n">
        <f aca="false">IF(A10="","",IF(H10&lt;1,0,MAX(IF(H10&lt;5,14,IF(H10&lt;15,20,26)),IF(AND(I10&lt;&gt;"",OR(I10&lt;=18,I10&gt;=50)),20,0))))</f>
        <v>0</v>
      </c>
      <c r="K10" s="17" t="n">
        <f aca="false">IF(A10="","",EDATE(E10,12*(H10+1)))</f>
        <v>46577</v>
      </c>
      <c r="L10" s="14" t="n">
        <f aca="false">IF(A10="","",K10-Ayarlar!$B$3)</f>
        <v>298</v>
      </c>
      <c r="M10" s="18" t="n">
        <f aca="false">IF(A10="","",Veri_Guncel!H10)</f>
        <v>0</v>
      </c>
      <c r="N10" s="18" t="n">
        <f aca="false">IF(A10="","",IFERROR(INDEX(Veri_Onceki!$H:$H,MATCH(A10,Veri_Onceki!$A:$A,0)),""))</f>
        <v>0</v>
      </c>
      <c r="O10" s="14" t="n">
        <f aca="false">IF(A10="","",IF(AND(H10&gt;=1,EDATE(E10,12*H10)&gt;Ayarlar!$B$4,EDATE(E10,12*H10)&lt;=Ayarlar!$B$3),J10,0))</f>
        <v>0</v>
      </c>
      <c r="P10" s="14" t="n">
        <f aca="false">IF(OR(A10="",N10=""),"",N10+O10-M10)</f>
        <v>0</v>
      </c>
      <c r="Q10" s="16" t="str">
        <f aca="false">IF(A10="","",IF(M10&gt;=Ayarlar!$B$7,"ALARM",IF(M10&gt;=Ayarlar!$B$6,"Planla","")))</f>
        <v/>
      </c>
      <c r="R10" s="14" t="str">
        <f aca="false">IF(A10="","",IF(AND(L10&gt;=0,L10&lt;=Ayarlar!$B$9),"Evet",""))</f>
        <v/>
      </c>
      <c r="S10" s="16" t="str">
        <f aca="false">IF(A10="","",IF(N10="","Yeni personel",IF(P10&lt;0,"Kontrol et","")))</f>
        <v/>
      </c>
      <c r="T10" s="14" t="str">
        <f aca="false">IF(A10="","",IF(AND(G10=1,M10&gt;=Ayarlar!$B$6,OR(Ayarlar!$B$11="Tümü",C10=Ayarlar!$B$11)),M10+ROW()/100000,""))</f>
        <v/>
      </c>
    </row>
    <row r="11" customFormat="false" ht="15" hidden="false" customHeight="false" outlineLevel="0" collapsed="false">
      <c r="A11" s="18" t="str">
        <f aca="false">IF(Veri_Guncel!A11="","",Veri_Guncel!A11)</f>
        <v>S10010</v>
      </c>
      <c r="B11" s="18" t="str">
        <f aca="false">IF($A11="","",Veri_Guncel!B11)</f>
        <v>Burak Kılıç</v>
      </c>
      <c r="C11" s="18" t="str">
        <f aca="false">IF($A11="","",Veri_Guncel!C11)</f>
        <v>Bölge 1</v>
      </c>
      <c r="D11" s="18" t="str">
        <f aca="false">IF($A11="","",Veri_Guncel!D11)</f>
        <v>Mağaza 1B</v>
      </c>
      <c r="E11" s="19" t="n">
        <f aca="false">IF($A11="","",Veri_Guncel!E11)</f>
        <v>40758</v>
      </c>
      <c r="F11" s="19" t="n">
        <f aca="false">IF($A11="","",Veri_Guncel!F11)</f>
        <v>39379</v>
      </c>
      <c r="G11" s="14" t="n">
        <f aca="false">IF(A11="","",IF(COUNTIF(Ayarlar!$A$15:$A$20,C11)&gt;0,1,0))</f>
        <v>1</v>
      </c>
      <c r="H11" s="14" t="n">
        <f aca="false">IF(A11="","",DATEDIF(E11,Ayarlar!$B$3,"y"))</f>
        <v>15</v>
      </c>
      <c r="I11" s="14" t="n">
        <f aca="false">IF(OR(A11="",F11=""),"",DATEDIF(F11,Ayarlar!$B$3,"y"))</f>
        <v>18</v>
      </c>
      <c r="J11" s="14" t="n">
        <f aca="false">IF(A11="","",IF(H11&lt;1,0,MAX(IF(H11&lt;5,14,IF(H11&lt;15,20,26)),IF(AND(I11&lt;&gt;"",OR(I11&lt;=18,I11&gt;=50)),20,0))))</f>
        <v>26</v>
      </c>
      <c r="K11" s="17" t="n">
        <f aca="false">IF(A11="","",EDATE(E11,12*(H11+1)))</f>
        <v>46602</v>
      </c>
      <c r="L11" s="14" t="n">
        <f aca="false">IF(A11="","",K11-Ayarlar!$B$3)</f>
        <v>323</v>
      </c>
      <c r="M11" s="18" t="n">
        <f aca="false">IF(A11="","",Veri_Guncel!H11)</f>
        <v>15</v>
      </c>
      <c r="N11" s="18" t="n">
        <f aca="false">IF(A11="","",IFERROR(INDEX(Veri_Onceki!$H:$H,MATCH(A11,Veri_Onceki!$A:$A,0)),""))</f>
        <v>0</v>
      </c>
      <c r="O11" s="14" t="n">
        <f aca="false">IF(A11="","",IF(AND(H11&gt;=1,EDATE(E11,12*H11)&gt;Ayarlar!$B$4,EDATE(E11,12*H11)&lt;=Ayarlar!$B$3),J11,0))</f>
        <v>26</v>
      </c>
      <c r="P11" s="14" t="n">
        <f aca="false">IF(OR(A11="",N11=""),"",N11+O11-M11)</f>
        <v>11</v>
      </c>
      <c r="Q11" s="16" t="str">
        <f aca="false">IF(A11="","",IF(M11&gt;=Ayarlar!$B$7,"ALARM",IF(M11&gt;=Ayarlar!$B$6,"Planla","")))</f>
        <v>Planla</v>
      </c>
      <c r="R11" s="14" t="str">
        <f aca="false">IF(A11="","",IF(AND(L11&gt;=0,L11&lt;=Ayarlar!$B$9),"Evet",""))</f>
        <v/>
      </c>
      <c r="S11" s="16" t="str">
        <f aca="false">IF(A11="","",IF(N11="","Yeni personel",IF(P11&lt;0,"Kontrol et","")))</f>
        <v/>
      </c>
      <c r="T11" s="14" t="n">
        <f aca="false">IF(A11="","",IF(AND(G11=1,M11&gt;=Ayarlar!$B$6,OR(Ayarlar!$B$11="Tümü",C11=Ayarlar!$B$11)),M11+ROW()/100000,""))</f>
        <v>15.00011</v>
      </c>
    </row>
    <row r="12" customFormat="false" ht="15" hidden="false" customHeight="false" outlineLevel="0" collapsed="false">
      <c r="A12" s="18" t="str">
        <f aca="false">IF(Veri_Guncel!A12="","",Veri_Guncel!A12)</f>
        <v>S10011</v>
      </c>
      <c r="B12" s="18" t="str">
        <f aca="false">IF($A12="","",Veri_Guncel!B12)</f>
        <v>Ece Aslan</v>
      </c>
      <c r="C12" s="18" t="str">
        <f aca="false">IF($A12="","",Veri_Guncel!C12)</f>
        <v>Bölge 1</v>
      </c>
      <c r="D12" s="18" t="str">
        <f aca="false">IF($A12="","",Veri_Guncel!D12)</f>
        <v>Mağaza 1B</v>
      </c>
      <c r="E12" s="19" t="n">
        <f aca="false">IF($A12="","",Veri_Guncel!E12)</f>
        <v>41720</v>
      </c>
      <c r="F12" s="19" t="n">
        <f aca="false">IF($A12="","",Veri_Guncel!F12)</f>
        <v>30267</v>
      </c>
      <c r="G12" s="14" t="n">
        <f aca="false">IF(A12="","",IF(COUNTIF(Ayarlar!$A$15:$A$20,C12)&gt;0,1,0))</f>
        <v>1</v>
      </c>
      <c r="H12" s="14" t="n">
        <f aca="false">IF(A12="","",DATEDIF(E12,Ayarlar!$B$3,"y"))</f>
        <v>12</v>
      </c>
      <c r="I12" s="14" t="n">
        <f aca="false">IF(OR(A12="",F12=""),"",DATEDIF(F12,Ayarlar!$B$3,"y"))</f>
        <v>43</v>
      </c>
      <c r="J12" s="14" t="n">
        <f aca="false">IF(A12="","",IF(H12&lt;1,0,MAX(IF(H12&lt;5,14,IF(H12&lt;15,20,26)),IF(AND(I12&lt;&gt;"",OR(I12&lt;=18,I12&gt;=50)),20,0))))</f>
        <v>20</v>
      </c>
      <c r="K12" s="17" t="n">
        <f aca="false">IF(A12="","",EDATE(E12,12*(H12+1)))</f>
        <v>46468</v>
      </c>
      <c r="L12" s="14" t="n">
        <f aca="false">IF(A12="","",K12-Ayarlar!$B$3)</f>
        <v>189</v>
      </c>
      <c r="M12" s="18" t="n">
        <f aca="false">IF(A12="","",Veri_Guncel!H12)</f>
        <v>28</v>
      </c>
      <c r="N12" s="18" t="n">
        <f aca="false">IF(A12="","",IFERROR(INDEX(Veri_Onceki!$H:$H,MATCH(A12,Veri_Onceki!$A:$A,0)),""))</f>
        <v>28</v>
      </c>
      <c r="O12" s="14" t="n">
        <f aca="false">IF(A12="","",IF(AND(H12&gt;=1,EDATE(E12,12*H12)&gt;Ayarlar!$B$4,EDATE(E12,12*H12)&lt;=Ayarlar!$B$3),J12,0))</f>
        <v>0</v>
      </c>
      <c r="P12" s="14" t="n">
        <f aca="false">IF(OR(A12="",N12=""),"",N12+O12-M12)</f>
        <v>0</v>
      </c>
      <c r="Q12" s="16" t="str">
        <f aca="false">IF(A12="","",IF(M12&gt;=Ayarlar!$B$7,"ALARM",IF(M12&gt;=Ayarlar!$B$6,"Planla","")))</f>
        <v>ALARM</v>
      </c>
      <c r="R12" s="14" t="str">
        <f aca="false">IF(A12="","",IF(AND(L12&gt;=0,L12&lt;=Ayarlar!$B$9),"Evet",""))</f>
        <v/>
      </c>
      <c r="S12" s="16" t="str">
        <f aca="false">IF(A12="","",IF(N12="","Yeni personel",IF(P12&lt;0,"Kontrol et","")))</f>
        <v/>
      </c>
      <c r="T12" s="14" t="n">
        <f aca="false">IF(A12="","",IF(AND(G12=1,M12&gt;=Ayarlar!$B$6,OR(Ayarlar!$B$11="Tümü",C12=Ayarlar!$B$11)),M12+ROW()/100000,""))</f>
        <v>28.00012</v>
      </c>
    </row>
    <row r="13" customFormat="false" ht="15" hidden="false" customHeight="false" outlineLevel="0" collapsed="false">
      <c r="A13" s="18" t="str">
        <f aca="false">IF(Veri_Guncel!A13="","",Veri_Guncel!A13)</f>
        <v>S10012</v>
      </c>
      <c r="B13" s="18" t="str">
        <f aca="false">IF($A13="","",Veri_Guncel!B13)</f>
        <v>Kaan Aslan</v>
      </c>
      <c r="C13" s="18" t="str">
        <f aca="false">IF($A13="","",Veri_Guncel!C13)</f>
        <v>Bölge 1</v>
      </c>
      <c r="D13" s="18" t="str">
        <f aca="false">IF($A13="","",Veri_Guncel!D13)</f>
        <v>Mağaza 1B</v>
      </c>
      <c r="E13" s="19" t="n">
        <f aca="false">IF($A13="","",Veri_Guncel!E13)</f>
        <v>43925</v>
      </c>
      <c r="F13" s="19" t="n">
        <f aca="false">IF($A13="","",Veri_Guncel!F13)</f>
        <v>30009</v>
      </c>
      <c r="G13" s="14" t="n">
        <f aca="false">IF(A13="","",IF(COUNTIF(Ayarlar!$A$15:$A$20,C13)&gt;0,1,0))</f>
        <v>1</v>
      </c>
      <c r="H13" s="14" t="n">
        <f aca="false">IF(A13="","",DATEDIF(E13,Ayarlar!$B$3,"y"))</f>
        <v>6</v>
      </c>
      <c r="I13" s="14" t="n">
        <f aca="false">IF(OR(A13="",F13=""),"",DATEDIF(F13,Ayarlar!$B$3,"y"))</f>
        <v>44</v>
      </c>
      <c r="J13" s="14" t="n">
        <f aca="false">IF(A13="","",IF(H13&lt;1,0,MAX(IF(H13&lt;5,14,IF(H13&lt;15,20,26)),IF(AND(I13&lt;&gt;"",OR(I13&lt;=18,I13&gt;=50)),20,0))))</f>
        <v>20</v>
      </c>
      <c r="K13" s="17" t="n">
        <f aca="false">IF(A13="","",EDATE(E13,12*(H13+1)))</f>
        <v>46481</v>
      </c>
      <c r="L13" s="14" t="n">
        <f aca="false">IF(A13="","",K13-Ayarlar!$B$3)</f>
        <v>202</v>
      </c>
      <c r="M13" s="18" t="n">
        <f aca="false">IF(A13="","",Veri_Guncel!H13)</f>
        <v>4</v>
      </c>
      <c r="N13" s="18" t="n">
        <f aca="false">IF(A13="","",IFERROR(INDEX(Veri_Onceki!$H:$H,MATCH(A13,Veri_Onceki!$A:$A,0)),""))</f>
        <v>4</v>
      </c>
      <c r="O13" s="14" t="n">
        <f aca="false">IF(A13="","",IF(AND(H13&gt;=1,EDATE(E13,12*H13)&gt;Ayarlar!$B$4,EDATE(E13,12*H13)&lt;=Ayarlar!$B$3),J13,0))</f>
        <v>0</v>
      </c>
      <c r="P13" s="14" t="n">
        <f aca="false">IF(OR(A13="",N13=""),"",N13+O13-M13)</f>
        <v>0</v>
      </c>
      <c r="Q13" s="16" t="str">
        <f aca="false">IF(A13="","",IF(M13&gt;=Ayarlar!$B$7,"ALARM",IF(M13&gt;=Ayarlar!$B$6,"Planla","")))</f>
        <v/>
      </c>
      <c r="R13" s="14" t="str">
        <f aca="false">IF(A13="","",IF(AND(L13&gt;=0,L13&lt;=Ayarlar!$B$9),"Evet",""))</f>
        <v/>
      </c>
      <c r="S13" s="16" t="str">
        <f aca="false">IF(A13="","",IF(N13="","Yeni personel",IF(P13&lt;0,"Kontrol et","")))</f>
        <v/>
      </c>
      <c r="T13" s="14" t="str">
        <f aca="false">IF(A13="","",IF(AND(G13=1,M13&gt;=Ayarlar!$B$6,OR(Ayarlar!$B$11="Tümü",C13=Ayarlar!$B$11)),M13+ROW()/100000,""))</f>
        <v/>
      </c>
    </row>
    <row r="14" customFormat="false" ht="15" hidden="false" customHeight="false" outlineLevel="0" collapsed="false">
      <c r="A14" s="18" t="str">
        <f aca="false">IF(Veri_Guncel!A14="","",Veri_Guncel!A14)</f>
        <v>S10013</v>
      </c>
      <c r="B14" s="18" t="str">
        <f aca="false">IF($A14="","",Veri_Guncel!B14)</f>
        <v>Can Yılmaz</v>
      </c>
      <c r="C14" s="18" t="str">
        <f aca="false">IF($A14="","",Veri_Guncel!C14)</f>
        <v>Bölge 1</v>
      </c>
      <c r="D14" s="18" t="str">
        <f aca="false">IF($A14="","",Veri_Guncel!D14)</f>
        <v>Mağaza 1B</v>
      </c>
      <c r="E14" s="19" t="n">
        <f aca="false">IF($A14="","",Veri_Guncel!E14)</f>
        <v>42676</v>
      </c>
      <c r="F14" s="19" t="n">
        <f aca="false">IF($A14="","",Veri_Guncel!F14)</f>
        <v>38664</v>
      </c>
      <c r="G14" s="14" t="n">
        <f aca="false">IF(A14="","",IF(COUNTIF(Ayarlar!$A$15:$A$20,C14)&gt;0,1,0))</f>
        <v>1</v>
      </c>
      <c r="H14" s="14" t="n">
        <f aca="false">IF(A14="","",DATEDIF(E14,Ayarlar!$B$3,"y"))</f>
        <v>9</v>
      </c>
      <c r="I14" s="14" t="n">
        <f aca="false">IF(OR(A14="",F14=""),"",DATEDIF(F14,Ayarlar!$B$3,"y"))</f>
        <v>20</v>
      </c>
      <c r="J14" s="14" t="n">
        <f aca="false">IF(A14="","",IF(H14&lt;1,0,MAX(IF(H14&lt;5,14,IF(H14&lt;15,20,26)),IF(AND(I14&lt;&gt;"",OR(I14&lt;=18,I14&gt;=50)),20,0))))</f>
        <v>20</v>
      </c>
      <c r="K14" s="17" t="n">
        <f aca="false">IF(A14="","",EDATE(E14,12*(H14+1)))</f>
        <v>46328</v>
      </c>
      <c r="L14" s="14" t="n">
        <f aca="false">IF(A14="","",K14-Ayarlar!$B$3)</f>
        <v>49</v>
      </c>
      <c r="M14" s="18" t="n">
        <f aca="false">IF(A14="","",Veri_Guncel!H14)</f>
        <v>12</v>
      </c>
      <c r="N14" s="18" t="n">
        <f aca="false">IF(A14="","",IFERROR(INDEX(Veri_Onceki!$H:$H,MATCH(A14,Veri_Onceki!$A:$A,0)),""))</f>
        <v>19</v>
      </c>
      <c r="O14" s="14" t="n">
        <f aca="false">IF(A14="","",IF(AND(H14&gt;=1,EDATE(E14,12*H14)&gt;Ayarlar!$B$4,EDATE(E14,12*H14)&lt;=Ayarlar!$B$3),J14,0))</f>
        <v>0</v>
      </c>
      <c r="P14" s="14" t="n">
        <f aca="false">IF(OR(A14="",N14=""),"",N14+O14-M14)</f>
        <v>7</v>
      </c>
      <c r="Q14" s="16" t="str">
        <f aca="false">IF(A14="","",IF(M14&gt;=Ayarlar!$B$7,"ALARM",IF(M14&gt;=Ayarlar!$B$6,"Planla","")))</f>
        <v/>
      </c>
      <c r="R14" s="14" t="str">
        <f aca="false">IF(A14="","",IF(AND(L14&gt;=0,L14&lt;=Ayarlar!$B$9),"Evet",""))</f>
        <v>Evet</v>
      </c>
      <c r="S14" s="16" t="str">
        <f aca="false">IF(A14="","",IF(N14="","Yeni personel",IF(P14&lt;0,"Kontrol et","")))</f>
        <v/>
      </c>
      <c r="T14" s="14" t="str">
        <f aca="false">IF(A14="","",IF(AND(G14=1,M14&gt;=Ayarlar!$B$6,OR(Ayarlar!$B$11="Tümü",C14=Ayarlar!$B$11)),M14+ROW()/100000,""))</f>
        <v/>
      </c>
    </row>
    <row r="15" customFormat="false" ht="15" hidden="false" customHeight="false" outlineLevel="0" collapsed="false">
      <c r="A15" s="18" t="str">
        <f aca="false">IF(Veri_Guncel!A15="","",Veri_Guncel!A15)</f>
        <v>S10014</v>
      </c>
      <c r="B15" s="18" t="str">
        <f aca="false">IF($A15="","",Veri_Guncel!B15)</f>
        <v>Can Demir</v>
      </c>
      <c r="C15" s="18" t="str">
        <f aca="false">IF($A15="","",Veri_Guncel!C15)</f>
        <v>Bölge 1</v>
      </c>
      <c r="D15" s="18" t="str">
        <f aca="false">IF($A15="","",Veri_Guncel!D15)</f>
        <v>Mağaza 1B</v>
      </c>
      <c r="E15" s="19" t="n">
        <f aca="false">IF($A15="","",Veri_Guncel!E15)</f>
        <v>44790</v>
      </c>
      <c r="F15" s="19" t="n">
        <f aca="false">IF($A15="","",Veri_Guncel!F15)</f>
        <v>35377</v>
      </c>
      <c r="G15" s="14" t="n">
        <f aca="false">IF(A15="","",IF(COUNTIF(Ayarlar!$A$15:$A$20,C15)&gt;0,1,0))</f>
        <v>1</v>
      </c>
      <c r="H15" s="14" t="n">
        <f aca="false">IF(A15="","",DATEDIF(E15,Ayarlar!$B$3,"y"))</f>
        <v>4</v>
      </c>
      <c r="I15" s="14" t="n">
        <f aca="false">IF(OR(A15="",F15=""),"",DATEDIF(F15,Ayarlar!$B$3,"y"))</f>
        <v>29</v>
      </c>
      <c r="J15" s="14" t="n">
        <f aca="false">IF(A15="","",IF(H15&lt;1,0,MAX(IF(H15&lt;5,14,IF(H15&lt;15,20,26)),IF(AND(I15&lt;&gt;"",OR(I15&lt;=18,I15&gt;=50)),20,0))))</f>
        <v>14</v>
      </c>
      <c r="K15" s="17" t="n">
        <f aca="false">IF(A15="","",EDATE(E15,12*(H15+1)))</f>
        <v>46616</v>
      </c>
      <c r="L15" s="14" t="n">
        <f aca="false">IF(A15="","",K15-Ayarlar!$B$3)</f>
        <v>337</v>
      </c>
      <c r="M15" s="18" t="n">
        <f aca="false">IF(A15="","",Veri_Guncel!H15)</f>
        <v>6</v>
      </c>
      <c r="N15" s="18" t="n">
        <f aca="false">IF(A15="","",IFERROR(INDEX(Veri_Onceki!$H:$H,MATCH(A15,Veri_Onceki!$A:$A,0)),""))</f>
        <v>0</v>
      </c>
      <c r="O15" s="14" t="n">
        <f aca="false">IF(A15="","",IF(AND(H15&gt;=1,EDATE(E15,12*H15)&gt;Ayarlar!$B$4,EDATE(E15,12*H15)&lt;=Ayarlar!$B$3),J15,0))</f>
        <v>14</v>
      </c>
      <c r="P15" s="14" t="n">
        <f aca="false">IF(OR(A15="",N15=""),"",N15+O15-M15)</f>
        <v>8</v>
      </c>
      <c r="Q15" s="16" t="str">
        <f aca="false">IF(A15="","",IF(M15&gt;=Ayarlar!$B$7,"ALARM",IF(M15&gt;=Ayarlar!$B$6,"Planla","")))</f>
        <v/>
      </c>
      <c r="R15" s="14" t="str">
        <f aca="false">IF(A15="","",IF(AND(L15&gt;=0,L15&lt;=Ayarlar!$B$9),"Evet",""))</f>
        <v/>
      </c>
      <c r="S15" s="16" t="str">
        <f aca="false">IF(A15="","",IF(N15="","Yeni personel",IF(P15&lt;0,"Kontrol et","")))</f>
        <v/>
      </c>
      <c r="T15" s="14" t="str">
        <f aca="false">IF(A15="","",IF(AND(G15=1,M15&gt;=Ayarlar!$B$6,OR(Ayarlar!$B$11="Tümü",C15=Ayarlar!$B$11)),M15+ROW()/100000,""))</f>
        <v/>
      </c>
    </row>
    <row r="16" customFormat="false" ht="15" hidden="false" customHeight="false" outlineLevel="0" collapsed="false">
      <c r="A16" s="18" t="str">
        <f aca="false">IF(Veri_Guncel!A16="","",Veri_Guncel!A16)</f>
        <v>S10015</v>
      </c>
      <c r="B16" s="18" t="str">
        <f aca="false">IF($A16="","",Veri_Guncel!B16)</f>
        <v>Mehmet Arslan</v>
      </c>
      <c r="C16" s="18" t="str">
        <f aca="false">IF($A16="","",Veri_Guncel!C16)</f>
        <v>Bölge 1</v>
      </c>
      <c r="D16" s="18" t="str">
        <f aca="false">IF($A16="","",Veri_Guncel!D16)</f>
        <v>Mağaza 1B</v>
      </c>
      <c r="E16" s="19" t="n">
        <f aca="false">IF($A16="","",Veri_Guncel!E16)</f>
        <v>45863</v>
      </c>
      <c r="F16" s="19" t="n">
        <f aca="false">IF($A16="","",Veri_Guncel!F16)</f>
        <v>37283</v>
      </c>
      <c r="G16" s="14" t="n">
        <f aca="false">IF(A16="","",IF(COUNTIF(Ayarlar!$A$15:$A$20,C16)&gt;0,1,0))</f>
        <v>1</v>
      </c>
      <c r="H16" s="14" t="n">
        <f aca="false">IF(A16="","",DATEDIF(E16,Ayarlar!$B$3,"y"))</f>
        <v>1</v>
      </c>
      <c r="I16" s="14" t="n">
        <f aca="false">IF(OR(A16="",F16=""),"",DATEDIF(F16,Ayarlar!$B$3,"y"))</f>
        <v>24</v>
      </c>
      <c r="J16" s="14" t="n">
        <f aca="false">IF(A16="","",IF(H16&lt;1,0,MAX(IF(H16&lt;5,14,IF(H16&lt;15,20,26)),IF(AND(I16&lt;&gt;"",OR(I16&lt;=18,I16&gt;=50)),20,0))))</f>
        <v>14</v>
      </c>
      <c r="K16" s="17" t="n">
        <f aca="false">IF(A16="","",EDATE(E16,12*(H16+1)))</f>
        <v>46593</v>
      </c>
      <c r="L16" s="14" t="n">
        <f aca="false">IF(A16="","",K16-Ayarlar!$B$3)</f>
        <v>314</v>
      </c>
      <c r="M16" s="18" t="n">
        <f aca="false">IF(A16="","",Veri_Guncel!H16)</f>
        <v>8</v>
      </c>
      <c r="N16" s="18" t="n">
        <f aca="false">IF(A16="","",IFERROR(INDEX(Veri_Onceki!$H:$H,MATCH(A16,Veri_Onceki!$A:$A,0)),""))</f>
        <v>8</v>
      </c>
      <c r="O16" s="14" t="n">
        <f aca="false">IF(A16="","",IF(AND(H16&gt;=1,EDATE(E16,12*H16)&gt;Ayarlar!$B$4,EDATE(E16,12*H16)&lt;=Ayarlar!$B$3),J16,0))</f>
        <v>0</v>
      </c>
      <c r="P16" s="14" t="n">
        <f aca="false">IF(OR(A16="",N16=""),"",N16+O16-M16)</f>
        <v>0</v>
      </c>
      <c r="Q16" s="16" t="str">
        <f aca="false">IF(A16="","",IF(M16&gt;=Ayarlar!$B$7,"ALARM",IF(M16&gt;=Ayarlar!$B$6,"Planla","")))</f>
        <v/>
      </c>
      <c r="R16" s="14" t="str">
        <f aca="false">IF(A16="","",IF(AND(L16&gt;=0,L16&lt;=Ayarlar!$B$9),"Evet",""))</f>
        <v/>
      </c>
      <c r="S16" s="16" t="str">
        <f aca="false">IF(A16="","",IF(N16="","Yeni personel",IF(P16&lt;0,"Kontrol et","")))</f>
        <v/>
      </c>
      <c r="T16" s="14" t="str">
        <f aca="false">IF(A16="","",IF(AND(G16=1,M16&gt;=Ayarlar!$B$6,OR(Ayarlar!$B$11="Tümü",C16=Ayarlar!$B$11)),M16+ROW()/100000,""))</f>
        <v/>
      </c>
    </row>
    <row r="17" customFormat="false" ht="15" hidden="false" customHeight="false" outlineLevel="0" collapsed="false">
      <c r="A17" s="18" t="str">
        <f aca="false">IF(Veri_Guncel!A17="","",Veri_Guncel!A17)</f>
        <v>S10016</v>
      </c>
      <c r="B17" s="18" t="str">
        <f aca="false">IF($A17="","",Veri_Guncel!B17)</f>
        <v>Ece Çelik</v>
      </c>
      <c r="C17" s="18" t="str">
        <f aca="false">IF($A17="","",Veri_Guncel!C17)</f>
        <v>Bölge 1</v>
      </c>
      <c r="D17" s="18" t="str">
        <f aca="false">IF($A17="","",Veri_Guncel!D17)</f>
        <v>Mağaza 1C</v>
      </c>
      <c r="E17" s="19" t="n">
        <f aca="false">IF($A17="","",Veri_Guncel!E17)</f>
        <v>41098</v>
      </c>
      <c r="F17" s="19" t="n">
        <f aca="false">IF($A17="","",Veri_Guncel!F17)</f>
        <v>30135</v>
      </c>
      <c r="G17" s="14" t="n">
        <f aca="false">IF(A17="","",IF(COUNTIF(Ayarlar!$A$15:$A$20,C17)&gt;0,1,0))</f>
        <v>1</v>
      </c>
      <c r="H17" s="14" t="n">
        <f aca="false">IF(A17="","",DATEDIF(E17,Ayarlar!$B$3,"y"))</f>
        <v>14</v>
      </c>
      <c r="I17" s="14" t="n">
        <f aca="false">IF(OR(A17="",F17=""),"",DATEDIF(F17,Ayarlar!$B$3,"y"))</f>
        <v>44</v>
      </c>
      <c r="J17" s="14" t="n">
        <f aca="false">IF(A17="","",IF(H17&lt;1,0,MAX(IF(H17&lt;5,14,IF(H17&lt;15,20,26)),IF(AND(I17&lt;&gt;"",OR(I17&lt;=18,I17&gt;=50)),20,0))))</f>
        <v>20</v>
      </c>
      <c r="K17" s="17" t="n">
        <f aca="false">IF(A17="","",EDATE(E17,12*(H17+1)))</f>
        <v>46576</v>
      </c>
      <c r="L17" s="14" t="n">
        <f aca="false">IF(A17="","",K17-Ayarlar!$B$3)</f>
        <v>297</v>
      </c>
      <c r="M17" s="18" t="n">
        <f aca="false">IF(A17="","",Veri_Guncel!H17)</f>
        <v>28</v>
      </c>
      <c r="N17" s="18" t="n">
        <f aca="false">IF(A17="","",IFERROR(INDEX(Veri_Onceki!$H:$H,MATCH(A17,Veri_Onceki!$A:$A,0)),""))</f>
        <v>28</v>
      </c>
      <c r="O17" s="14" t="n">
        <f aca="false">IF(A17="","",IF(AND(H17&gt;=1,EDATE(E17,12*H17)&gt;Ayarlar!$B$4,EDATE(E17,12*H17)&lt;=Ayarlar!$B$3),J17,0))</f>
        <v>0</v>
      </c>
      <c r="P17" s="14" t="n">
        <f aca="false">IF(OR(A17="",N17=""),"",N17+O17-M17)</f>
        <v>0</v>
      </c>
      <c r="Q17" s="16" t="str">
        <f aca="false">IF(A17="","",IF(M17&gt;=Ayarlar!$B$7,"ALARM",IF(M17&gt;=Ayarlar!$B$6,"Planla","")))</f>
        <v>ALARM</v>
      </c>
      <c r="R17" s="14" t="str">
        <f aca="false">IF(A17="","",IF(AND(L17&gt;=0,L17&lt;=Ayarlar!$B$9),"Evet",""))</f>
        <v/>
      </c>
      <c r="S17" s="16" t="str">
        <f aca="false">IF(A17="","",IF(N17="","Yeni personel",IF(P17&lt;0,"Kontrol et","")))</f>
        <v/>
      </c>
      <c r="T17" s="14" t="n">
        <f aca="false">IF(A17="","",IF(AND(G17=1,M17&gt;=Ayarlar!$B$6,OR(Ayarlar!$B$11="Tümü",C17=Ayarlar!$B$11)),M17+ROW()/100000,""))</f>
        <v>28.00017</v>
      </c>
    </row>
    <row r="18" customFormat="false" ht="15" hidden="false" customHeight="false" outlineLevel="0" collapsed="false">
      <c r="A18" s="18" t="str">
        <f aca="false">IF(Veri_Guncel!A18="","",Veri_Guncel!A18)</f>
        <v>S10017</v>
      </c>
      <c r="B18" s="18" t="str">
        <f aca="false">IF($A18="","",Veri_Guncel!B18)</f>
        <v>Gizem Polat</v>
      </c>
      <c r="C18" s="18" t="str">
        <f aca="false">IF($A18="","",Veri_Guncel!C18)</f>
        <v>Bölge 1</v>
      </c>
      <c r="D18" s="18" t="str">
        <f aca="false">IF($A18="","",Veri_Guncel!D18)</f>
        <v>Mağaza 1C</v>
      </c>
      <c r="E18" s="19" t="n">
        <f aca="false">IF($A18="","",Veri_Guncel!E18)</f>
        <v>42362</v>
      </c>
      <c r="F18" s="19" t="n">
        <f aca="false">IF($A18="","",Veri_Guncel!F18)</f>
        <v>37265</v>
      </c>
      <c r="G18" s="14" t="n">
        <f aca="false">IF(A18="","",IF(COUNTIF(Ayarlar!$A$15:$A$20,C18)&gt;0,1,0))</f>
        <v>1</v>
      </c>
      <c r="H18" s="14" t="n">
        <f aca="false">IF(A18="","",DATEDIF(E18,Ayarlar!$B$3,"y"))</f>
        <v>10</v>
      </c>
      <c r="I18" s="14" t="n">
        <f aca="false">IF(OR(A18="",F18=""),"",DATEDIF(F18,Ayarlar!$B$3,"y"))</f>
        <v>24</v>
      </c>
      <c r="J18" s="14" t="n">
        <f aca="false">IF(A18="","",IF(H18&lt;1,0,MAX(IF(H18&lt;5,14,IF(H18&lt;15,20,26)),IF(AND(I18&lt;&gt;"",OR(I18&lt;=18,I18&gt;=50)),20,0))))</f>
        <v>20</v>
      </c>
      <c r="K18" s="17" t="n">
        <f aca="false">IF(A18="","",EDATE(E18,12*(H18+1)))</f>
        <v>46380</v>
      </c>
      <c r="L18" s="14" t="n">
        <f aca="false">IF(A18="","",K18-Ayarlar!$B$3)</f>
        <v>101</v>
      </c>
      <c r="M18" s="18" t="n">
        <f aca="false">IF(A18="","",Veri_Guncel!H18)</f>
        <v>4</v>
      </c>
      <c r="N18" s="18" t="n">
        <f aca="false">IF(A18="","",IFERROR(INDEX(Veri_Onceki!$H:$H,MATCH(A18,Veri_Onceki!$A:$A,0)),""))</f>
        <v>4</v>
      </c>
      <c r="O18" s="14" t="n">
        <f aca="false">IF(A18="","",IF(AND(H18&gt;=1,EDATE(E18,12*H18)&gt;Ayarlar!$B$4,EDATE(E18,12*H18)&lt;=Ayarlar!$B$3),J18,0))</f>
        <v>0</v>
      </c>
      <c r="P18" s="14" t="n">
        <f aca="false">IF(OR(A18="",N18=""),"",N18+O18-M18)</f>
        <v>0</v>
      </c>
      <c r="Q18" s="16" t="str">
        <f aca="false">IF(A18="","",IF(M18&gt;=Ayarlar!$B$7,"ALARM",IF(M18&gt;=Ayarlar!$B$6,"Planla","")))</f>
        <v/>
      </c>
      <c r="R18" s="14" t="str">
        <f aca="false">IF(A18="","",IF(AND(L18&gt;=0,L18&lt;=Ayarlar!$B$9),"Evet",""))</f>
        <v/>
      </c>
      <c r="S18" s="16" t="str">
        <f aca="false">IF(A18="","",IF(N18="","Yeni personel",IF(P18&lt;0,"Kontrol et","")))</f>
        <v/>
      </c>
      <c r="T18" s="14" t="str">
        <f aca="false">IF(A18="","",IF(AND(G18=1,M18&gt;=Ayarlar!$B$6,OR(Ayarlar!$B$11="Tümü",C18=Ayarlar!$B$11)),M18+ROW()/100000,""))</f>
        <v/>
      </c>
    </row>
    <row r="19" customFormat="false" ht="15" hidden="false" customHeight="false" outlineLevel="0" collapsed="false">
      <c r="A19" s="18" t="str">
        <f aca="false">IF(Veri_Guncel!A19="","",Veri_Guncel!A19)</f>
        <v>S10018</v>
      </c>
      <c r="B19" s="18" t="str">
        <f aca="false">IF($A19="","",Veri_Guncel!B19)</f>
        <v>Kaan Polat</v>
      </c>
      <c r="C19" s="18" t="str">
        <f aca="false">IF($A19="","",Veri_Guncel!C19)</f>
        <v>Bölge 1</v>
      </c>
      <c r="D19" s="18" t="str">
        <f aca="false">IF($A19="","",Veri_Guncel!D19)</f>
        <v>Mağaza 1C</v>
      </c>
      <c r="E19" s="19" t="n">
        <f aca="false">IF($A19="","",Veri_Guncel!E19)</f>
        <v>40660</v>
      </c>
      <c r="F19" s="19" t="n">
        <f aca="false">IF($A19="","",Veri_Guncel!F19)</f>
        <v>34770</v>
      </c>
      <c r="G19" s="14" t="n">
        <f aca="false">IF(A19="","",IF(COUNTIF(Ayarlar!$A$15:$A$20,C19)&gt;0,1,0))</f>
        <v>1</v>
      </c>
      <c r="H19" s="14" t="n">
        <f aca="false">IF(A19="","",DATEDIF(E19,Ayarlar!$B$3,"y"))</f>
        <v>15</v>
      </c>
      <c r="I19" s="14" t="n">
        <f aca="false">IF(OR(A19="",F19=""),"",DATEDIF(F19,Ayarlar!$B$3,"y"))</f>
        <v>31</v>
      </c>
      <c r="J19" s="14" t="n">
        <f aca="false">IF(A19="","",IF(H19&lt;1,0,MAX(IF(H19&lt;5,14,IF(H19&lt;15,20,26)),IF(AND(I19&lt;&gt;"",OR(I19&lt;=18,I19&gt;=50)),20,0))))</f>
        <v>26</v>
      </c>
      <c r="K19" s="17" t="n">
        <f aca="false">IF(A19="","",EDATE(E19,12*(H19+1)))</f>
        <v>46504</v>
      </c>
      <c r="L19" s="14" t="n">
        <f aca="false">IF(A19="","",K19-Ayarlar!$B$3)</f>
        <v>225</v>
      </c>
      <c r="M19" s="18" t="n">
        <f aca="false">IF(A19="","",Veri_Guncel!H19)</f>
        <v>17</v>
      </c>
      <c r="N19" s="18" t="n">
        <f aca="false">IF(A19="","",IFERROR(INDEX(Veri_Onceki!$H:$H,MATCH(A19,Veri_Onceki!$A:$A,0)),""))</f>
        <v>17</v>
      </c>
      <c r="O19" s="14" t="n">
        <f aca="false">IF(A19="","",IF(AND(H19&gt;=1,EDATE(E19,12*H19)&gt;Ayarlar!$B$4,EDATE(E19,12*H19)&lt;=Ayarlar!$B$3),J19,0))</f>
        <v>0</v>
      </c>
      <c r="P19" s="14" t="n">
        <f aca="false">IF(OR(A19="",N19=""),"",N19+O19-M19)</f>
        <v>0</v>
      </c>
      <c r="Q19" s="16" t="str">
        <f aca="false">IF(A19="","",IF(M19&gt;=Ayarlar!$B$7,"ALARM",IF(M19&gt;=Ayarlar!$B$6,"Planla","")))</f>
        <v>Planla</v>
      </c>
      <c r="R19" s="14" t="str">
        <f aca="false">IF(A19="","",IF(AND(L19&gt;=0,L19&lt;=Ayarlar!$B$9),"Evet",""))</f>
        <v/>
      </c>
      <c r="S19" s="16" t="str">
        <f aca="false">IF(A19="","",IF(N19="","Yeni personel",IF(P19&lt;0,"Kontrol et","")))</f>
        <v/>
      </c>
      <c r="T19" s="14" t="n">
        <f aca="false">IF(A19="","",IF(AND(G19=1,M19&gt;=Ayarlar!$B$6,OR(Ayarlar!$B$11="Tümü",C19=Ayarlar!$B$11)),M19+ROW()/100000,""))</f>
        <v>17.00019</v>
      </c>
    </row>
    <row r="20" customFormat="false" ht="15" hidden="false" customHeight="false" outlineLevel="0" collapsed="false">
      <c r="A20" s="18" t="str">
        <f aca="false">IF(Veri_Guncel!A20="","",Veri_Guncel!A20)</f>
        <v>S10019</v>
      </c>
      <c r="B20" s="18" t="str">
        <f aca="false">IF($A20="","",Veri_Guncel!B20)</f>
        <v>Elif Yılmaz</v>
      </c>
      <c r="C20" s="18" t="str">
        <f aca="false">IF($A20="","",Veri_Guncel!C20)</f>
        <v>Bölge 1</v>
      </c>
      <c r="D20" s="18" t="str">
        <f aca="false">IF($A20="","",Veri_Guncel!D20)</f>
        <v>Mağaza 1C</v>
      </c>
      <c r="E20" s="19" t="n">
        <f aca="false">IF($A20="","",Veri_Guncel!E20)</f>
        <v>46147</v>
      </c>
      <c r="F20" s="19" t="n">
        <f aca="false">IF($A20="","",Veri_Guncel!F20)</f>
        <v>38999</v>
      </c>
      <c r="G20" s="14" t="n">
        <f aca="false">IF(A20="","",IF(COUNTIF(Ayarlar!$A$15:$A$20,C20)&gt;0,1,0))</f>
        <v>1</v>
      </c>
      <c r="H20" s="14" t="n">
        <f aca="false">IF(A20="","",DATEDIF(E20,Ayarlar!$B$3,"y"))</f>
        <v>0</v>
      </c>
      <c r="I20" s="14" t="n">
        <f aca="false">IF(OR(A20="",F20=""),"",DATEDIF(F20,Ayarlar!$B$3,"y"))</f>
        <v>19</v>
      </c>
      <c r="J20" s="14" t="n">
        <f aca="false">IF(A20="","",IF(H20&lt;1,0,MAX(IF(H20&lt;5,14,IF(H20&lt;15,20,26)),IF(AND(I20&lt;&gt;"",OR(I20&lt;=18,I20&gt;=50)),20,0))))</f>
        <v>0</v>
      </c>
      <c r="K20" s="17" t="n">
        <f aca="false">IF(A20="","",EDATE(E20,12*(H20+1)))</f>
        <v>46512</v>
      </c>
      <c r="L20" s="14" t="n">
        <f aca="false">IF(A20="","",K20-Ayarlar!$B$3)</f>
        <v>233</v>
      </c>
      <c r="M20" s="18" t="n">
        <f aca="false">IF(A20="","",Veri_Guncel!H20)</f>
        <v>0</v>
      </c>
      <c r="N20" s="18" t="n">
        <f aca="false">IF(A20="","",IFERROR(INDEX(Veri_Onceki!$H:$H,MATCH(A20,Veri_Onceki!$A:$A,0)),""))</f>
        <v>7</v>
      </c>
      <c r="O20" s="14" t="n">
        <f aca="false">IF(A20="","",IF(AND(H20&gt;=1,EDATE(E20,12*H20)&gt;Ayarlar!$B$4,EDATE(E20,12*H20)&lt;=Ayarlar!$B$3),J20,0))</f>
        <v>0</v>
      </c>
      <c r="P20" s="14" t="n">
        <f aca="false">IF(OR(A20="",N20=""),"",N20+O20-M20)</f>
        <v>7</v>
      </c>
      <c r="Q20" s="16" t="str">
        <f aca="false">IF(A20="","",IF(M20&gt;=Ayarlar!$B$7,"ALARM",IF(M20&gt;=Ayarlar!$B$6,"Planla","")))</f>
        <v/>
      </c>
      <c r="R20" s="14" t="str">
        <f aca="false">IF(A20="","",IF(AND(L20&gt;=0,L20&lt;=Ayarlar!$B$9),"Evet",""))</f>
        <v/>
      </c>
      <c r="S20" s="16" t="str">
        <f aca="false">IF(A20="","",IF(N20="","Yeni personel",IF(P20&lt;0,"Kontrol et","")))</f>
        <v/>
      </c>
      <c r="T20" s="14" t="str">
        <f aca="false">IF(A20="","",IF(AND(G20=1,M20&gt;=Ayarlar!$B$6,OR(Ayarlar!$B$11="Tümü",C20=Ayarlar!$B$11)),M20+ROW()/100000,""))</f>
        <v/>
      </c>
    </row>
    <row r="21" customFormat="false" ht="15" hidden="false" customHeight="false" outlineLevel="0" collapsed="false">
      <c r="A21" s="18" t="str">
        <f aca="false">IF(Veri_Guncel!A21="","",Veri_Guncel!A21)</f>
        <v>S10020</v>
      </c>
      <c r="B21" s="18" t="str">
        <f aca="false">IF($A21="","",Veri_Guncel!B21)</f>
        <v>Gizem Öztürk</v>
      </c>
      <c r="C21" s="18" t="str">
        <f aca="false">IF($A21="","",Veri_Guncel!C21)</f>
        <v>Bölge 1</v>
      </c>
      <c r="D21" s="18" t="str">
        <f aca="false">IF($A21="","",Veri_Guncel!D21)</f>
        <v>Mağaza 1C</v>
      </c>
      <c r="E21" s="19" t="n">
        <f aca="false">IF($A21="","",Veri_Guncel!E21)</f>
        <v>45235</v>
      </c>
      <c r="F21" s="19" t="n">
        <f aca="false">IF($A21="","",Veri_Guncel!F21)</f>
        <v>26803</v>
      </c>
      <c r="G21" s="14" t="n">
        <f aca="false">IF(A21="","",IF(COUNTIF(Ayarlar!$A$15:$A$20,C21)&gt;0,1,0))</f>
        <v>1</v>
      </c>
      <c r="H21" s="14" t="n">
        <f aca="false">IF(A21="","",DATEDIF(E21,Ayarlar!$B$3,"y"))</f>
        <v>2</v>
      </c>
      <c r="I21" s="14" t="n">
        <f aca="false">IF(OR(A21="",F21=""),"",DATEDIF(F21,Ayarlar!$B$3,"y"))</f>
        <v>53</v>
      </c>
      <c r="J21" s="14" t="n">
        <f aca="false">IF(A21="","",IF(H21&lt;1,0,MAX(IF(H21&lt;5,14,IF(H21&lt;15,20,26)),IF(AND(I21&lt;&gt;"",OR(I21&lt;=18,I21&gt;=50)),20,0))))</f>
        <v>20</v>
      </c>
      <c r="K21" s="17" t="n">
        <f aca="false">IF(A21="","",EDATE(E21,12*(H21+1)))</f>
        <v>46331</v>
      </c>
      <c r="L21" s="14" t="n">
        <f aca="false">IF(A21="","",K21-Ayarlar!$B$3)</f>
        <v>52</v>
      </c>
      <c r="M21" s="18" t="n">
        <f aca="false">IF(A21="","",Veri_Guncel!H21)</f>
        <v>10</v>
      </c>
      <c r="N21" s="18" t="n">
        <f aca="false">IF(A21="","",IFERROR(INDEX(Veri_Onceki!$H:$H,MATCH(A21,Veri_Onceki!$A:$A,0)),""))</f>
        <v>15</v>
      </c>
      <c r="O21" s="14" t="n">
        <f aca="false">IF(A21="","",IF(AND(H21&gt;=1,EDATE(E21,12*H21)&gt;Ayarlar!$B$4,EDATE(E21,12*H21)&lt;=Ayarlar!$B$3),J21,0))</f>
        <v>0</v>
      </c>
      <c r="P21" s="14" t="n">
        <f aca="false">IF(OR(A21="",N21=""),"",N21+O21-M21)</f>
        <v>5</v>
      </c>
      <c r="Q21" s="16" t="str">
        <f aca="false">IF(A21="","",IF(M21&gt;=Ayarlar!$B$7,"ALARM",IF(M21&gt;=Ayarlar!$B$6,"Planla","")))</f>
        <v/>
      </c>
      <c r="R21" s="14" t="str">
        <f aca="false">IF(A21="","",IF(AND(L21&gt;=0,L21&lt;=Ayarlar!$B$9),"Evet",""))</f>
        <v>Evet</v>
      </c>
      <c r="S21" s="16" t="str">
        <f aca="false">IF(A21="","",IF(N21="","Yeni personel",IF(P21&lt;0,"Kontrol et","")))</f>
        <v/>
      </c>
      <c r="T21" s="14" t="str">
        <f aca="false">IF(A21="","",IF(AND(G21=1,M21&gt;=Ayarlar!$B$6,OR(Ayarlar!$B$11="Tümü",C21=Ayarlar!$B$11)),M21+ROW()/100000,""))</f>
        <v/>
      </c>
    </row>
    <row r="22" customFormat="false" ht="15" hidden="false" customHeight="false" outlineLevel="0" collapsed="false">
      <c r="A22" s="18" t="str">
        <f aca="false">IF(Veri_Guncel!A22="","",Veri_Guncel!A22)</f>
        <v>S10021</v>
      </c>
      <c r="B22" s="18" t="str">
        <f aca="false">IF($A22="","",Veri_Guncel!B22)</f>
        <v>Emre Koç</v>
      </c>
      <c r="C22" s="18" t="str">
        <f aca="false">IF($A22="","",Veri_Guncel!C22)</f>
        <v>Bölge 1</v>
      </c>
      <c r="D22" s="18" t="str">
        <f aca="false">IF($A22="","",Veri_Guncel!D22)</f>
        <v>Mağaza 1C</v>
      </c>
      <c r="E22" s="19" t="n">
        <f aca="false">IF($A22="","",Veri_Guncel!E22)</f>
        <v>45434</v>
      </c>
      <c r="F22" s="19" t="n">
        <f aca="false">IF($A22="","",Veri_Guncel!F22)</f>
        <v>35494</v>
      </c>
      <c r="G22" s="14" t="n">
        <f aca="false">IF(A22="","",IF(COUNTIF(Ayarlar!$A$15:$A$20,C22)&gt;0,1,0))</f>
        <v>1</v>
      </c>
      <c r="H22" s="14" t="n">
        <f aca="false">IF(A22="","",DATEDIF(E22,Ayarlar!$B$3,"y"))</f>
        <v>2</v>
      </c>
      <c r="I22" s="14" t="n">
        <f aca="false">IF(OR(A22="",F22=""),"",DATEDIF(F22,Ayarlar!$B$3,"y"))</f>
        <v>29</v>
      </c>
      <c r="J22" s="14" t="n">
        <f aca="false">IF(A22="","",IF(H22&lt;1,0,MAX(IF(H22&lt;5,14,IF(H22&lt;15,20,26)),IF(AND(I22&lt;&gt;"",OR(I22&lt;=18,I22&gt;=50)),20,0))))</f>
        <v>14</v>
      </c>
      <c r="K22" s="17" t="n">
        <f aca="false">IF(A22="","",EDATE(E22,12*(H22+1)))</f>
        <v>46529</v>
      </c>
      <c r="L22" s="14" t="n">
        <f aca="false">IF(A22="","",K22-Ayarlar!$B$3)</f>
        <v>250</v>
      </c>
      <c r="M22" s="18" t="n">
        <f aca="false">IF(A22="","",Veri_Guncel!H22)</f>
        <v>4</v>
      </c>
      <c r="N22" s="18" t="n">
        <f aca="false">IF(A22="","",IFERROR(INDEX(Veri_Onceki!$H:$H,MATCH(A22,Veri_Onceki!$A:$A,0)),""))</f>
        <v>4</v>
      </c>
      <c r="O22" s="14" t="n">
        <f aca="false">IF(A22="","",IF(AND(H22&gt;=1,EDATE(E22,12*H22)&gt;Ayarlar!$B$4,EDATE(E22,12*H22)&lt;=Ayarlar!$B$3),J22,0))</f>
        <v>0</v>
      </c>
      <c r="P22" s="14" t="n">
        <f aca="false">IF(OR(A22="",N22=""),"",N22+O22-M22)</f>
        <v>0</v>
      </c>
      <c r="Q22" s="16" t="str">
        <f aca="false">IF(A22="","",IF(M22&gt;=Ayarlar!$B$7,"ALARM",IF(M22&gt;=Ayarlar!$B$6,"Planla","")))</f>
        <v/>
      </c>
      <c r="R22" s="14" t="str">
        <f aca="false">IF(A22="","",IF(AND(L22&gt;=0,L22&lt;=Ayarlar!$B$9),"Evet",""))</f>
        <v/>
      </c>
      <c r="S22" s="16" t="str">
        <f aca="false">IF(A22="","",IF(N22="","Yeni personel",IF(P22&lt;0,"Kontrol et","")))</f>
        <v/>
      </c>
      <c r="T22" s="14" t="str">
        <f aca="false">IF(A22="","",IF(AND(G22=1,M22&gt;=Ayarlar!$B$6,OR(Ayarlar!$B$11="Tümü",C22=Ayarlar!$B$11)),M22+ROW()/100000,""))</f>
        <v/>
      </c>
    </row>
    <row r="23" customFormat="false" ht="15" hidden="false" customHeight="false" outlineLevel="0" collapsed="false">
      <c r="A23" s="18" t="str">
        <f aca="false">IF(Veri_Guncel!A23="","",Veri_Guncel!A23)</f>
        <v>S10022</v>
      </c>
      <c r="B23" s="18" t="str">
        <f aca="false">IF($A23="","",Veri_Guncel!B23)</f>
        <v>Emre Doğan</v>
      </c>
      <c r="C23" s="18" t="str">
        <f aca="false">IF($A23="","",Veri_Guncel!C23)</f>
        <v>Bölge 1</v>
      </c>
      <c r="D23" s="18" t="str">
        <f aca="false">IF($A23="","",Veri_Guncel!D23)</f>
        <v>Mağaza 1C</v>
      </c>
      <c r="E23" s="19" t="n">
        <f aca="false">IF($A23="","",Veri_Guncel!E23)</f>
        <v>41699</v>
      </c>
      <c r="F23" s="19" t="n">
        <f aca="false">IF($A23="","",Veri_Guncel!F23)</f>
        <v>36588</v>
      </c>
      <c r="G23" s="14" t="n">
        <f aca="false">IF(A23="","",IF(COUNTIF(Ayarlar!$A$15:$A$20,C23)&gt;0,1,0))</f>
        <v>1</v>
      </c>
      <c r="H23" s="14" t="n">
        <f aca="false">IF(A23="","",DATEDIF(E23,Ayarlar!$B$3,"y"))</f>
        <v>12</v>
      </c>
      <c r="I23" s="14" t="n">
        <f aca="false">IF(OR(A23="",F23=""),"",DATEDIF(F23,Ayarlar!$B$3,"y"))</f>
        <v>26</v>
      </c>
      <c r="J23" s="14" t="n">
        <f aca="false">IF(A23="","",IF(H23&lt;1,0,MAX(IF(H23&lt;5,14,IF(H23&lt;15,20,26)),IF(AND(I23&lt;&gt;"",OR(I23&lt;=18,I23&gt;=50)),20,0))))</f>
        <v>20</v>
      </c>
      <c r="K23" s="17" t="n">
        <f aca="false">IF(A23="","",EDATE(E23,12*(H23+1)))</f>
        <v>46447</v>
      </c>
      <c r="L23" s="14" t="n">
        <f aca="false">IF(A23="","",K23-Ayarlar!$B$3)</f>
        <v>168</v>
      </c>
      <c r="M23" s="18" t="n">
        <f aca="false">IF(A23="","",Veri_Guncel!H23)</f>
        <v>28</v>
      </c>
      <c r="N23" s="18" t="n">
        <f aca="false">IF(A23="","",IFERROR(INDEX(Veri_Onceki!$H:$H,MATCH(A23,Veri_Onceki!$A:$A,0)),""))</f>
        <v>31</v>
      </c>
      <c r="O23" s="14" t="n">
        <f aca="false">IF(A23="","",IF(AND(H23&gt;=1,EDATE(E23,12*H23)&gt;Ayarlar!$B$4,EDATE(E23,12*H23)&lt;=Ayarlar!$B$3),J23,0))</f>
        <v>0</v>
      </c>
      <c r="P23" s="14" t="n">
        <f aca="false">IF(OR(A23="",N23=""),"",N23+O23-M23)</f>
        <v>3</v>
      </c>
      <c r="Q23" s="16" t="str">
        <f aca="false">IF(A23="","",IF(M23&gt;=Ayarlar!$B$7,"ALARM",IF(M23&gt;=Ayarlar!$B$6,"Planla","")))</f>
        <v>ALARM</v>
      </c>
      <c r="R23" s="14" t="str">
        <f aca="false">IF(A23="","",IF(AND(L23&gt;=0,L23&lt;=Ayarlar!$B$9),"Evet",""))</f>
        <v/>
      </c>
      <c r="S23" s="16" t="str">
        <f aca="false">IF(A23="","",IF(N23="","Yeni personel",IF(P23&lt;0,"Kontrol et","")))</f>
        <v/>
      </c>
      <c r="T23" s="14" t="n">
        <f aca="false">IF(A23="","",IF(AND(G23=1,M23&gt;=Ayarlar!$B$6,OR(Ayarlar!$B$11="Tümü",C23=Ayarlar!$B$11)),M23+ROW()/100000,""))</f>
        <v>28.00023</v>
      </c>
    </row>
    <row r="24" customFormat="false" ht="15" hidden="false" customHeight="false" outlineLevel="0" collapsed="false">
      <c r="A24" s="18" t="str">
        <f aca="false">IF(Veri_Guncel!A24="","",Veri_Guncel!A24)</f>
        <v>S10023</v>
      </c>
      <c r="B24" s="18" t="str">
        <f aca="false">IF($A24="","",Veri_Guncel!B24)</f>
        <v>Can Koç</v>
      </c>
      <c r="C24" s="18" t="str">
        <f aca="false">IF($A24="","",Veri_Guncel!C24)</f>
        <v>Bölge 2</v>
      </c>
      <c r="D24" s="18" t="str">
        <f aca="false">IF($A24="","",Veri_Guncel!D24)</f>
        <v>Mağaza 2A</v>
      </c>
      <c r="E24" s="19" t="n">
        <f aca="false">IF($A24="","",Veri_Guncel!E24)</f>
        <v>44393</v>
      </c>
      <c r="F24" s="19" t="n">
        <f aca="false">IF($A24="","",Veri_Guncel!F24)</f>
        <v>31691</v>
      </c>
      <c r="G24" s="14" t="n">
        <f aca="false">IF(A24="","",IF(COUNTIF(Ayarlar!$A$15:$A$20,C24)&gt;0,1,0))</f>
        <v>1</v>
      </c>
      <c r="H24" s="14" t="n">
        <f aca="false">IF(A24="","",DATEDIF(E24,Ayarlar!$B$3,"y"))</f>
        <v>5</v>
      </c>
      <c r="I24" s="14" t="n">
        <f aca="false">IF(OR(A24="",F24=""),"",DATEDIF(F24,Ayarlar!$B$3,"y"))</f>
        <v>39</v>
      </c>
      <c r="J24" s="14" t="n">
        <f aca="false">IF(A24="","",IF(H24&lt;1,0,MAX(IF(H24&lt;5,14,IF(H24&lt;15,20,26)),IF(AND(I24&lt;&gt;"",OR(I24&lt;=18,I24&gt;=50)),20,0))))</f>
        <v>20</v>
      </c>
      <c r="K24" s="17" t="n">
        <f aca="false">IF(A24="","",EDATE(E24,12*(H24+1)))</f>
        <v>46584</v>
      </c>
      <c r="L24" s="14" t="n">
        <f aca="false">IF(A24="","",K24-Ayarlar!$B$3)</f>
        <v>305</v>
      </c>
      <c r="M24" s="18" t="n">
        <f aca="false">IF(A24="","",Veri_Guncel!H24)</f>
        <v>4</v>
      </c>
      <c r="N24" s="18" t="n">
        <f aca="false">IF(A24="","",IFERROR(INDEX(Veri_Onceki!$H:$H,MATCH(A24,Veri_Onceki!$A:$A,0)),""))</f>
        <v>2</v>
      </c>
      <c r="O24" s="14" t="n">
        <f aca="false">IF(A24="","",IF(AND(H24&gt;=1,EDATE(E24,12*H24)&gt;Ayarlar!$B$4,EDATE(E24,12*H24)&lt;=Ayarlar!$B$3),J24,0))</f>
        <v>0</v>
      </c>
      <c r="P24" s="14" t="n">
        <f aca="false">IF(OR(A24="",N24=""),"",N24+O24-M24)</f>
        <v>-2</v>
      </c>
      <c r="Q24" s="16" t="str">
        <f aca="false">IF(A24="","",IF(M24&gt;=Ayarlar!$B$7,"ALARM",IF(M24&gt;=Ayarlar!$B$6,"Planla","")))</f>
        <v/>
      </c>
      <c r="R24" s="14" t="str">
        <f aca="false">IF(A24="","",IF(AND(L24&gt;=0,L24&lt;=Ayarlar!$B$9),"Evet",""))</f>
        <v/>
      </c>
      <c r="S24" s="16" t="str">
        <f aca="false">IF(A24="","",IF(N24="","Yeni personel",IF(P24&lt;0,"Kontrol et","")))</f>
        <v>Kontrol et</v>
      </c>
      <c r="T24" s="14" t="str">
        <f aca="false">IF(A24="","",IF(AND(G24=1,M24&gt;=Ayarlar!$B$6,OR(Ayarlar!$B$11="Tümü",C24=Ayarlar!$B$11)),M24+ROW()/100000,""))</f>
        <v/>
      </c>
    </row>
    <row r="25" customFormat="false" ht="15" hidden="false" customHeight="false" outlineLevel="0" collapsed="false">
      <c r="A25" s="18" t="str">
        <f aca="false">IF(Veri_Guncel!A25="","",Veri_Guncel!A25)</f>
        <v>S10024</v>
      </c>
      <c r="B25" s="18" t="str">
        <f aca="false">IF($A25="","",Veri_Guncel!B25)</f>
        <v>Buse Kaya</v>
      </c>
      <c r="C25" s="18" t="str">
        <f aca="false">IF($A25="","",Veri_Guncel!C25)</f>
        <v>Bölge 2</v>
      </c>
      <c r="D25" s="18" t="str">
        <f aca="false">IF($A25="","",Veri_Guncel!D25)</f>
        <v>Mağaza 2A</v>
      </c>
      <c r="E25" s="19" t="n">
        <f aca="false">IF($A25="","",Veri_Guncel!E25)</f>
        <v>43093</v>
      </c>
      <c r="F25" s="19" t="n">
        <f aca="false">IF($A25="","",Veri_Guncel!F25)</f>
        <v>39102</v>
      </c>
      <c r="G25" s="14" t="n">
        <f aca="false">IF(A25="","",IF(COUNTIF(Ayarlar!$A$15:$A$20,C25)&gt;0,1,0))</f>
        <v>1</v>
      </c>
      <c r="H25" s="14" t="n">
        <f aca="false">IF(A25="","",DATEDIF(E25,Ayarlar!$B$3,"y"))</f>
        <v>8</v>
      </c>
      <c r="I25" s="14" t="n">
        <f aca="false">IF(OR(A25="",F25=""),"",DATEDIF(F25,Ayarlar!$B$3,"y"))</f>
        <v>19</v>
      </c>
      <c r="J25" s="14" t="n">
        <f aca="false">IF(A25="","",IF(H25&lt;1,0,MAX(IF(H25&lt;5,14,IF(H25&lt;15,20,26)),IF(AND(I25&lt;&gt;"",OR(I25&lt;=18,I25&gt;=50)),20,0))))</f>
        <v>20</v>
      </c>
      <c r="K25" s="17" t="n">
        <f aca="false">IF(A25="","",EDATE(E25,12*(H25+1)))</f>
        <v>46380</v>
      </c>
      <c r="L25" s="14" t="n">
        <f aca="false">IF(A25="","",K25-Ayarlar!$B$3)</f>
        <v>101</v>
      </c>
      <c r="M25" s="18" t="n">
        <f aca="false">IF(A25="","",Veri_Guncel!H25)</f>
        <v>21</v>
      </c>
      <c r="N25" s="18" t="n">
        <f aca="false">IF(A25="","",IFERROR(INDEX(Veri_Onceki!$H:$H,MATCH(A25,Veri_Onceki!$A:$A,0)),""))</f>
        <v>28</v>
      </c>
      <c r="O25" s="14" t="n">
        <f aca="false">IF(A25="","",IF(AND(H25&gt;=1,EDATE(E25,12*H25)&gt;Ayarlar!$B$4,EDATE(E25,12*H25)&lt;=Ayarlar!$B$3),J25,0))</f>
        <v>0</v>
      </c>
      <c r="P25" s="14" t="n">
        <f aca="false">IF(OR(A25="",N25=""),"",N25+O25-M25)</f>
        <v>7</v>
      </c>
      <c r="Q25" s="16" t="str">
        <f aca="false">IF(A25="","",IF(M25&gt;=Ayarlar!$B$7,"ALARM",IF(M25&gt;=Ayarlar!$B$6,"Planla","")))</f>
        <v>ALARM</v>
      </c>
      <c r="R25" s="14" t="str">
        <f aca="false">IF(A25="","",IF(AND(L25&gt;=0,L25&lt;=Ayarlar!$B$9),"Evet",""))</f>
        <v/>
      </c>
      <c r="S25" s="16" t="str">
        <f aca="false">IF(A25="","",IF(N25="","Yeni personel",IF(P25&lt;0,"Kontrol et","")))</f>
        <v/>
      </c>
      <c r="T25" s="14" t="n">
        <f aca="false">IF(A25="","",IF(AND(G25=1,M25&gt;=Ayarlar!$B$6,OR(Ayarlar!$B$11="Tümü",C25=Ayarlar!$B$11)),M25+ROW()/100000,""))</f>
        <v>21.00025</v>
      </c>
    </row>
    <row r="26" customFormat="false" ht="15" hidden="false" customHeight="false" outlineLevel="0" collapsed="false">
      <c r="A26" s="18" t="str">
        <f aca="false">IF(Veri_Guncel!A26="","",Veri_Guncel!A26)</f>
        <v>S10025</v>
      </c>
      <c r="B26" s="18" t="str">
        <f aca="false">IF($A26="","",Veri_Guncel!B26)</f>
        <v>Can Öztürk</v>
      </c>
      <c r="C26" s="18" t="str">
        <f aca="false">IF($A26="","",Veri_Guncel!C26)</f>
        <v>Bölge 2</v>
      </c>
      <c r="D26" s="18" t="str">
        <f aca="false">IF($A26="","",Veri_Guncel!D26)</f>
        <v>Mağaza 2A</v>
      </c>
      <c r="E26" s="19" t="n">
        <f aca="false">IF($A26="","",Veri_Guncel!E26)</f>
        <v>40739</v>
      </c>
      <c r="F26" s="19" t="n">
        <f aca="false">IF($A26="","",Veri_Guncel!F26)</f>
        <v>27966</v>
      </c>
      <c r="G26" s="14" t="n">
        <f aca="false">IF(A26="","",IF(COUNTIF(Ayarlar!$A$15:$A$20,C26)&gt;0,1,0))</f>
        <v>1</v>
      </c>
      <c r="H26" s="14" t="n">
        <f aca="false">IF(A26="","",DATEDIF(E26,Ayarlar!$B$3,"y"))</f>
        <v>15</v>
      </c>
      <c r="I26" s="14" t="n">
        <f aca="false">IF(OR(A26="",F26=""),"",DATEDIF(F26,Ayarlar!$B$3,"y"))</f>
        <v>50</v>
      </c>
      <c r="J26" s="14" t="n">
        <f aca="false">IF(A26="","",IF(H26&lt;1,0,MAX(IF(H26&lt;5,14,IF(H26&lt;15,20,26)),IF(AND(I26&lt;&gt;"",OR(I26&lt;=18,I26&gt;=50)),20,0))))</f>
        <v>26</v>
      </c>
      <c r="K26" s="17" t="n">
        <f aca="false">IF(A26="","",EDATE(E26,12*(H26+1)))</f>
        <v>46583</v>
      </c>
      <c r="L26" s="14" t="n">
        <f aca="false">IF(A26="","",K26-Ayarlar!$B$3)</f>
        <v>304</v>
      </c>
      <c r="M26" s="18" t="n">
        <f aca="false">IF(A26="","",Veri_Guncel!H26)</f>
        <v>17</v>
      </c>
      <c r="N26" s="18" t="n">
        <f aca="false">IF(A26="","",IFERROR(INDEX(Veri_Onceki!$H:$H,MATCH(A26,Veri_Onceki!$A:$A,0)),""))</f>
        <v>20</v>
      </c>
      <c r="O26" s="14" t="n">
        <f aca="false">IF(A26="","",IF(AND(H26&gt;=1,EDATE(E26,12*H26)&gt;Ayarlar!$B$4,EDATE(E26,12*H26)&lt;=Ayarlar!$B$3),J26,0))</f>
        <v>0</v>
      </c>
      <c r="P26" s="14" t="n">
        <f aca="false">IF(OR(A26="",N26=""),"",N26+O26-M26)</f>
        <v>3</v>
      </c>
      <c r="Q26" s="16" t="str">
        <f aca="false">IF(A26="","",IF(M26&gt;=Ayarlar!$B$7,"ALARM",IF(M26&gt;=Ayarlar!$B$6,"Planla","")))</f>
        <v>Planla</v>
      </c>
      <c r="R26" s="14" t="str">
        <f aca="false">IF(A26="","",IF(AND(L26&gt;=0,L26&lt;=Ayarlar!$B$9),"Evet",""))</f>
        <v/>
      </c>
      <c r="S26" s="16" t="str">
        <f aca="false">IF(A26="","",IF(N26="","Yeni personel",IF(P26&lt;0,"Kontrol et","")))</f>
        <v/>
      </c>
      <c r="T26" s="14" t="n">
        <f aca="false">IF(A26="","",IF(AND(G26=1,M26&gt;=Ayarlar!$B$6,OR(Ayarlar!$B$11="Tümü",C26=Ayarlar!$B$11)),M26+ROW()/100000,""))</f>
        <v>17.00026</v>
      </c>
    </row>
    <row r="27" customFormat="false" ht="15" hidden="false" customHeight="false" outlineLevel="0" collapsed="false">
      <c r="A27" s="18" t="str">
        <f aca="false">IF(Veri_Guncel!A27="","",Veri_Guncel!A27)</f>
        <v>S10026</v>
      </c>
      <c r="B27" s="18" t="str">
        <f aca="false">IF($A27="","",Veri_Guncel!B27)</f>
        <v>Melis Çelik</v>
      </c>
      <c r="C27" s="18" t="str">
        <f aca="false">IF($A27="","",Veri_Guncel!C27)</f>
        <v>Bölge 2</v>
      </c>
      <c r="D27" s="18" t="str">
        <f aca="false">IF($A27="","",Veri_Guncel!D27)</f>
        <v>Mağaza 2A</v>
      </c>
      <c r="E27" s="19" t="n">
        <f aca="false">IF($A27="","",Veri_Guncel!E27)</f>
        <v>43819</v>
      </c>
      <c r="F27" s="19" t="n">
        <f aca="false">IF($A27="","",Veri_Guncel!F27)</f>
        <v>33940</v>
      </c>
      <c r="G27" s="14" t="n">
        <f aca="false">IF(A27="","",IF(COUNTIF(Ayarlar!$A$15:$A$20,C27)&gt;0,1,0))</f>
        <v>1</v>
      </c>
      <c r="H27" s="14" t="n">
        <f aca="false">IF(A27="","",DATEDIF(E27,Ayarlar!$B$3,"y"))</f>
        <v>6</v>
      </c>
      <c r="I27" s="14" t="n">
        <f aca="false">IF(OR(A27="",F27=""),"",DATEDIF(F27,Ayarlar!$B$3,"y"))</f>
        <v>33</v>
      </c>
      <c r="J27" s="14" t="n">
        <f aca="false">IF(A27="","",IF(H27&lt;1,0,MAX(IF(H27&lt;5,14,IF(H27&lt;15,20,26)),IF(AND(I27&lt;&gt;"",OR(I27&lt;=18,I27&gt;=50)),20,0))))</f>
        <v>20</v>
      </c>
      <c r="K27" s="17" t="n">
        <f aca="false">IF(A27="","",EDATE(E27,12*(H27+1)))</f>
        <v>46376</v>
      </c>
      <c r="L27" s="14" t="n">
        <f aca="false">IF(A27="","",K27-Ayarlar!$B$3)</f>
        <v>97</v>
      </c>
      <c r="M27" s="18" t="n">
        <f aca="false">IF(A27="","",Veri_Guncel!H27)</f>
        <v>6</v>
      </c>
      <c r="N27" s="18" t="n">
        <f aca="false">IF(A27="","",IFERROR(INDEX(Veri_Onceki!$H:$H,MATCH(A27,Veri_Onceki!$A:$A,0)),""))</f>
        <v>8</v>
      </c>
      <c r="O27" s="14" t="n">
        <f aca="false">IF(A27="","",IF(AND(H27&gt;=1,EDATE(E27,12*H27)&gt;Ayarlar!$B$4,EDATE(E27,12*H27)&lt;=Ayarlar!$B$3),J27,0))</f>
        <v>0</v>
      </c>
      <c r="P27" s="14" t="n">
        <f aca="false">IF(OR(A27="",N27=""),"",N27+O27-M27)</f>
        <v>2</v>
      </c>
      <c r="Q27" s="16" t="str">
        <f aca="false">IF(A27="","",IF(M27&gt;=Ayarlar!$B$7,"ALARM",IF(M27&gt;=Ayarlar!$B$6,"Planla","")))</f>
        <v/>
      </c>
      <c r="R27" s="14" t="str">
        <f aca="false">IF(A27="","",IF(AND(L27&gt;=0,L27&lt;=Ayarlar!$B$9),"Evet",""))</f>
        <v/>
      </c>
      <c r="S27" s="16" t="str">
        <f aca="false">IF(A27="","",IF(N27="","Yeni personel",IF(P27&lt;0,"Kontrol et","")))</f>
        <v/>
      </c>
      <c r="T27" s="14" t="str">
        <f aca="false">IF(A27="","",IF(AND(G27=1,M27&gt;=Ayarlar!$B$6,OR(Ayarlar!$B$11="Tümü",C27=Ayarlar!$B$11)),M27+ROW()/100000,""))</f>
        <v/>
      </c>
    </row>
    <row r="28" customFormat="false" ht="15" hidden="false" customHeight="false" outlineLevel="0" collapsed="false">
      <c r="A28" s="18" t="str">
        <f aca="false">IF(Veri_Guncel!A28="","",Veri_Guncel!A28)</f>
        <v>S10027</v>
      </c>
      <c r="B28" s="18" t="str">
        <f aca="false">IF($A28="","",Veri_Guncel!B28)</f>
        <v>Emre Kaya</v>
      </c>
      <c r="C28" s="18" t="str">
        <f aca="false">IF($A28="","",Veri_Guncel!C28)</f>
        <v>Bölge 2</v>
      </c>
      <c r="D28" s="18" t="str">
        <f aca="false">IF($A28="","",Veri_Guncel!D28)</f>
        <v>Mağaza 2A</v>
      </c>
      <c r="E28" s="19" t="n">
        <f aca="false">IF($A28="","",Veri_Guncel!E28)</f>
        <v>44175</v>
      </c>
      <c r="F28" s="19" t="n">
        <f aca="false">IF($A28="","",Veri_Guncel!F28)</f>
        <v>38246</v>
      </c>
      <c r="G28" s="14" t="n">
        <f aca="false">IF(A28="","",IF(COUNTIF(Ayarlar!$A$15:$A$20,C28)&gt;0,1,0))</f>
        <v>1</v>
      </c>
      <c r="H28" s="14" t="n">
        <f aca="false">IF(A28="","",DATEDIF(E28,Ayarlar!$B$3,"y"))</f>
        <v>5</v>
      </c>
      <c r="I28" s="14" t="n">
        <f aca="false">IF(OR(A28="",F28=""),"",DATEDIF(F28,Ayarlar!$B$3,"y"))</f>
        <v>21</v>
      </c>
      <c r="J28" s="14" t="n">
        <f aca="false">IF(A28="","",IF(H28&lt;1,0,MAX(IF(H28&lt;5,14,IF(H28&lt;15,20,26)),IF(AND(I28&lt;&gt;"",OR(I28&lt;=18,I28&gt;=50)),20,0))))</f>
        <v>20</v>
      </c>
      <c r="K28" s="17" t="n">
        <f aca="false">IF(A28="","",EDATE(E28,12*(H28+1)))</f>
        <v>46366</v>
      </c>
      <c r="L28" s="14" t="n">
        <f aca="false">IF(A28="","",K28-Ayarlar!$B$3)</f>
        <v>87</v>
      </c>
      <c r="M28" s="18" t="n">
        <f aca="false">IF(A28="","",Veri_Guncel!H28)</f>
        <v>17</v>
      </c>
      <c r="N28" s="18" t="n">
        <f aca="false">IF(A28="","",IFERROR(INDEX(Veri_Onceki!$H:$H,MATCH(A28,Veri_Onceki!$A:$A,0)),""))</f>
        <v>17</v>
      </c>
      <c r="O28" s="14" t="n">
        <f aca="false">IF(A28="","",IF(AND(H28&gt;=1,EDATE(E28,12*H28)&gt;Ayarlar!$B$4,EDATE(E28,12*H28)&lt;=Ayarlar!$B$3),J28,0))</f>
        <v>0</v>
      </c>
      <c r="P28" s="14" t="n">
        <f aca="false">IF(OR(A28="",N28=""),"",N28+O28-M28)</f>
        <v>0</v>
      </c>
      <c r="Q28" s="16" t="str">
        <f aca="false">IF(A28="","",IF(M28&gt;=Ayarlar!$B$7,"ALARM",IF(M28&gt;=Ayarlar!$B$6,"Planla","")))</f>
        <v>Planla</v>
      </c>
      <c r="R28" s="14" t="str">
        <f aca="false">IF(A28="","",IF(AND(L28&gt;=0,L28&lt;=Ayarlar!$B$9),"Evet",""))</f>
        <v/>
      </c>
      <c r="S28" s="16" t="str">
        <f aca="false">IF(A28="","",IF(N28="","Yeni personel",IF(P28&lt;0,"Kontrol et","")))</f>
        <v/>
      </c>
      <c r="T28" s="14" t="n">
        <f aca="false">IF(A28="","",IF(AND(G28=1,M28&gt;=Ayarlar!$B$6,OR(Ayarlar!$B$11="Tümü",C28=Ayarlar!$B$11)),M28+ROW()/100000,""))</f>
        <v>17.00028</v>
      </c>
    </row>
    <row r="29" customFormat="false" ht="15" hidden="false" customHeight="false" outlineLevel="0" collapsed="false">
      <c r="A29" s="18" t="str">
        <f aca="false">IF(Veri_Guncel!A29="","",Veri_Guncel!A29)</f>
        <v>S10028</v>
      </c>
      <c r="B29" s="18" t="str">
        <f aca="false">IF($A29="","",Veri_Guncel!B29)</f>
        <v>Tolga Aydın</v>
      </c>
      <c r="C29" s="18" t="str">
        <f aca="false">IF($A29="","",Veri_Guncel!C29)</f>
        <v>Bölge 2</v>
      </c>
      <c r="D29" s="18" t="str">
        <f aca="false">IF($A29="","",Veri_Guncel!D29)</f>
        <v>Mağaza 2A</v>
      </c>
      <c r="E29" s="19" t="n">
        <f aca="false">IF($A29="","",Veri_Guncel!E29)</f>
        <v>44449</v>
      </c>
      <c r="F29" s="19" t="n">
        <f aca="false">IF($A29="","",Veri_Guncel!F29)</f>
        <v>33227</v>
      </c>
      <c r="G29" s="14" t="n">
        <f aca="false">IF(A29="","",IF(COUNTIF(Ayarlar!$A$15:$A$20,C29)&gt;0,1,0))</f>
        <v>1</v>
      </c>
      <c r="H29" s="14" t="n">
        <f aca="false">IF(A29="","",DATEDIF(E29,Ayarlar!$B$3,"y"))</f>
        <v>5</v>
      </c>
      <c r="I29" s="14" t="n">
        <f aca="false">IF(OR(A29="",F29=""),"",DATEDIF(F29,Ayarlar!$B$3,"y"))</f>
        <v>35</v>
      </c>
      <c r="J29" s="14" t="n">
        <f aca="false">IF(A29="","",IF(H29&lt;1,0,MAX(IF(H29&lt;5,14,IF(H29&lt;15,20,26)),IF(AND(I29&lt;&gt;"",OR(I29&lt;=18,I29&gt;=50)),20,0))))</f>
        <v>20</v>
      </c>
      <c r="K29" s="17" t="n">
        <f aca="false">IF(A29="","",EDATE(E29,12*(H29+1)))</f>
        <v>46640</v>
      </c>
      <c r="L29" s="14" t="n">
        <f aca="false">IF(A29="","",K29-Ayarlar!$B$3)</f>
        <v>361</v>
      </c>
      <c r="M29" s="18" t="n">
        <f aca="false">IF(A29="","",Veri_Guncel!H29)</f>
        <v>15</v>
      </c>
      <c r="N29" s="18" t="n">
        <f aca="false">IF(A29="","",IFERROR(INDEX(Veri_Onceki!$H:$H,MATCH(A29,Veri_Onceki!$A:$A,0)),""))</f>
        <v>2</v>
      </c>
      <c r="O29" s="14" t="n">
        <f aca="false">IF(A29="","",IF(AND(H29&gt;=1,EDATE(E29,12*H29)&gt;Ayarlar!$B$4,EDATE(E29,12*H29)&lt;=Ayarlar!$B$3),J29,0))</f>
        <v>20</v>
      </c>
      <c r="P29" s="14" t="n">
        <f aca="false">IF(OR(A29="",N29=""),"",N29+O29-M29)</f>
        <v>7</v>
      </c>
      <c r="Q29" s="16" t="str">
        <f aca="false">IF(A29="","",IF(M29&gt;=Ayarlar!$B$7,"ALARM",IF(M29&gt;=Ayarlar!$B$6,"Planla","")))</f>
        <v>Planla</v>
      </c>
      <c r="R29" s="14" t="str">
        <f aca="false">IF(A29="","",IF(AND(L29&gt;=0,L29&lt;=Ayarlar!$B$9),"Evet",""))</f>
        <v/>
      </c>
      <c r="S29" s="16" t="str">
        <f aca="false">IF(A29="","",IF(N29="","Yeni personel",IF(P29&lt;0,"Kontrol et","")))</f>
        <v/>
      </c>
      <c r="T29" s="14" t="n">
        <f aca="false">IF(A29="","",IF(AND(G29=1,M29&gt;=Ayarlar!$B$6,OR(Ayarlar!$B$11="Tümü",C29=Ayarlar!$B$11)),M29+ROW()/100000,""))</f>
        <v>15.00029</v>
      </c>
    </row>
    <row r="30" customFormat="false" ht="15" hidden="false" customHeight="false" outlineLevel="0" collapsed="false">
      <c r="A30" s="18" t="str">
        <f aca="false">IF(Veri_Guncel!A30="","",Veri_Guncel!A30)</f>
        <v>S10029</v>
      </c>
      <c r="B30" s="18" t="str">
        <f aca="false">IF($A30="","",Veri_Guncel!B30)</f>
        <v>Ece Kurt</v>
      </c>
      <c r="C30" s="18" t="str">
        <f aca="false">IF($A30="","",Veri_Guncel!C30)</f>
        <v>Bölge 2</v>
      </c>
      <c r="D30" s="18" t="str">
        <f aca="false">IF($A30="","",Veri_Guncel!D30)</f>
        <v>Mağaza 2A</v>
      </c>
      <c r="E30" s="19" t="n">
        <f aca="false">IF($A30="","",Veri_Guncel!E30)</f>
        <v>41574</v>
      </c>
      <c r="F30" s="19" t="n">
        <f aca="false">IF($A30="","",Veri_Guncel!F30)</f>
        <v>33706</v>
      </c>
      <c r="G30" s="14" t="n">
        <f aca="false">IF(A30="","",IF(COUNTIF(Ayarlar!$A$15:$A$20,C30)&gt;0,1,0))</f>
        <v>1</v>
      </c>
      <c r="H30" s="14" t="n">
        <f aca="false">IF(A30="","",DATEDIF(E30,Ayarlar!$B$3,"y"))</f>
        <v>12</v>
      </c>
      <c r="I30" s="14" t="n">
        <f aca="false">IF(OR(A30="",F30=""),"",DATEDIF(F30,Ayarlar!$B$3,"y"))</f>
        <v>34</v>
      </c>
      <c r="J30" s="14" t="n">
        <f aca="false">IF(A30="","",IF(H30&lt;1,0,MAX(IF(H30&lt;5,14,IF(H30&lt;15,20,26)),IF(AND(I30&lt;&gt;"",OR(I30&lt;=18,I30&gt;=50)),20,0))))</f>
        <v>20</v>
      </c>
      <c r="K30" s="17" t="n">
        <f aca="false">IF(A30="","",EDATE(E30,12*(H30+1)))</f>
        <v>46322</v>
      </c>
      <c r="L30" s="14" t="n">
        <f aca="false">IF(A30="","",K30-Ayarlar!$B$3)</f>
        <v>43</v>
      </c>
      <c r="M30" s="18" t="n">
        <f aca="false">IF(A30="","",Veri_Guncel!H30)</f>
        <v>2</v>
      </c>
      <c r="N30" s="18" t="n">
        <f aca="false">IF(A30="","",IFERROR(INDEX(Veri_Onceki!$H:$H,MATCH(A30,Veri_Onceki!$A:$A,0)),""))</f>
        <v>5</v>
      </c>
      <c r="O30" s="14" t="n">
        <f aca="false">IF(A30="","",IF(AND(H30&gt;=1,EDATE(E30,12*H30)&gt;Ayarlar!$B$4,EDATE(E30,12*H30)&lt;=Ayarlar!$B$3),J30,0))</f>
        <v>0</v>
      </c>
      <c r="P30" s="14" t="n">
        <f aca="false">IF(OR(A30="",N30=""),"",N30+O30-M30)</f>
        <v>3</v>
      </c>
      <c r="Q30" s="16" t="str">
        <f aca="false">IF(A30="","",IF(M30&gt;=Ayarlar!$B$7,"ALARM",IF(M30&gt;=Ayarlar!$B$6,"Planla","")))</f>
        <v/>
      </c>
      <c r="R30" s="14" t="str">
        <f aca="false">IF(A30="","",IF(AND(L30&gt;=0,L30&lt;=Ayarlar!$B$9),"Evet",""))</f>
        <v>Evet</v>
      </c>
      <c r="S30" s="16" t="str">
        <f aca="false">IF(A30="","",IF(N30="","Yeni personel",IF(P30&lt;0,"Kontrol et","")))</f>
        <v/>
      </c>
      <c r="T30" s="14" t="str">
        <f aca="false">IF(A30="","",IF(AND(G30=1,M30&gt;=Ayarlar!$B$6,OR(Ayarlar!$B$11="Tümü",C30=Ayarlar!$B$11)),M30+ROW()/100000,""))</f>
        <v/>
      </c>
    </row>
    <row r="31" customFormat="false" ht="15" hidden="false" customHeight="false" outlineLevel="0" collapsed="false">
      <c r="A31" s="18" t="str">
        <f aca="false">IF(Veri_Guncel!A31="","",Veri_Guncel!A31)</f>
        <v>S10030</v>
      </c>
      <c r="B31" s="18" t="str">
        <f aca="false">IF($A31="","",Veri_Guncel!B31)</f>
        <v>Umut Özdemir</v>
      </c>
      <c r="C31" s="18" t="str">
        <f aca="false">IF($A31="","",Veri_Guncel!C31)</f>
        <v>Bölge 2</v>
      </c>
      <c r="D31" s="18" t="str">
        <f aca="false">IF($A31="","",Veri_Guncel!D31)</f>
        <v>Mağaza 2B</v>
      </c>
      <c r="E31" s="19" t="n">
        <f aca="false">IF($A31="","",Veri_Guncel!E31)</f>
        <v>41581</v>
      </c>
      <c r="F31" s="19" t="n">
        <f aca="false">IF($A31="","",Veri_Guncel!F31)</f>
        <v>36789</v>
      </c>
      <c r="G31" s="14" t="n">
        <f aca="false">IF(A31="","",IF(COUNTIF(Ayarlar!$A$15:$A$20,C31)&gt;0,1,0))</f>
        <v>1</v>
      </c>
      <c r="H31" s="14" t="n">
        <f aca="false">IF(A31="","",DATEDIF(E31,Ayarlar!$B$3,"y"))</f>
        <v>12</v>
      </c>
      <c r="I31" s="14" t="n">
        <f aca="false">IF(OR(A31="",F31=""),"",DATEDIF(F31,Ayarlar!$B$3,"y"))</f>
        <v>25</v>
      </c>
      <c r="J31" s="14" t="n">
        <f aca="false">IF(A31="","",IF(H31&lt;1,0,MAX(IF(H31&lt;5,14,IF(H31&lt;15,20,26)),IF(AND(I31&lt;&gt;"",OR(I31&lt;=18,I31&gt;=50)),20,0))))</f>
        <v>20</v>
      </c>
      <c r="K31" s="17" t="n">
        <f aca="false">IF(A31="","",EDATE(E31,12*(H31+1)))</f>
        <v>46329</v>
      </c>
      <c r="L31" s="14" t="n">
        <f aca="false">IF(A31="","",K31-Ayarlar!$B$3)</f>
        <v>50</v>
      </c>
      <c r="M31" s="18" t="n">
        <f aca="false">IF(A31="","",Veri_Guncel!H31)</f>
        <v>0</v>
      </c>
      <c r="N31" s="18" t="n">
        <f aca="false">IF(A31="","",IFERROR(INDEX(Veri_Onceki!$H:$H,MATCH(A31,Veri_Onceki!$A:$A,0)),""))</f>
        <v>0</v>
      </c>
      <c r="O31" s="14" t="n">
        <f aca="false">IF(A31="","",IF(AND(H31&gt;=1,EDATE(E31,12*H31)&gt;Ayarlar!$B$4,EDATE(E31,12*H31)&lt;=Ayarlar!$B$3),J31,0))</f>
        <v>0</v>
      </c>
      <c r="P31" s="14" t="n">
        <f aca="false">IF(OR(A31="",N31=""),"",N31+O31-M31)</f>
        <v>0</v>
      </c>
      <c r="Q31" s="16" t="str">
        <f aca="false">IF(A31="","",IF(M31&gt;=Ayarlar!$B$7,"ALARM",IF(M31&gt;=Ayarlar!$B$6,"Planla","")))</f>
        <v/>
      </c>
      <c r="R31" s="14" t="str">
        <f aca="false">IF(A31="","",IF(AND(L31&gt;=0,L31&lt;=Ayarlar!$B$9),"Evet",""))</f>
        <v>Evet</v>
      </c>
      <c r="S31" s="16" t="str">
        <f aca="false">IF(A31="","",IF(N31="","Yeni personel",IF(P31&lt;0,"Kontrol et","")))</f>
        <v/>
      </c>
      <c r="T31" s="14" t="str">
        <f aca="false">IF(A31="","",IF(AND(G31=1,M31&gt;=Ayarlar!$B$6,OR(Ayarlar!$B$11="Tümü",C31=Ayarlar!$B$11)),M31+ROW()/100000,""))</f>
        <v/>
      </c>
    </row>
    <row r="32" customFormat="false" ht="15" hidden="false" customHeight="false" outlineLevel="0" collapsed="false">
      <c r="A32" s="18" t="str">
        <f aca="false">IF(Veri_Guncel!A32="","",Veri_Guncel!A32)</f>
        <v>S10031</v>
      </c>
      <c r="B32" s="18" t="str">
        <f aca="false">IF($A32="","",Veri_Guncel!B32)</f>
        <v>Ayşe Kaya</v>
      </c>
      <c r="C32" s="18" t="str">
        <f aca="false">IF($A32="","",Veri_Guncel!C32)</f>
        <v>Bölge 2</v>
      </c>
      <c r="D32" s="18" t="str">
        <f aca="false">IF($A32="","",Veri_Guncel!D32)</f>
        <v>Mağaza 2B</v>
      </c>
      <c r="E32" s="19" t="n">
        <f aca="false">IF($A32="","",Veri_Guncel!E32)</f>
        <v>46060</v>
      </c>
      <c r="F32" s="19" t="n">
        <f aca="false">IF($A32="","",Veri_Guncel!F32)</f>
        <v>35469</v>
      </c>
      <c r="G32" s="14" t="n">
        <f aca="false">IF(A32="","",IF(COUNTIF(Ayarlar!$A$15:$A$20,C32)&gt;0,1,0))</f>
        <v>1</v>
      </c>
      <c r="H32" s="14" t="n">
        <f aca="false">IF(A32="","",DATEDIF(E32,Ayarlar!$B$3,"y"))</f>
        <v>0</v>
      </c>
      <c r="I32" s="14" t="n">
        <f aca="false">IF(OR(A32="",F32=""),"",DATEDIF(F32,Ayarlar!$B$3,"y"))</f>
        <v>29</v>
      </c>
      <c r="J32" s="14" t="n">
        <f aca="false">IF(A32="","",IF(H32&lt;1,0,MAX(IF(H32&lt;5,14,IF(H32&lt;15,20,26)),IF(AND(I32&lt;&gt;"",OR(I32&lt;=18,I32&gt;=50)),20,0))))</f>
        <v>0</v>
      </c>
      <c r="K32" s="17" t="n">
        <f aca="false">IF(A32="","",EDATE(E32,12*(H32+1)))</f>
        <v>46425</v>
      </c>
      <c r="L32" s="14" t="n">
        <f aca="false">IF(A32="","",K32-Ayarlar!$B$3)</f>
        <v>146</v>
      </c>
      <c r="M32" s="18" t="n">
        <f aca="false">IF(A32="","",Veri_Guncel!H32)</f>
        <v>0</v>
      </c>
      <c r="N32" s="18" t="n">
        <f aca="false">IF(A32="","",IFERROR(INDEX(Veri_Onceki!$H:$H,MATCH(A32,Veri_Onceki!$A:$A,0)),""))</f>
        <v>7</v>
      </c>
      <c r="O32" s="14" t="n">
        <f aca="false">IF(A32="","",IF(AND(H32&gt;=1,EDATE(E32,12*H32)&gt;Ayarlar!$B$4,EDATE(E32,12*H32)&lt;=Ayarlar!$B$3),J32,0))</f>
        <v>0</v>
      </c>
      <c r="P32" s="14" t="n">
        <f aca="false">IF(OR(A32="",N32=""),"",N32+O32-M32)</f>
        <v>7</v>
      </c>
      <c r="Q32" s="16" t="str">
        <f aca="false">IF(A32="","",IF(M32&gt;=Ayarlar!$B$7,"ALARM",IF(M32&gt;=Ayarlar!$B$6,"Planla","")))</f>
        <v/>
      </c>
      <c r="R32" s="14" t="str">
        <f aca="false">IF(A32="","",IF(AND(L32&gt;=0,L32&lt;=Ayarlar!$B$9),"Evet",""))</f>
        <v/>
      </c>
      <c r="S32" s="16" t="str">
        <f aca="false">IF(A32="","",IF(N32="","Yeni personel",IF(P32&lt;0,"Kontrol et","")))</f>
        <v/>
      </c>
      <c r="T32" s="14" t="str">
        <f aca="false">IF(A32="","",IF(AND(G32=1,M32&gt;=Ayarlar!$B$6,OR(Ayarlar!$B$11="Tümü",C32=Ayarlar!$B$11)),M32+ROW()/100000,""))</f>
        <v/>
      </c>
    </row>
    <row r="33" customFormat="false" ht="15" hidden="false" customHeight="false" outlineLevel="0" collapsed="false">
      <c r="A33" s="18" t="str">
        <f aca="false">IF(Veri_Guncel!A33="","",Veri_Guncel!A33)</f>
        <v>S10032</v>
      </c>
      <c r="B33" s="18" t="str">
        <f aca="false">IF($A33="","",Veri_Guncel!B33)</f>
        <v>Melis Kurt</v>
      </c>
      <c r="C33" s="18" t="str">
        <f aca="false">IF($A33="","",Veri_Guncel!C33)</f>
        <v>Bölge 2</v>
      </c>
      <c r="D33" s="18" t="str">
        <f aca="false">IF($A33="","",Veri_Guncel!D33)</f>
        <v>Mağaza 2B</v>
      </c>
      <c r="E33" s="19" t="n">
        <f aca="false">IF($A33="","",Veri_Guncel!E33)</f>
        <v>45299</v>
      </c>
      <c r="F33" s="19" t="n">
        <f aca="false">IF($A33="","",Veri_Guncel!F33)</f>
        <v>32861</v>
      </c>
      <c r="G33" s="14" t="n">
        <f aca="false">IF(A33="","",IF(COUNTIF(Ayarlar!$A$15:$A$20,C33)&gt;0,1,0))</f>
        <v>1</v>
      </c>
      <c r="H33" s="14" t="n">
        <f aca="false">IF(A33="","",DATEDIF(E33,Ayarlar!$B$3,"y"))</f>
        <v>2</v>
      </c>
      <c r="I33" s="14" t="n">
        <f aca="false">IF(OR(A33="",F33=""),"",DATEDIF(F33,Ayarlar!$B$3,"y"))</f>
        <v>36</v>
      </c>
      <c r="J33" s="14" t="n">
        <f aca="false">IF(A33="","",IF(H33&lt;1,0,MAX(IF(H33&lt;5,14,IF(H33&lt;15,20,26)),IF(AND(I33&lt;&gt;"",OR(I33&lt;=18,I33&gt;=50)),20,0))))</f>
        <v>14</v>
      </c>
      <c r="K33" s="17" t="n">
        <f aca="false">IF(A33="","",EDATE(E33,12*(H33+1)))</f>
        <v>46395</v>
      </c>
      <c r="L33" s="14" t="n">
        <f aca="false">IF(A33="","",K33-Ayarlar!$B$3)</f>
        <v>116</v>
      </c>
      <c r="M33" s="18" t="n">
        <f aca="false">IF(A33="","",Veri_Guncel!H33)</f>
        <v>28</v>
      </c>
      <c r="N33" s="18" t="n">
        <f aca="false">IF(A33="","",IFERROR(INDEX(Veri_Onceki!$H:$H,MATCH(A33,Veri_Onceki!$A:$A,0)),""))</f>
        <v>28</v>
      </c>
      <c r="O33" s="14" t="n">
        <f aca="false">IF(A33="","",IF(AND(H33&gt;=1,EDATE(E33,12*H33)&gt;Ayarlar!$B$4,EDATE(E33,12*H33)&lt;=Ayarlar!$B$3),J33,0))</f>
        <v>0</v>
      </c>
      <c r="P33" s="14" t="n">
        <f aca="false">IF(OR(A33="",N33=""),"",N33+O33-M33)</f>
        <v>0</v>
      </c>
      <c r="Q33" s="16" t="str">
        <f aca="false">IF(A33="","",IF(M33&gt;=Ayarlar!$B$7,"ALARM",IF(M33&gt;=Ayarlar!$B$6,"Planla","")))</f>
        <v>ALARM</v>
      </c>
      <c r="R33" s="14" t="str">
        <f aca="false">IF(A33="","",IF(AND(L33&gt;=0,L33&lt;=Ayarlar!$B$9),"Evet",""))</f>
        <v/>
      </c>
      <c r="S33" s="16" t="str">
        <f aca="false">IF(A33="","",IF(N33="","Yeni personel",IF(P33&lt;0,"Kontrol et","")))</f>
        <v/>
      </c>
      <c r="T33" s="14" t="n">
        <f aca="false">IF(A33="","",IF(AND(G33=1,M33&gt;=Ayarlar!$B$6,OR(Ayarlar!$B$11="Tümü",C33=Ayarlar!$B$11)),M33+ROW()/100000,""))</f>
        <v>28.00033</v>
      </c>
    </row>
    <row r="34" customFormat="false" ht="15" hidden="false" customHeight="false" outlineLevel="0" collapsed="false">
      <c r="A34" s="18" t="str">
        <f aca="false">IF(Veri_Guncel!A34="","",Veri_Guncel!A34)</f>
        <v>S10033</v>
      </c>
      <c r="B34" s="18" t="str">
        <f aca="false">IF($A34="","",Veri_Guncel!B34)</f>
        <v>Gizem Demir</v>
      </c>
      <c r="C34" s="18" t="str">
        <f aca="false">IF($A34="","",Veri_Guncel!C34)</f>
        <v>Bölge 2</v>
      </c>
      <c r="D34" s="18" t="str">
        <f aca="false">IF($A34="","",Veri_Guncel!D34)</f>
        <v>Mağaza 2B</v>
      </c>
      <c r="E34" s="19" t="n">
        <f aca="false">IF($A34="","",Veri_Guncel!E34)</f>
        <v>45760</v>
      </c>
      <c r="F34" s="19" t="n">
        <f aca="false">IF($A34="","",Veri_Guncel!F34)</f>
        <v>35232</v>
      </c>
      <c r="G34" s="14" t="n">
        <f aca="false">IF(A34="","",IF(COUNTIF(Ayarlar!$A$15:$A$20,C34)&gt;0,1,0))</f>
        <v>1</v>
      </c>
      <c r="H34" s="14" t="n">
        <f aca="false">IF(A34="","",DATEDIF(E34,Ayarlar!$B$3,"y"))</f>
        <v>1</v>
      </c>
      <c r="I34" s="14" t="n">
        <f aca="false">IF(OR(A34="",F34=""),"",DATEDIF(F34,Ayarlar!$B$3,"y"))</f>
        <v>30</v>
      </c>
      <c r="J34" s="14" t="n">
        <f aca="false">IF(A34="","",IF(H34&lt;1,0,MAX(IF(H34&lt;5,14,IF(H34&lt;15,20,26)),IF(AND(I34&lt;&gt;"",OR(I34&lt;=18,I34&gt;=50)),20,0))))</f>
        <v>14</v>
      </c>
      <c r="K34" s="17" t="n">
        <f aca="false">IF(A34="","",EDATE(E34,12*(H34+1)))</f>
        <v>46490</v>
      </c>
      <c r="L34" s="14" t="n">
        <f aca="false">IF(A34="","",K34-Ayarlar!$B$3)</f>
        <v>211</v>
      </c>
      <c r="M34" s="18" t="n">
        <f aca="false">IF(A34="","",Veri_Guncel!H34)</f>
        <v>6</v>
      </c>
      <c r="N34" s="18" t="n">
        <f aca="false">IF(A34="","",IFERROR(INDEX(Veri_Onceki!$H:$H,MATCH(A34,Veri_Onceki!$A:$A,0)),""))</f>
        <v>8</v>
      </c>
      <c r="O34" s="14" t="n">
        <f aca="false">IF(A34="","",IF(AND(H34&gt;=1,EDATE(E34,12*H34)&gt;Ayarlar!$B$4,EDATE(E34,12*H34)&lt;=Ayarlar!$B$3),J34,0))</f>
        <v>0</v>
      </c>
      <c r="P34" s="14" t="n">
        <f aca="false">IF(OR(A34="",N34=""),"",N34+O34-M34)</f>
        <v>2</v>
      </c>
      <c r="Q34" s="16" t="str">
        <f aca="false">IF(A34="","",IF(M34&gt;=Ayarlar!$B$7,"ALARM",IF(M34&gt;=Ayarlar!$B$6,"Planla","")))</f>
        <v/>
      </c>
      <c r="R34" s="14" t="str">
        <f aca="false">IF(A34="","",IF(AND(L34&gt;=0,L34&lt;=Ayarlar!$B$9),"Evet",""))</f>
        <v/>
      </c>
      <c r="S34" s="16" t="str">
        <f aca="false">IF(A34="","",IF(N34="","Yeni personel",IF(P34&lt;0,"Kontrol et","")))</f>
        <v/>
      </c>
      <c r="T34" s="14" t="str">
        <f aca="false">IF(A34="","",IF(AND(G34=1,M34&gt;=Ayarlar!$B$6,OR(Ayarlar!$B$11="Tümü",C34=Ayarlar!$B$11)),M34+ROW()/100000,""))</f>
        <v/>
      </c>
    </row>
    <row r="35" customFormat="false" ht="15" hidden="false" customHeight="false" outlineLevel="0" collapsed="false">
      <c r="A35" s="18" t="str">
        <f aca="false">IF(Veri_Guncel!A35="","",Veri_Guncel!A35)</f>
        <v>S10034</v>
      </c>
      <c r="B35" s="18" t="str">
        <f aca="false">IF($A35="","",Veri_Guncel!B35)</f>
        <v>Deniz Özdemir</v>
      </c>
      <c r="C35" s="18" t="str">
        <f aca="false">IF($A35="","",Veri_Guncel!C35)</f>
        <v>Bölge 2</v>
      </c>
      <c r="D35" s="18" t="str">
        <f aca="false">IF($A35="","",Veri_Guncel!D35)</f>
        <v>Mağaza 2B</v>
      </c>
      <c r="E35" s="19" t="n">
        <f aca="false">IF($A35="","",Veri_Guncel!E35)</f>
        <v>41127</v>
      </c>
      <c r="F35" s="19" t="n">
        <f aca="false">IF($A35="","",Veri_Guncel!F35)</f>
        <v>37795</v>
      </c>
      <c r="G35" s="14" t="n">
        <f aca="false">IF(A35="","",IF(COUNTIF(Ayarlar!$A$15:$A$20,C35)&gt;0,1,0))</f>
        <v>1</v>
      </c>
      <c r="H35" s="14" t="n">
        <f aca="false">IF(A35="","",DATEDIF(E35,Ayarlar!$B$3,"y"))</f>
        <v>14</v>
      </c>
      <c r="I35" s="14" t="n">
        <f aca="false">IF(OR(A35="",F35=""),"",DATEDIF(F35,Ayarlar!$B$3,"y"))</f>
        <v>23</v>
      </c>
      <c r="J35" s="14" t="n">
        <f aca="false">IF(A35="","",IF(H35&lt;1,0,MAX(IF(H35&lt;5,14,IF(H35&lt;15,20,26)),IF(AND(I35&lt;&gt;"",OR(I35&lt;=18,I35&gt;=50)),20,0))))</f>
        <v>20</v>
      </c>
      <c r="K35" s="17" t="n">
        <f aca="false">IF(A35="","",EDATE(E35,12*(H35+1)))</f>
        <v>46605</v>
      </c>
      <c r="L35" s="14" t="n">
        <f aca="false">IF(A35="","",K35-Ayarlar!$B$3)</f>
        <v>326</v>
      </c>
      <c r="M35" s="18" t="n">
        <f aca="false">IF(A35="","",Veri_Guncel!H35)</f>
        <v>17</v>
      </c>
      <c r="N35" s="18" t="n">
        <f aca="false">IF(A35="","",IFERROR(INDEX(Veri_Onceki!$H:$H,MATCH(A35,Veri_Onceki!$A:$A,0)),""))</f>
        <v>0</v>
      </c>
      <c r="O35" s="14" t="n">
        <f aca="false">IF(A35="","",IF(AND(H35&gt;=1,EDATE(E35,12*H35)&gt;Ayarlar!$B$4,EDATE(E35,12*H35)&lt;=Ayarlar!$B$3),J35,0))</f>
        <v>20</v>
      </c>
      <c r="P35" s="14" t="n">
        <f aca="false">IF(OR(A35="",N35=""),"",N35+O35-M35)</f>
        <v>3</v>
      </c>
      <c r="Q35" s="16" t="str">
        <f aca="false">IF(A35="","",IF(M35&gt;=Ayarlar!$B$7,"ALARM",IF(M35&gt;=Ayarlar!$B$6,"Planla","")))</f>
        <v>Planla</v>
      </c>
      <c r="R35" s="14" t="str">
        <f aca="false">IF(A35="","",IF(AND(L35&gt;=0,L35&lt;=Ayarlar!$B$9),"Evet",""))</f>
        <v/>
      </c>
      <c r="S35" s="16" t="str">
        <f aca="false">IF(A35="","",IF(N35="","Yeni personel",IF(P35&lt;0,"Kontrol et","")))</f>
        <v/>
      </c>
      <c r="T35" s="14" t="n">
        <f aca="false">IF(A35="","",IF(AND(G35=1,M35&gt;=Ayarlar!$B$6,OR(Ayarlar!$B$11="Tümü",C35=Ayarlar!$B$11)),M35+ROW()/100000,""))</f>
        <v>17.00035</v>
      </c>
    </row>
    <row r="36" customFormat="false" ht="15" hidden="false" customHeight="false" outlineLevel="0" collapsed="false">
      <c r="A36" s="18" t="str">
        <f aca="false">IF(Veri_Guncel!A36="","",Veri_Guncel!A36)</f>
        <v>S10035</v>
      </c>
      <c r="B36" s="18" t="str">
        <f aca="false">IF($A36="","",Veri_Guncel!B36)</f>
        <v>Buse Yılmaz</v>
      </c>
      <c r="C36" s="18" t="str">
        <f aca="false">IF($A36="","",Veri_Guncel!C36)</f>
        <v>Bölge 2</v>
      </c>
      <c r="D36" s="18" t="str">
        <f aca="false">IF($A36="","",Veri_Guncel!D36)</f>
        <v>Mağaza 2C</v>
      </c>
      <c r="E36" s="19" t="n">
        <f aca="false">IF($A36="","",Veri_Guncel!E36)</f>
        <v>43328</v>
      </c>
      <c r="F36" s="19" t="n">
        <f aca="false">IF($A36="","",Veri_Guncel!F36)</f>
        <v>35205</v>
      </c>
      <c r="G36" s="14" t="n">
        <f aca="false">IF(A36="","",IF(COUNTIF(Ayarlar!$A$15:$A$20,C36)&gt;0,1,0))</f>
        <v>1</v>
      </c>
      <c r="H36" s="14" t="n">
        <f aca="false">IF(A36="","",DATEDIF(E36,Ayarlar!$B$3,"y"))</f>
        <v>8</v>
      </c>
      <c r="I36" s="14" t="n">
        <f aca="false">IF(OR(A36="",F36=""),"",DATEDIF(F36,Ayarlar!$B$3,"y"))</f>
        <v>30</v>
      </c>
      <c r="J36" s="14" t="n">
        <f aca="false">IF(A36="","",IF(H36&lt;1,0,MAX(IF(H36&lt;5,14,IF(H36&lt;15,20,26)),IF(AND(I36&lt;&gt;"",OR(I36&lt;=18,I36&gt;=50)),20,0))))</f>
        <v>20</v>
      </c>
      <c r="K36" s="17" t="n">
        <f aca="false">IF(A36="","",EDATE(E36,12*(H36+1)))</f>
        <v>46615</v>
      </c>
      <c r="L36" s="14" t="n">
        <f aca="false">IF(A36="","",K36-Ayarlar!$B$3)</f>
        <v>336</v>
      </c>
      <c r="M36" s="18" t="n">
        <f aca="false">IF(A36="","",Veri_Guncel!H36)</f>
        <v>12</v>
      </c>
      <c r="N36" s="18" t="n">
        <f aca="false">IF(A36="","",IFERROR(INDEX(Veri_Onceki!$H:$H,MATCH(A36,Veri_Onceki!$A:$A,0)),""))</f>
        <v>0</v>
      </c>
      <c r="O36" s="14" t="n">
        <f aca="false">IF(A36="","",IF(AND(H36&gt;=1,EDATE(E36,12*H36)&gt;Ayarlar!$B$4,EDATE(E36,12*H36)&lt;=Ayarlar!$B$3),J36,0))</f>
        <v>20</v>
      </c>
      <c r="P36" s="14" t="n">
        <f aca="false">IF(OR(A36="",N36=""),"",N36+O36-M36)</f>
        <v>8</v>
      </c>
      <c r="Q36" s="16" t="str">
        <f aca="false">IF(A36="","",IF(M36&gt;=Ayarlar!$B$7,"ALARM",IF(M36&gt;=Ayarlar!$B$6,"Planla","")))</f>
        <v/>
      </c>
      <c r="R36" s="14" t="str">
        <f aca="false">IF(A36="","",IF(AND(L36&gt;=0,L36&lt;=Ayarlar!$B$9),"Evet",""))</f>
        <v/>
      </c>
      <c r="S36" s="16" t="str">
        <f aca="false">IF(A36="","",IF(N36="","Yeni personel",IF(P36&lt;0,"Kontrol et","")))</f>
        <v/>
      </c>
      <c r="T36" s="14" t="str">
        <f aca="false">IF(A36="","",IF(AND(G36=1,M36&gt;=Ayarlar!$B$6,OR(Ayarlar!$B$11="Tümü",C36=Ayarlar!$B$11)),M36+ROW()/100000,""))</f>
        <v/>
      </c>
    </row>
    <row r="37" customFormat="false" ht="15" hidden="false" customHeight="false" outlineLevel="0" collapsed="false">
      <c r="A37" s="18" t="str">
        <f aca="false">IF(Veri_Guncel!A37="","",Veri_Guncel!A37)</f>
        <v>S10036</v>
      </c>
      <c r="B37" s="18" t="str">
        <f aca="false">IF($A37="","",Veri_Guncel!B37)</f>
        <v>Zeynep Yıldız</v>
      </c>
      <c r="C37" s="18" t="str">
        <f aca="false">IF($A37="","",Veri_Guncel!C37)</f>
        <v>Bölge 2</v>
      </c>
      <c r="D37" s="18" t="str">
        <f aca="false">IF($A37="","",Veri_Guncel!D37)</f>
        <v>Mağaza 2C</v>
      </c>
      <c r="E37" s="19" t="n">
        <f aca="false">IF($A37="","",Veri_Guncel!E37)</f>
        <v>42528</v>
      </c>
      <c r="F37" s="19" t="n">
        <f aca="false">IF($A37="","",Veri_Guncel!F37)</f>
        <v>33442</v>
      </c>
      <c r="G37" s="14" t="n">
        <f aca="false">IF(A37="","",IF(COUNTIF(Ayarlar!$A$15:$A$20,C37)&gt;0,1,0))</f>
        <v>1</v>
      </c>
      <c r="H37" s="14" t="n">
        <f aca="false">IF(A37="","",DATEDIF(E37,Ayarlar!$B$3,"y"))</f>
        <v>10</v>
      </c>
      <c r="I37" s="14" t="n">
        <f aca="false">IF(OR(A37="",F37=""),"",DATEDIF(F37,Ayarlar!$B$3,"y"))</f>
        <v>35</v>
      </c>
      <c r="J37" s="14" t="n">
        <f aca="false">IF(A37="","",IF(H37&lt;1,0,MAX(IF(H37&lt;5,14,IF(H37&lt;15,20,26)),IF(AND(I37&lt;&gt;"",OR(I37&lt;=18,I37&gt;=50)),20,0))))</f>
        <v>20</v>
      </c>
      <c r="K37" s="17" t="n">
        <f aca="false">IF(A37="","",EDATE(E37,12*(H37+1)))</f>
        <v>46545</v>
      </c>
      <c r="L37" s="14" t="n">
        <f aca="false">IF(A37="","",K37-Ayarlar!$B$3)</f>
        <v>266</v>
      </c>
      <c r="M37" s="18" t="n">
        <f aca="false">IF(A37="","",Veri_Guncel!H37)</f>
        <v>4</v>
      </c>
      <c r="N37" s="18" t="n">
        <f aca="false">IF(A37="","",IFERROR(INDEX(Veri_Onceki!$H:$H,MATCH(A37,Veri_Onceki!$A:$A,0)),""))</f>
        <v>4</v>
      </c>
      <c r="O37" s="14" t="n">
        <f aca="false">IF(A37="","",IF(AND(H37&gt;=1,EDATE(E37,12*H37)&gt;Ayarlar!$B$4,EDATE(E37,12*H37)&lt;=Ayarlar!$B$3),J37,0))</f>
        <v>0</v>
      </c>
      <c r="P37" s="14" t="n">
        <f aca="false">IF(OR(A37="",N37=""),"",N37+O37-M37)</f>
        <v>0</v>
      </c>
      <c r="Q37" s="16" t="str">
        <f aca="false">IF(A37="","",IF(M37&gt;=Ayarlar!$B$7,"ALARM",IF(M37&gt;=Ayarlar!$B$6,"Planla","")))</f>
        <v/>
      </c>
      <c r="R37" s="14" t="str">
        <f aca="false">IF(A37="","",IF(AND(L37&gt;=0,L37&lt;=Ayarlar!$B$9),"Evet",""))</f>
        <v/>
      </c>
      <c r="S37" s="16" t="str">
        <f aca="false">IF(A37="","",IF(N37="","Yeni personel",IF(P37&lt;0,"Kontrol et","")))</f>
        <v/>
      </c>
      <c r="T37" s="14" t="str">
        <f aca="false">IF(A37="","",IF(AND(G37=1,M37&gt;=Ayarlar!$B$6,OR(Ayarlar!$B$11="Tümü",C37=Ayarlar!$B$11)),M37+ROW()/100000,""))</f>
        <v/>
      </c>
    </row>
    <row r="38" customFormat="false" ht="15" hidden="false" customHeight="false" outlineLevel="0" collapsed="false">
      <c r="A38" s="18" t="str">
        <f aca="false">IF(Veri_Guncel!A38="","",Veri_Guncel!A38)</f>
        <v>S10037</v>
      </c>
      <c r="B38" s="18" t="str">
        <f aca="false">IF($A38="","",Veri_Guncel!B38)</f>
        <v>Emre Yıldız</v>
      </c>
      <c r="C38" s="18" t="str">
        <f aca="false">IF($A38="","",Veri_Guncel!C38)</f>
        <v>Bölge 2</v>
      </c>
      <c r="D38" s="18" t="str">
        <f aca="false">IF($A38="","",Veri_Guncel!D38)</f>
        <v>Mağaza 2C</v>
      </c>
      <c r="E38" s="19" t="n">
        <f aca="false">IF($A38="","",Veri_Guncel!E38)</f>
        <v>41527</v>
      </c>
      <c r="F38" s="19" t="n">
        <f aca="false">IF($A38="","",Veri_Guncel!F38)</f>
        <v>35423</v>
      </c>
      <c r="G38" s="14" t="n">
        <f aca="false">IF(A38="","",IF(COUNTIF(Ayarlar!$A$15:$A$20,C38)&gt;0,1,0))</f>
        <v>1</v>
      </c>
      <c r="H38" s="14" t="n">
        <f aca="false">IF(A38="","",DATEDIF(E38,Ayarlar!$B$3,"y"))</f>
        <v>13</v>
      </c>
      <c r="I38" s="14" t="n">
        <f aca="false">IF(OR(A38="",F38=""),"",DATEDIF(F38,Ayarlar!$B$3,"y"))</f>
        <v>29</v>
      </c>
      <c r="J38" s="14" t="n">
        <f aca="false">IF(A38="","",IF(H38&lt;1,0,MAX(IF(H38&lt;5,14,IF(H38&lt;15,20,26)),IF(AND(I38&lt;&gt;"",OR(I38&lt;=18,I38&gt;=50)),20,0))))</f>
        <v>20</v>
      </c>
      <c r="K38" s="17" t="n">
        <f aca="false">IF(A38="","",EDATE(E38,12*(H38+1)))</f>
        <v>46640</v>
      </c>
      <c r="L38" s="14" t="n">
        <f aca="false">IF(A38="","",K38-Ayarlar!$B$3)</f>
        <v>361</v>
      </c>
      <c r="M38" s="18" t="n">
        <f aca="false">IF(A38="","",Veri_Guncel!H38)</f>
        <v>14</v>
      </c>
      <c r="N38" s="18" t="n">
        <f aca="false">IF(A38="","",IFERROR(INDEX(Veri_Onceki!$H:$H,MATCH(A38,Veri_Onceki!$A:$A,0)),""))</f>
        <v>0</v>
      </c>
      <c r="O38" s="14" t="n">
        <f aca="false">IF(A38="","",IF(AND(H38&gt;=1,EDATE(E38,12*H38)&gt;Ayarlar!$B$4,EDATE(E38,12*H38)&lt;=Ayarlar!$B$3),J38,0))</f>
        <v>20</v>
      </c>
      <c r="P38" s="14" t="n">
        <f aca="false">IF(OR(A38="",N38=""),"",N38+O38-M38)</f>
        <v>6</v>
      </c>
      <c r="Q38" s="16" t="str">
        <f aca="false">IF(A38="","",IF(M38&gt;=Ayarlar!$B$7,"ALARM",IF(M38&gt;=Ayarlar!$B$6,"Planla","")))</f>
        <v>Planla</v>
      </c>
      <c r="R38" s="14" t="str">
        <f aca="false">IF(A38="","",IF(AND(L38&gt;=0,L38&lt;=Ayarlar!$B$9),"Evet",""))</f>
        <v/>
      </c>
      <c r="S38" s="16" t="str">
        <f aca="false">IF(A38="","",IF(N38="","Yeni personel",IF(P38&lt;0,"Kontrol et","")))</f>
        <v/>
      </c>
      <c r="T38" s="14" t="n">
        <f aca="false">IF(A38="","",IF(AND(G38=1,M38&gt;=Ayarlar!$B$6,OR(Ayarlar!$B$11="Tümü",C38=Ayarlar!$B$11)),M38+ROW()/100000,""))</f>
        <v>14.00038</v>
      </c>
    </row>
    <row r="39" customFormat="false" ht="15" hidden="false" customHeight="false" outlineLevel="0" collapsed="false">
      <c r="A39" s="18" t="str">
        <f aca="false">IF(Veri_Guncel!A39="","",Veri_Guncel!A39)</f>
        <v>S10038</v>
      </c>
      <c r="B39" s="18" t="str">
        <f aca="false">IF($A39="","",Veri_Guncel!B39)</f>
        <v>Umut Aydın</v>
      </c>
      <c r="C39" s="18" t="str">
        <f aca="false">IF($A39="","",Veri_Guncel!C39)</f>
        <v>Bölge 2</v>
      </c>
      <c r="D39" s="18" t="str">
        <f aca="false">IF($A39="","",Veri_Guncel!D39)</f>
        <v>Mağaza 2C</v>
      </c>
      <c r="E39" s="19" t="n">
        <f aca="false">IF($A39="","",Veri_Guncel!E39)</f>
        <v>45404</v>
      </c>
      <c r="F39" s="19" t="n">
        <f aca="false">IF($A39="","",Veri_Guncel!F39)</f>
        <v>34141</v>
      </c>
      <c r="G39" s="14" t="n">
        <f aca="false">IF(A39="","",IF(COUNTIF(Ayarlar!$A$15:$A$20,C39)&gt;0,1,0))</f>
        <v>1</v>
      </c>
      <c r="H39" s="14" t="n">
        <f aca="false">IF(A39="","",DATEDIF(E39,Ayarlar!$B$3,"y"))</f>
        <v>2</v>
      </c>
      <c r="I39" s="14" t="n">
        <f aca="false">IF(OR(A39="",F39=""),"",DATEDIF(F39,Ayarlar!$B$3,"y"))</f>
        <v>33</v>
      </c>
      <c r="J39" s="14" t="n">
        <f aca="false">IF(A39="","",IF(H39&lt;1,0,MAX(IF(H39&lt;5,14,IF(H39&lt;15,20,26)),IF(AND(I39&lt;&gt;"",OR(I39&lt;=18,I39&gt;=50)),20,0))))</f>
        <v>14</v>
      </c>
      <c r="K39" s="17" t="n">
        <f aca="false">IF(A39="","",EDATE(E39,12*(H39+1)))</f>
        <v>46499</v>
      </c>
      <c r="L39" s="14" t="n">
        <f aca="false">IF(A39="","",K39-Ayarlar!$B$3)</f>
        <v>220</v>
      </c>
      <c r="M39" s="18" t="n">
        <f aca="false">IF(A39="","",Veri_Guncel!H39)</f>
        <v>17</v>
      </c>
      <c r="N39" s="18" t="n">
        <f aca="false">IF(A39="","",IFERROR(INDEX(Veri_Onceki!$H:$H,MATCH(A39,Veri_Onceki!$A:$A,0)),""))</f>
        <v>17</v>
      </c>
      <c r="O39" s="14" t="n">
        <f aca="false">IF(A39="","",IF(AND(H39&gt;=1,EDATE(E39,12*H39)&gt;Ayarlar!$B$4,EDATE(E39,12*H39)&lt;=Ayarlar!$B$3),J39,0))</f>
        <v>0</v>
      </c>
      <c r="P39" s="14" t="n">
        <f aca="false">IF(OR(A39="",N39=""),"",N39+O39-M39)</f>
        <v>0</v>
      </c>
      <c r="Q39" s="16" t="str">
        <f aca="false">IF(A39="","",IF(M39&gt;=Ayarlar!$B$7,"ALARM",IF(M39&gt;=Ayarlar!$B$6,"Planla","")))</f>
        <v>Planla</v>
      </c>
      <c r="R39" s="14" t="str">
        <f aca="false">IF(A39="","",IF(AND(L39&gt;=0,L39&lt;=Ayarlar!$B$9),"Evet",""))</f>
        <v/>
      </c>
      <c r="S39" s="16" t="str">
        <f aca="false">IF(A39="","",IF(N39="","Yeni personel",IF(P39&lt;0,"Kontrol et","")))</f>
        <v/>
      </c>
      <c r="T39" s="14" t="n">
        <f aca="false">IF(A39="","",IF(AND(G39=1,M39&gt;=Ayarlar!$B$6,OR(Ayarlar!$B$11="Tümü",C39=Ayarlar!$B$11)),M39+ROW()/100000,""))</f>
        <v>17.00039</v>
      </c>
    </row>
    <row r="40" customFormat="false" ht="15" hidden="false" customHeight="false" outlineLevel="0" collapsed="false">
      <c r="A40" s="18" t="str">
        <f aca="false">IF(Veri_Guncel!A40="","",Veri_Guncel!A40)</f>
        <v>S10039</v>
      </c>
      <c r="B40" s="18" t="str">
        <f aca="false">IF($A40="","",Veri_Guncel!B40)</f>
        <v>Elif Aydın</v>
      </c>
      <c r="C40" s="18" t="str">
        <f aca="false">IF($A40="","",Veri_Guncel!C40)</f>
        <v>Bölge 2</v>
      </c>
      <c r="D40" s="18" t="str">
        <f aca="false">IF($A40="","",Veri_Guncel!D40)</f>
        <v>Mağaza 2C</v>
      </c>
      <c r="E40" s="19" t="n">
        <f aca="false">IF($A40="","",Veri_Guncel!E40)</f>
        <v>43497</v>
      </c>
      <c r="F40" s="19" t="n">
        <f aca="false">IF($A40="","",Veri_Guncel!F40)</f>
        <v>33856</v>
      </c>
      <c r="G40" s="14" t="n">
        <f aca="false">IF(A40="","",IF(COUNTIF(Ayarlar!$A$15:$A$20,C40)&gt;0,1,0))</f>
        <v>1</v>
      </c>
      <c r="H40" s="14" t="n">
        <f aca="false">IF(A40="","",DATEDIF(E40,Ayarlar!$B$3,"y"))</f>
        <v>7</v>
      </c>
      <c r="I40" s="14" t="n">
        <f aca="false">IF(OR(A40="",F40=""),"",DATEDIF(F40,Ayarlar!$B$3,"y"))</f>
        <v>34</v>
      </c>
      <c r="J40" s="14" t="n">
        <f aca="false">IF(A40="","",IF(H40&lt;1,0,MAX(IF(H40&lt;5,14,IF(H40&lt;15,20,26)),IF(AND(I40&lt;&gt;"",OR(I40&lt;=18,I40&gt;=50)),20,0))))</f>
        <v>20</v>
      </c>
      <c r="K40" s="17" t="n">
        <f aca="false">IF(A40="","",EDATE(E40,12*(H40+1)))</f>
        <v>46419</v>
      </c>
      <c r="L40" s="14" t="n">
        <f aca="false">IF(A40="","",K40-Ayarlar!$B$3)</f>
        <v>140</v>
      </c>
      <c r="M40" s="18" t="n">
        <f aca="false">IF(A40="","",Veri_Guncel!H40)</f>
        <v>28</v>
      </c>
      <c r="N40" s="18" t="n">
        <f aca="false">IF(A40="","",IFERROR(INDEX(Veri_Onceki!$H:$H,MATCH(A40,Veri_Onceki!$A:$A,0)),""))</f>
        <v>28</v>
      </c>
      <c r="O40" s="14" t="n">
        <f aca="false">IF(A40="","",IF(AND(H40&gt;=1,EDATE(E40,12*H40)&gt;Ayarlar!$B$4,EDATE(E40,12*H40)&lt;=Ayarlar!$B$3),J40,0))</f>
        <v>0</v>
      </c>
      <c r="P40" s="14" t="n">
        <f aca="false">IF(OR(A40="",N40=""),"",N40+O40-M40)</f>
        <v>0</v>
      </c>
      <c r="Q40" s="16" t="str">
        <f aca="false">IF(A40="","",IF(M40&gt;=Ayarlar!$B$7,"ALARM",IF(M40&gt;=Ayarlar!$B$6,"Planla","")))</f>
        <v>ALARM</v>
      </c>
      <c r="R40" s="14" t="str">
        <f aca="false">IF(A40="","",IF(AND(L40&gt;=0,L40&lt;=Ayarlar!$B$9),"Evet",""))</f>
        <v/>
      </c>
      <c r="S40" s="16" t="str">
        <f aca="false">IF(A40="","",IF(N40="","Yeni personel",IF(P40&lt;0,"Kontrol et","")))</f>
        <v/>
      </c>
      <c r="T40" s="14" t="n">
        <f aca="false">IF(A40="","",IF(AND(G40=1,M40&gt;=Ayarlar!$B$6,OR(Ayarlar!$B$11="Tümü",C40=Ayarlar!$B$11)),M40+ROW()/100000,""))</f>
        <v>28.0004</v>
      </c>
    </row>
    <row r="41" customFormat="false" ht="15" hidden="false" customHeight="false" outlineLevel="0" collapsed="false">
      <c r="A41" s="18" t="str">
        <f aca="false">IF(Veri_Guncel!A41="","",Veri_Guncel!A41)</f>
        <v>S10040</v>
      </c>
      <c r="B41" s="18" t="str">
        <f aca="false">IF($A41="","",Veri_Guncel!B41)</f>
        <v>Melis Özdemir</v>
      </c>
      <c r="C41" s="18" t="str">
        <f aca="false">IF($A41="","",Veri_Guncel!C41)</f>
        <v>Bölge 2</v>
      </c>
      <c r="D41" s="18" t="str">
        <f aca="false">IF($A41="","",Veri_Guncel!D41)</f>
        <v>Mağaza 2C</v>
      </c>
      <c r="E41" s="19" t="n">
        <f aca="false">IF($A41="","",Veri_Guncel!E41)</f>
        <v>43396</v>
      </c>
      <c r="F41" s="19" t="n">
        <f aca="false">IF($A41="","",Veri_Guncel!F41)</f>
        <v>32855</v>
      </c>
      <c r="G41" s="14" t="n">
        <f aca="false">IF(A41="","",IF(COUNTIF(Ayarlar!$A$15:$A$20,C41)&gt;0,1,0))</f>
        <v>1</v>
      </c>
      <c r="H41" s="14" t="n">
        <f aca="false">IF(A41="","",DATEDIF(E41,Ayarlar!$B$3,"y"))</f>
        <v>7</v>
      </c>
      <c r="I41" s="14" t="n">
        <f aca="false">IF(OR(A41="",F41=""),"",DATEDIF(F41,Ayarlar!$B$3,"y"))</f>
        <v>36</v>
      </c>
      <c r="J41" s="14" t="n">
        <f aca="false">IF(A41="","",IF(H41&lt;1,0,MAX(IF(H41&lt;5,14,IF(H41&lt;15,20,26)),IF(AND(I41&lt;&gt;"",OR(I41&lt;=18,I41&gt;=50)),20,0))))</f>
        <v>20</v>
      </c>
      <c r="K41" s="17" t="n">
        <f aca="false">IF(A41="","",EDATE(E41,12*(H41+1)))</f>
        <v>46318</v>
      </c>
      <c r="L41" s="14" t="n">
        <f aca="false">IF(A41="","",K41-Ayarlar!$B$3)</f>
        <v>39</v>
      </c>
      <c r="M41" s="18" t="n">
        <f aca="false">IF(A41="","",Veri_Guncel!H41)</f>
        <v>4</v>
      </c>
      <c r="N41" s="18" t="n">
        <f aca="false">IF(A41="","",IFERROR(INDEX(Veri_Onceki!$H:$H,MATCH(A41,Veri_Onceki!$A:$A,0)),""))</f>
        <v>4</v>
      </c>
      <c r="O41" s="14" t="n">
        <f aca="false">IF(A41="","",IF(AND(H41&gt;=1,EDATE(E41,12*H41)&gt;Ayarlar!$B$4,EDATE(E41,12*H41)&lt;=Ayarlar!$B$3),J41,0))</f>
        <v>0</v>
      </c>
      <c r="P41" s="14" t="n">
        <f aca="false">IF(OR(A41="",N41=""),"",N41+O41-M41)</f>
        <v>0</v>
      </c>
      <c r="Q41" s="16" t="str">
        <f aca="false">IF(A41="","",IF(M41&gt;=Ayarlar!$B$7,"ALARM",IF(M41&gt;=Ayarlar!$B$6,"Planla","")))</f>
        <v/>
      </c>
      <c r="R41" s="14" t="str">
        <f aca="false">IF(A41="","",IF(AND(L41&gt;=0,L41&lt;=Ayarlar!$B$9),"Evet",""))</f>
        <v>Evet</v>
      </c>
      <c r="S41" s="16" t="str">
        <f aca="false">IF(A41="","",IF(N41="","Yeni personel",IF(P41&lt;0,"Kontrol et","")))</f>
        <v/>
      </c>
      <c r="T41" s="14" t="str">
        <f aca="false">IF(A41="","",IF(AND(G41=1,M41&gt;=Ayarlar!$B$6,OR(Ayarlar!$B$11="Tümü",C41=Ayarlar!$B$11)),M41+ROW()/100000,""))</f>
        <v/>
      </c>
    </row>
    <row r="42" customFormat="false" ht="15" hidden="false" customHeight="false" outlineLevel="0" collapsed="false">
      <c r="A42" s="18" t="str">
        <f aca="false">IF(Veri_Guncel!A42="","",Veri_Guncel!A42)</f>
        <v>S10041</v>
      </c>
      <c r="B42" s="18" t="str">
        <f aca="false">IF($A42="","",Veri_Guncel!B42)</f>
        <v>Melis Arslan</v>
      </c>
      <c r="C42" s="18" t="str">
        <f aca="false">IF($A42="","",Veri_Guncel!C42)</f>
        <v>Bölge 2</v>
      </c>
      <c r="D42" s="18" t="str">
        <f aca="false">IF($A42="","",Veri_Guncel!D42)</f>
        <v>Mağaza 2C</v>
      </c>
      <c r="E42" s="19" t="n">
        <f aca="false">IF($A42="","",Veri_Guncel!E42)</f>
        <v>45122</v>
      </c>
      <c r="F42" s="19" t="n">
        <f aca="false">IF($A42="","",Veri_Guncel!F42)</f>
        <v>32818</v>
      </c>
      <c r="G42" s="14" t="n">
        <f aca="false">IF(A42="","",IF(COUNTIF(Ayarlar!$A$15:$A$20,C42)&gt;0,1,0))</f>
        <v>1</v>
      </c>
      <c r="H42" s="14" t="n">
        <f aca="false">IF(A42="","",DATEDIF(E42,Ayarlar!$B$3,"y"))</f>
        <v>3</v>
      </c>
      <c r="I42" s="14" t="n">
        <f aca="false">IF(OR(A42="",F42=""),"",DATEDIF(F42,Ayarlar!$B$3,"y"))</f>
        <v>36</v>
      </c>
      <c r="J42" s="14" t="n">
        <f aca="false">IF(A42="","",IF(H42&lt;1,0,MAX(IF(H42&lt;5,14,IF(H42&lt;15,20,26)),IF(AND(I42&lt;&gt;"",OR(I42&lt;=18,I42&gt;=50)),20,0))))</f>
        <v>14</v>
      </c>
      <c r="K42" s="17" t="n">
        <f aca="false">IF(A42="","",EDATE(E42,12*(H42+1)))</f>
        <v>46583</v>
      </c>
      <c r="L42" s="14" t="n">
        <f aca="false">IF(A42="","",K42-Ayarlar!$B$3)</f>
        <v>304</v>
      </c>
      <c r="M42" s="18" t="n">
        <f aca="false">IF(A42="","",Veri_Guncel!H42)</f>
        <v>19</v>
      </c>
      <c r="N42" s="18" t="n">
        <f aca="false">IF(A42="","",IFERROR(INDEX(Veri_Onceki!$H:$H,MATCH(A42,Veri_Onceki!$A:$A,0)),""))</f>
        <v>19</v>
      </c>
      <c r="O42" s="14" t="n">
        <f aca="false">IF(A42="","",IF(AND(H42&gt;=1,EDATE(E42,12*H42)&gt;Ayarlar!$B$4,EDATE(E42,12*H42)&lt;=Ayarlar!$B$3),J42,0))</f>
        <v>0</v>
      </c>
      <c r="P42" s="14" t="n">
        <f aca="false">IF(OR(A42="",N42=""),"",N42+O42-M42)</f>
        <v>0</v>
      </c>
      <c r="Q42" s="16" t="str">
        <f aca="false">IF(A42="","",IF(M42&gt;=Ayarlar!$B$7,"ALARM",IF(M42&gt;=Ayarlar!$B$6,"Planla","")))</f>
        <v>Planla</v>
      </c>
      <c r="R42" s="14" t="str">
        <f aca="false">IF(A42="","",IF(AND(L42&gt;=0,L42&lt;=Ayarlar!$B$9),"Evet",""))</f>
        <v/>
      </c>
      <c r="S42" s="16" t="str">
        <f aca="false">IF(A42="","",IF(N42="","Yeni personel",IF(P42&lt;0,"Kontrol et","")))</f>
        <v/>
      </c>
      <c r="T42" s="14" t="n">
        <f aca="false">IF(A42="","",IF(AND(G42=1,M42&gt;=Ayarlar!$B$6,OR(Ayarlar!$B$11="Tümü",C42=Ayarlar!$B$11)),M42+ROW()/100000,""))</f>
        <v>19.00042</v>
      </c>
    </row>
    <row r="43" customFormat="false" ht="15" hidden="false" customHeight="false" outlineLevel="0" collapsed="false">
      <c r="A43" s="18" t="str">
        <f aca="false">IF(Veri_Guncel!A43="","",Veri_Guncel!A43)</f>
        <v>S10042</v>
      </c>
      <c r="B43" s="18" t="str">
        <f aca="false">IF($A43="","",Veri_Guncel!B43)</f>
        <v>Derya Kaya</v>
      </c>
      <c r="C43" s="18" t="str">
        <f aca="false">IF($A43="","",Veri_Guncel!C43)</f>
        <v>Bölge 3</v>
      </c>
      <c r="D43" s="18" t="str">
        <f aca="false">IF($A43="","",Veri_Guncel!D43)</f>
        <v>Mağaza 3A</v>
      </c>
      <c r="E43" s="19" t="n">
        <f aca="false">IF($A43="","",Veri_Guncel!E43)</f>
        <v>42747</v>
      </c>
      <c r="F43" s="19" t="n">
        <f aca="false">IF($A43="","",Veri_Guncel!F43)</f>
        <v>34702</v>
      </c>
      <c r="G43" s="14" t="n">
        <f aca="false">IF(A43="","",IF(COUNTIF(Ayarlar!$A$15:$A$20,C43)&gt;0,1,0))</f>
        <v>1</v>
      </c>
      <c r="H43" s="14" t="n">
        <f aca="false">IF(A43="","",DATEDIF(E43,Ayarlar!$B$3,"y"))</f>
        <v>9</v>
      </c>
      <c r="I43" s="14" t="n">
        <f aca="false">IF(OR(A43="",F43=""),"",DATEDIF(F43,Ayarlar!$B$3,"y"))</f>
        <v>31</v>
      </c>
      <c r="J43" s="14" t="n">
        <f aca="false">IF(A43="","",IF(H43&lt;1,0,MAX(IF(H43&lt;5,14,IF(H43&lt;15,20,26)),IF(AND(I43&lt;&gt;"",OR(I43&lt;=18,I43&gt;=50)),20,0))))</f>
        <v>20</v>
      </c>
      <c r="K43" s="17" t="n">
        <f aca="false">IF(A43="","",EDATE(E43,12*(H43+1)))</f>
        <v>46399</v>
      </c>
      <c r="L43" s="14" t="n">
        <f aca="false">IF(A43="","",K43-Ayarlar!$B$3)</f>
        <v>120</v>
      </c>
      <c r="M43" s="18" t="n">
        <f aca="false">IF(A43="","",Veri_Guncel!H43)</f>
        <v>15</v>
      </c>
      <c r="N43" s="18" t="n">
        <f aca="false">IF(A43="","",IFERROR(INDEX(Veri_Onceki!$H:$H,MATCH(A43,Veri_Onceki!$A:$A,0)),""))</f>
        <v>17</v>
      </c>
      <c r="O43" s="14" t="n">
        <f aca="false">IF(A43="","",IF(AND(H43&gt;=1,EDATE(E43,12*H43)&gt;Ayarlar!$B$4,EDATE(E43,12*H43)&lt;=Ayarlar!$B$3),J43,0))</f>
        <v>0</v>
      </c>
      <c r="P43" s="14" t="n">
        <f aca="false">IF(OR(A43="",N43=""),"",N43+O43-M43)</f>
        <v>2</v>
      </c>
      <c r="Q43" s="16" t="str">
        <f aca="false">IF(A43="","",IF(M43&gt;=Ayarlar!$B$7,"ALARM",IF(M43&gt;=Ayarlar!$B$6,"Planla","")))</f>
        <v>Planla</v>
      </c>
      <c r="R43" s="14" t="str">
        <f aca="false">IF(A43="","",IF(AND(L43&gt;=0,L43&lt;=Ayarlar!$B$9),"Evet",""))</f>
        <v/>
      </c>
      <c r="S43" s="16" t="str">
        <f aca="false">IF(A43="","",IF(N43="","Yeni personel",IF(P43&lt;0,"Kontrol et","")))</f>
        <v/>
      </c>
      <c r="T43" s="14" t="n">
        <f aca="false">IF(A43="","",IF(AND(G43=1,M43&gt;=Ayarlar!$B$6,OR(Ayarlar!$B$11="Tümü",C43=Ayarlar!$B$11)),M43+ROW()/100000,""))</f>
        <v>15.00043</v>
      </c>
    </row>
    <row r="44" customFormat="false" ht="15" hidden="false" customHeight="false" outlineLevel="0" collapsed="false">
      <c r="A44" s="18" t="str">
        <f aca="false">IF(Veri_Guncel!A44="","",Veri_Guncel!A44)</f>
        <v>S10043</v>
      </c>
      <c r="B44" s="18" t="str">
        <f aca="false">IF($A44="","",Veri_Guncel!B44)</f>
        <v>Elif Şahin</v>
      </c>
      <c r="C44" s="18" t="str">
        <f aca="false">IF($A44="","",Veri_Guncel!C44)</f>
        <v>Bölge 3</v>
      </c>
      <c r="D44" s="18" t="str">
        <f aca="false">IF($A44="","",Veri_Guncel!D44)</f>
        <v>Mağaza 3A</v>
      </c>
      <c r="E44" s="19" t="n">
        <f aca="false">IF($A44="","",Veri_Guncel!E44)</f>
        <v>45214</v>
      </c>
      <c r="F44" s="19" t="n">
        <f aca="false">IF($A44="","",Veri_Guncel!F44)</f>
        <v>36617</v>
      </c>
      <c r="G44" s="14" t="n">
        <f aca="false">IF(A44="","",IF(COUNTIF(Ayarlar!$A$15:$A$20,C44)&gt;0,1,0))</f>
        <v>1</v>
      </c>
      <c r="H44" s="14" t="n">
        <f aca="false">IF(A44="","",DATEDIF(E44,Ayarlar!$B$3,"y"))</f>
        <v>2</v>
      </c>
      <c r="I44" s="14" t="n">
        <f aca="false">IF(OR(A44="",F44=""),"",DATEDIF(F44,Ayarlar!$B$3,"y"))</f>
        <v>26</v>
      </c>
      <c r="J44" s="14" t="n">
        <f aca="false">IF(A44="","",IF(H44&lt;1,0,MAX(IF(H44&lt;5,14,IF(H44&lt;15,20,26)),IF(AND(I44&lt;&gt;"",OR(I44&lt;=18,I44&gt;=50)),20,0))))</f>
        <v>14</v>
      </c>
      <c r="K44" s="17" t="n">
        <f aca="false">IF(A44="","",EDATE(E44,12*(H44+1)))</f>
        <v>46310</v>
      </c>
      <c r="L44" s="14" t="n">
        <f aca="false">IF(A44="","",K44-Ayarlar!$B$3)</f>
        <v>31</v>
      </c>
      <c r="M44" s="18" t="n">
        <f aca="false">IF(A44="","",Veri_Guncel!H44)</f>
        <v>15</v>
      </c>
      <c r="N44" s="18" t="n">
        <f aca="false">IF(A44="","",IFERROR(INDEX(Veri_Onceki!$H:$H,MATCH(A44,Veri_Onceki!$A:$A,0)),""))</f>
        <v>15</v>
      </c>
      <c r="O44" s="14" t="n">
        <f aca="false">IF(A44="","",IF(AND(H44&gt;=1,EDATE(E44,12*H44)&gt;Ayarlar!$B$4,EDATE(E44,12*H44)&lt;=Ayarlar!$B$3),J44,0))</f>
        <v>0</v>
      </c>
      <c r="P44" s="14" t="n">
        <f aca="false">IF(OR(A44="",N44=""),"",N44+O44-M44)</f>
        <v>0</v>
      </c>
      <c r="Q44" s="16" t="str">
        <f aca="false">IF(A44="","",IF(M44&gt;=Ayarlar!$B$7,"ALARM",IF(M44&gt;=Ayarlar!$B$6,"Planla","")))</f>
        <v>Planla</v>
      </c>
      <c r="R44" s="14" t="str">
        <f aca="false">IF(A44="","",IF(AND(L44&gt;=0,L44&lt;=Ayarlar!$B$9),"Evet",""))</f>
        <v>Evet</v>
      </c>
      <c r="S44" s="16" t="str">
        <f aca="false">IF(A44="","",IF(N44="","Yeni personel",IF(P44&lt;0,"Kontrol et","")))</f>
        <v/>
      </c>
      <c r="T44" s="14" t="n">
        <f aca="false">IF(A44="","",IF(AND(G44=1,M44&gt;=Ayarlar!$B$6,OR(Ayarlar!$B$11="Tümü",C44=Ayarlar!$B$11)),M44+ROW()/100000,""))</f>
        <v>15.00044</v>
      </c>
    </row>
    <row r="45" customFormat="false" ht="15" hidden="false" customHeight="false" outlineLevel="0" collapsed="false">
      <c r="A45" s="18" t="str">
        <f aca="false">IF(Veri_Guncel!A45="","",Veri_Guncel!A45)</f>
        <v>S10044</v>
      </c>
      <c r="B45" s="18" t="str">
        <f aca="false">IF($A45="","",Veri_Guncel!B45)</f>
        <v>Elif Kurt</v>
      </c>
      <c r="C45" s="18" t="str">
        <f aca="false">IF($A45="","",Veri_Guncel!C45)</f>
        <v>Bölge 3</v>
      </c>
      <c r="D45" s="18" t="str">
        <f aca="false">IF($A45="","",Veri_Guncel!D45)</f>
        <v>Mağaza 3A</v>
      </c>
      <c r="E45" s="19" t="n">
        <f aca="false">IF($A45="","",Veri_Guncel!E45)</f>
        <v>43936</v>
      </c>
      <c r="F45" s="19" t="n">
        <f aca="false">IF($A45="","",Veri_Guncel!F45)</f>
        <v>34711</v>
      </c>
      <c r="G45" s="14" t="n">
        <f aca="false">IF(A45="","",IF(COUNTIF(Ayarlar!$A$15:$A$20,C45)&gt;0,1,0))</f>
        <v>1</v>
      </c>
      <c r="H45" s="14" t="n">
        <f aca="false">IF(A45="","",DATEDIF(E45,Ayarlar!$B$3,"y"))</f>
        <v>6</v>
      </c>
      <c r="I45" s="14" t="n">
        <f aca="false">IF(OR(A45="",F45=""),"",DATEDIF(F45,Ayarlar!$B$3,"y"))</f>
        <v>31</v>
      </c>
      <c r="J45" s="14" t="n">
        <f aca="false">IF(A45="","",IF(H45&lt;1,0,MAX(IF(H45&lt;5,14,IF(H45&lt;15,20,26)),IF(AND(I45&lt;&gt;"",OR(I45&lt;=18,I45&gt;=50)),20,0))))</f>
        <v>20</v>
      </c>
      <c r="K45" s="17" t="n">
        <f aca="false">IF(A45="","",EDATE(E45,12*(H45+1)))</f>
        <v>46492</v>
      </c>
      <c r="L45" s="14" t="n">
        <f aca="false">IF(A45="","",K45-Ayarlar!$B$3)</f>
        <v>213</v>
      </c>
      <c r="M45" s="18" t="n">
        <f aca="false">IF(A45="","",Veri_Guncel!H45)</f>
        <v>4</v>
      </c>
      <c r="N45" s="18" t="n">
        <f aca="false">IF(A45="","",IFERROR(INDEX(Veri_Onceki!$H:$H,MATCH(A45,Veri_Onceki!$A:$A,0)),""))</f>
        <v>7</v>
      </c>
      <c r="O45" s="14" t="n">
        <f aca="false">IF(A45="","",IF(AND(H45&gt;=1,EDATE(E45,12*H45)&gt;Ayarlar!$B$4,EDATE(E45,12*H45)&lt;=Ayarlar!$B$3),J45,0))</f>
        <v>0</v>
      </c>
      <c r="P45" s="14" t="n">
        <f aca="false">IF(OR(A45="",N45=""),"",N45+O45-M45)</f>
        <v>3</v>
      </c>
      <c r="Q45" s="16" t="str">
        <f aca="false">IF(A45="","",IF(M45&gt;=Ayarlar!$B$7,"ALARM",IF(M45&gt;=Ayarlar!$B$6,"Planla","")))</f>
        <v/>
      </c>
      <c r="R45" s="14" t="str">
        <f aca="false">IF(A45="","",IF(AND(L45&gt;=0,L45&lt;=Ayarlar!$B$9),"Evet",""))</f>
        <v/>
      </c>
      <c r="S45" s="16" t="str">
        <f aca="false">IF(A45="","",IF(N45="","Yeni personel",IF(P45&lt;0,"Kontrol et","")))</f>
        <v/>
      </c>
      <c r="T45" s="14" t="str">
        <f aca="false">IF(A45="","",IF(AND(G45=1,M45&gt;=Ayarlar!$B$6,OR(Ayarlar!$B$11="Tümü",C45=Ayarlar!$B$11)),M45+ROW()/100000,""))</f>
        <v/>
      </c>
    </row>
    <row r="46" customFormat="false" ht="15" hidden="false" customHeight="false" outlineLevel="0" collapsed="false">
      <c r="A46" s="18" t="str">
        <f aca="false">IF(Veri_Guncel!A46="","",Veri_Guncel!A46)</f>
        <v>S10045</v>
      </c>
      <c r="B46" s="18" t="str">
        <f aca="false">IF($A46="","",Veri_Guncel!B46)</f>
        <v>Burak Özdemir</v>
      </c>
      <c r="C46" s="18" t="str">
        <f aca="false">IF($A46="","",Veri_Guncel!C46)</f>
        <v>Bölge 3</v>
      </c>
      <c r="D46" s="18" t="str">
        <f aca="false">IF($A46="","",Veri_Guncel!D46)</f>
        <v>Mağaza 3A</v>
      </c>
      <c r="E46" s="19" t="n">
        <f aca="false">IF($A46="","",Veri_Guncel!E46)</f>
        <v>41036</v>
      </c>
      <c r="F46" s="19" t="n">
        <f aca="false">IF($A46="","",Veri_Guncel!F46)</f>
        <v>35994</v>
      </c>
      <c r="G46" s="14" t="n">
        <f aca="false">IF(A46="","",IF(COUNTIF(Ayarlar!$A$15:$A$20,C46)&gt;0,1,0))</f>
        <v>1</v>
      </c>
      <c r="H46" s="14" t="n">
        <f aca="false">IF(A46="","",DATEDIF(E46,Ayarlar!$B$3,"y"))</f>
        <v>14</v>
      </c>
      <c r="I46" s="14" t="n">
        <f aca="false">IF(OR(A46="",F46=""),"",DATEDIF(F46,Ayarlar!$B$3,"y"))</f>
        <v>28</v>
      </c>
      <c r="J46" s="14" t="n">
        <f aca="false">IF(A46="","",IF(H46&lt;1,0,MAX(IF(H46&lt;5,14,IF(H46&lt;15,20,26)),IF(AND(I46&lt;&gt;"",OR(I46&lt;=18,I46&gt;=50)),20,0))))</f>
        <v>20</v>
      </c>
      <c r="K46" s="17" t="n">
        <f aca="false">IF(A46="","",EDATE(E46,12*(H46+1)))</f>
        <v>46514</v>
      </c>
      <c r="L46" s="14" t="n">
        <f aca="false">IF(A46="","",K46-Ayarlar!$B$3)</f>
        <v>235</v>
      </c>
      <c r="M46" s="18" t="n">
        <f aca="false">IF(A46="","",Veri_Guncel!H46)</f>
        <v>6</v>
      </c>
      <c r="N46" s="18" t="n">
        <f aca="false">IF(A46="","",IFERROR(INDEX(Veri_Onceki!$H:$H,MATCH(A46,Veri_Onceki!$A:$A,0)),""))</f>
        <v>9</v>
      </c>
      <c r="O46" s="14" t="n">
        <f aca="false">IF(A46="","",IF(AND(H46&gt;=1,EDATE(E46,12*H46)&gt;Ayarlar!$B$4,EDATE(E46,12*H46)&lt;=Ayarlar!$B$3),J46,0))</f>
        <v>0</v>
      </c>
      <c r="P46" s="14" t="n">
        <f aca="false">IF(OR(A46="",N46=""),"",N46+O46-M46)</f>
        <v>3</v>
      </c>
      <c r="Q46" s="16" t="str">
        <f aca="false">IF(A46="","",IF(M46&gt;=Ayarlar!$B$7,"ALARM",IF(M46&gt;=Ayarlar!$B$6,"Planla","")))</f>
        <v/>
      </c>
      <c r="R46" s="14" t="str">
        <f aca="false">IF(A46="","",IF(AND(L46&gt;=0,L46&lt;=Ayarlar!$B$9),"Evet",""))</f>
        <v/>
      </c>
      <c r="S46" s="16" t="str">
        <f aca="false">IF(A46="","",IF(N46="","Yeni personel",IF(P46&lt;0,"Kontrol et","")))</f>
        <v/>
      </c>
      <c r="T46" s="14" t="str">
        <f aca="false">IF(A46="","",IF(AND(G46=1,M46&gt;=Ayarlar!$B$6,OR(Ayarlar!$B$11="Tümü",C46=Ayarlar!$B$11)),M46+ROW()/100000,""))</f>
        <v/>
      </c>
    </row>
    <row r="47" customFormat="false" ht="15" hidden="false" customHeight="false" outlineLevel="0" collapsed="false">
      <c r="A47" s="18" t="str">
        <f aca="false">IF(Veri_Guncel!A47="","",Veri_Guncel!A47)</f>
        <v>S10046</v>
      </c>
      <c r="B47" s="18" t="str">
        <f aca="false">IF($A47="","",Veri_Guncel!B47)</f>
        <v>Oğuz Aydın</v>
      </c>
      <c r="C47" s="18" t="str">
        <f aca="false">IF($A47="","",Veri_Guncel!C47)</f>
        <v>Bölge 3</v>
      </c>
      <c r="D47" s="18" t="str">
        <f aca="false">IF($A47="","",Veri_Guncel!D47)</f>
        <v>Mağaza 3A</v>
      </c>
      <c r="E47" s="19" t="n">
        <f aca="false">IF($A47="","",Veri_Guncel!E47)</f>
        <v>40866</v>
      </c>
      <c r="F47" s="19" t="n">
        <f aca="false">IF($A47="","",Veri_Guncel!F47)</f>
        <v>27804</v>
      </c>
      <c r="G47" s="14" t="n">
        <f aca="false">IF(A47="","",IF(COUNTIF(Ayarlar!$A$15:$A$20,C47)&gt;0,1,0))</f>
        <v>1</v>
      </c>
      <c r="H47" s="14" t="n">
        <f aca="false">IF(A47="","",DATEDIF(E47,Ayarlar!$B$3,"y"))</f>
        <v>14</v>
      </c>
      <c r="I47" s="14" t="n">
        <f aca="false">IF(OR(A47="",F47=""),"",DATEDIF(F47,Ayarlar!$B$3,"y"))</f>
        <v>50</v>
      </c>
      <c r="J47" s="14" t="n">
        <f aca="false">IF(A47="","",IF(H47&lt;1,0,MAX(IF(H47&lt;5,14,IF(H47&lt;15,20,26)),IF(AND(I47&lt;&gt;"",OR(I47&lt;=18,I47&gt;=50)),20,0))))</f>
        <v>20</v>
      </c>
      <c r="K47" s="17" t="n">
        <f aca="false">IF(A47="","",EDATE(E47,12*(H47+1)))</f>
        <v>46345</v>
      </c>
      <c r="L47" s="14" t="n">
        <f aca="false">IF(A47="","",K47-Ayarlar!$B$3)</f>
        <v>66</v>
      </c>
      <c r="M47" s="18" t="n">
        <f aca="false">IF(A47="","",Veri_Guncel!H47)</f>
        <v>28</v>
      </c>
      <c r="N47" s="18" t="n">
        <f aca="false">IF(A47="","",IFERROR(INDEX(Veri_Onceki!$H:$H,MATCH(A47,Veri_Onceki!$A:$A,0)),""))</f>
        <v>35</v>
      </c>
      <c r="O47" s="14" t="n">
        <f aca="false">IF(A47="","",IF(AND(H47&gt;=1,EDATE(E47,12*H47)&gt;Ayarlar!$B$4,EDATE(E47,12*H47)&lt;=Ayarlar!$B$3),J47,0))</f>
        <v>0</v>
      </c>
      <c r="P47" s="14" t="n">
        <f aca="false">IF(OR(A47="",N47=""),"",N47+O47-M47)</f>
        <v>7</v>
      </c>
      <c r="Q47" s="16" t="str">
        <f aca="false">IF(A47="","",IF(M47&gt;=Ayarlar!$B$7,"ALARM",IF(M47&gt;=Ayarlar!$B$6,"Planla","")))</f>
        <v>ALARM</v>
      </c>
      <c r="R47" s="14" t="str">
        <f aca="false">IF(A47="","",IF(AND(L47&gt;=0,L47&lt;=Ayarlar!$B$9),"Evet",""))</f>
        <v/>
      </c>
      <c r="S47" s="16" t="str">
        <f aca="false">IF(A47="","",IF(N47="","Yeni personel",IF(P47&lt;0,"Kontrol et","")))</f>
        <v/>
      </c>
      <c r="T47" s="14" t="n">
        <f aca="false">IF(A47="","",IF(AND(G47=1,M47&gt;=Ayarlar!$B$6,OR(Ayarlar!$B$11="Tümü",C47=Ayarlar!$B$11)),M47+ROW()/100000,""))</f>
        <v>28.00047</v>
      </c>
    </row>
    <row r="48" customFormat="false" ht="15" hidden="false" customHeight="false" outlineLevel="0" collapsed="false">
      <c r="A48" s="18" t="str">
        <f aca="false">IF(Veri_Guncel!A48="","",Veri_Guncel!A48)</f>
        <v>S10047</v>
      </c>
      <c r="B48" s="18" t="str">
        <f aca="false">IF($A48="","",Veri_Guncel!B48)</f>
        <v>Cem Polat</v>
      </c>
      <c r="C48" s="18" t="str">
        <f aca="false">IF($A48="","",Veri_Guncel!C48)</f>
        <v>Bölge 3</v>
      </c>
      <c r="D48" s="18" t="str">
        <f aca="false">IF($A48="","",Veri_Guncel!D48)</f>
        <v>Mağaza 3A</v>
      </c>
      <c r="E48" s="19" t="n">
        <f aca="false">IF($A48="","",Veri_Guncel!E48)</f>
        <v>42020</v>
      </c>
      <c r="F48" s="19" t="n">
        <f aca="false">IF($A48="","",Veri_Guncel!F48)</f>
        <v>38643</v>
      </c>
      <c r="G48" s="14" t="n">
        <f aca="false">IF(A48="","",IF(COUNTIF(Ayarlar!$A$15:$A$20,C48)&gt;0,1,0))</f>
        <v>1</v>
      </c>
      <c r="H48" s="14" t="n">
        <f aca="false">IF(A48="","",DATEDIF(E48,Ayarlar!$B$3,"y"))</f>
        <v>11</v>
      </c>
      <c r="I48" s="14" t="n">
        <f aca="false">IF(OR(A48="",F48=""),"",DATEDIF(F48,Ayarlar!$B$3,"y"))</f>
        <v>20</v>
      </c>
      <c r="J48" s="14" t="n">
        <f aca="false">IF(A48="","",IF(H48&lt;1,0,MAX(IF(H48&lt;5,14,IF(H48&lt;15,20,26)),IF(AND(I48&lt;&gt;"",OR(I48&lt;=18,I48&gt;=50)),20,0))))</f>
        <v>20</v>
      </c>
      <c r="K48" s="17" t="n">
        <f aca="false">IF(A48="","",EDATE(E48,12*(H48+1)))</f>
        <v>46403</v>
      </c>
      <c r="L48" s="14" t="n">
        <f aca="false">IF(A48="","",K48-Ayarlar!$B$3)</f>
        <v>124</v>
      </c>
      <c r="M48" s="18" t="n">
        <f aca="false">IF(A48="","",Veri_Guncel!H48)</f>
        <v>17</v>
      </c>
      <c r="N48" s="18" t="n">
        <f aca="false">IF(A48="","",IFERROR(INDEX(Veri_Onceki!$H:$H,MATCH(A48,Veri_Onceki!$A:$A,0)),""))</f>
        <v>20</v>
      </c>
      <c r="O48" s="14" t="n">
        <f aca="false">IF(A48="","",IF(AND(H48&gt;=1,EDATE(E48,12*H48)&gt;Ayarlar!$B$4,EDATE(E48,12*H48)&lt;=Ayarlar!$B$3),J48,0))</f>
        <v>0</v>
      </c>
      <c r="P48" s="14" t="n">
        <f aca="false">IF(OR(A48="",N48=""),"",N48+O48-M48)</f>
        <v>3</v>
      </c>
      <c r="Q48" s="16" t="str">
        <f aca="false">IF(A48="","",IF(M48&gt;=Ayarlar!$B$7,"ALARM",IF(M48&gt;=Ayarlar!$B$6,"Planla","")))</f>
        <v>Planla</v>
      </c>
      <c r="R48" s="14" t="str">
        <f aca="false">IF(A48="","",IF(AND(L48&gt;=0,L48&lt;=Ayarlar!$B$9),"Evet",""))</f>
        <v/>
      </c>
      <c r="S48" s="16" t="str">
        <f aca="false">IF(A48="","",IF(N48="","Yeni personel",IF(P48&lt;0,"Kontrol et","")))</f>
        <v/>
      </c>
      <c r="T48" s="14" t="n">
        <f aca="false">IF(A48="","",IF(AND(G48=1,M48&gt;=Ayarlar!$B$6,OR(Ayarlar!$B$11="Tümü",C48=Ayarlar!$B$11)),M48+ROW()/100000,""))</f>
        <v>17.00048</v>
      </c>
    </row>
    <row r="49" customFormat="false" ht="15" hidden="false" customHeight="false" outlineLevel="0" collapsed="false">
      <c r="A49" s="18" t="str">
        <f aca="false">IF(Veri_Guncel!A49="","",Veri_Guncel!A49)</f>
        <v>S10048</v>
      </c>
      <c r="B49" s="18" t="str">
        <f aca="false">IF($A49="","",Veri_Guncel!B49)</f>
        <v>Gizem Yılmaz</v>
      </c>
      <c r="C49" s="18" t="str">
        <f aca="false">IF($A49="","",Veri_Guncel!C49)</f>
        <v>Bölge 3</v>
      </c>
      <c r="D49" s="18" t="str">
        <f aca="false">IF($A49="","",Veri_Guncel!D49)</f>
        <v>Mağaza 3B</v>
      </c>
      <c r="E49" s="19" t="n">
        <f aca="false">IF($A49="","",Veri_Guncel!E49)</f>
        <v>42129</v>
      </c>
      <c r="F49" s="19" t="n">
        <f aca="false">IF($A49="","",Veri_Guncel!F49)</f>
        <v>34464</v>
      </c>
      <c r="G49" s="14" t="n">
        <f aca="false">IF(A49="","",IF(COUNTIF(Ayarlar!$A$15:$A$20,C49)&gt;0,1,0))</f>
        <v>1</v>
      </c>
      <c r="H49" s="14" t="n">
        <f aca="false">IF(A49="","",DATEDIF(E49,Ayarlar!$B$3,"y"))</f>
        <v>11</v>
      </c>
      <c r="I49" s="14" t="n">
        <f aca="false">IF(OR(A49="",F49=""),"",DATEDIF(F49,Ayarlar!$B$3,"y"))</f>
        <v>32</v>
      </c>
      <c r="J49" s="14" t="n">
        <f aca="false">IF(A49="","",IF(H49&lt;1,0,MAX(IF(H49&lt;5,14,IF(H49&lt;15,20,26)),IF(AND(I49&lt;&gt;"",OR(I49&lt;=18,I49&gt;=50)),20,0))))</f>
        <v>20</v>
      </c>
      <c r="K49" s="17" t="n">
        <f aca="false">IF(A49="","",EDATE(E49,12*(H49+1)))</f>
        <v>46512</v>
      </c>
      <c r="L49" s="14" t="n">
        <f aca="false">IF(A49="","",K49-Ayarlar!$B$3)</f>
        <v>233</v>
      </c>
      <c r="M49" s="18" t="n">
        <f aca="false">IF(A49="","",Veri_Guncel!H49)</f>
        <v>19</v>
      </c>
      <c r="N49" s="18" t="n">
        <f aca="false">IF(A49="","",IFERROR(INDEX(Veri_Onceki!$H:$H,MATCH(A49,Veri_Onceki!$A:$A,0)),""))</f>
        <v>24</v>
      </c>
      <c r="O49" s="14" t="n">
        <f aca="false">IF(A49="","",IF(AND(H49&gt;=1,EDATE(E49,12*H49)&gt;Ayarlar!$B$4,EDATE(E49,12*H49)&lt;=Ayarlar!$B$3),J49,0))</f>
        <v>0</v>
      </c>
      <c r="P49" s="14" t="n">
        <f aca="false">IF(OR(A49="",N49=""),"",N49+O49-M49)</f>
        <v>5</v>
      </c>
      <c r="Q49" s="16" t="str">
        <f aca="false">IF(A49="","",IF(M49&gt;=Ayarlar!$B$7,"ALARM",IF(M49&gt;=Ayarlar!$B$6,"Planla","")))</f>
        <v>Planla</v>
      </c>
      <c r="R49" s="14" t="str">
        <f aca="false">IF(A49="","",IF(AND(L49&gt;=0,L49&lt;=Ayarlar!$B$9),"Evet",""))</f>
        <v/>
      </c>
      <c r="S49" s="16" t="str">
        <f aca="false">IF(A49="","",IF(N49="","Yeni personel",IF(P49&lt;0,"Kontrol et","")))</f>
        <v/>
      </c>
      <c r="T49" s="14" t="n">
        <f aca="false">IF(A49="","",IF(AND(G49=1,M49&gt;=Ayarlar!$B$6,OR(Ayarlar!$B$11="Tümü",C49=Ayarlar!$B$11)),M49+ROW()/100000,""))</f>
        <v>19.00049</v>
      </c>
    </row>
    <row r="50" customFormat="false" ht="15" hidden="false" customHeight="false" outlineLevel="0" collapsed="false">
      <c r="A50" s="18" t="str">
        <f aca="false">IF(Veri_Guncel!A50="","",Veri_Guncel!A50)</f>
        <v>S10049</v>
      </c>
      <c r="B50" s="18" t="str">
        <f aca="false">IF($A50="","",Veri_Guncel!B50)</f>
        <v>Deniz Aslan</v>
      </c>
      <c r="C50" s="18" t="str">
        <f aca="false">IF($A50="","",Veri_Guncel!C50)</f>
        <v>Bölge 3</v>
      </c>
      <c r="D50" s="18" t="str">
        <f aca="false">IF($A50="","",Veri_Guncel!D50)</f>
        <v>Mağaza 3B</v>
      </c>
      <c r="E50" s="19" t="n">
        <f aca="false">IF($A50="","",Veri_Guncel!E50)</f>
        <v>41581</v>
      </c>
      <c r="F50" s="19" t="n">
        <f aca="false">IF($A50="","",Veri_Guncel!F50)</f>
        <v>30563</v>
      </c>
      <c r="G50" s="14" t="n">
        <f aca="false">IF(A50="","",IF(COUNTIF(Ayarlar!$A$15:$A$20,C50)&gt;0,1,0))</f>
        <v>1</v>
      </c>
      <c r="H50" s="14" t="n">
        <f aca="false">IF(A50="","",DATEDIF(E50,Ayarlar!$B$3,"y"))</f>
        <v>12</v>
      </c>
      <c r="I50" s="14" t="n">
        <f aca="false">IF(OR(A50="",F50=""),"",DATEDIF(F50,Ayarlar!$B$3,"y"))</f>
        <v>43</v>
      </c>
      <c r="J50" s="14" t="n">
        <f aca="false">IF(A50="","",IF(H50&lt;1,0,MAX(IF(H50&lt;5,14,IF(H50&lt;15,20,26)),IF(AND(I50&lt;&gt;"",OR(I50&lt;=18,I50&gt;=50)),20,0))))</f>
        <v>20</v>
      </c>
      <c r="K50" s="17" t="n">
        <f aca="false">IF(A50="","",EDATE(E50,12*(H50+1)))</f>
        <v>46329</v>
      </c>
      <c r="L50" s="14" t="n">
        <f aca="false">IF(A50="","",K50-Ayarlar!$B$3)</f>
        <v>50</v>
      </c>
      <c r="M50" s="18" t="n">
        <f aca="false">IF(A50="","",Veri_Guncel!H50)</f>
        <v>19</v>
      </c>
      <c r="N50" s="18" t="n">
        <f aca="false">IF(A50="","",IFERROR(INDEX(Veri_Onceki!$H:$H,MATCH(A50,Veri_Onceki!$A:$A,0)),""))</f>
        <v>26</v>
      </c>
      <c r="O50" s="14" t="n">
        <f aca="false">IF(A50="","",IF(AND(H50&gt;=1,EDATE(E50,12*H50)&gt;Ayarlar!$B$4,EDATE(E50,12*H50)&lt;=Ayarlar!$B$3),J50,0))</f>
        <v>0</v>
      </c>
      <c r="P50" s="14" t="n">
        <f aca="false">IF(OR(A50="",N50=""),"",N50+O50-M50)</f>
        <v>7</v>
      </c>
      <c r="Q50" s="16" t="str">
        <f aca="false">IF(A50="","",IF(M50&gt;=Ayarlar!$B$7,"ALARM",IF(M50&gt;=Ayarlar!$B$6,"Planla","")))</f>
        <v>Planla</v>
      </c>
      <c r="R50" s="14" t="str">
        <f aca="false">IF(A50="","",IF(AND(L50&gt;=0,L50&lt;=Ayarlar!$B$9),"Evet",""))</f>
        <v>Evet</v>
      </c>
      <c r="S50" s="16" t="str">
        <f aca="false">IF(A50="","",IF(N50="","Yeni personel",IF(P50&lt;0,"Kontrol et","")))</f>
        <v/>
      </c>
      <c r="T50" s="14" t="n">
        <f aca="false">IF(A50="","",IF(AND(G50=1,M50&gt;=Ayarlar!$B$6,OR(Ayarlar!$B$11="Tümü",C50=Ayarlar!$B$11)),M50+ROW()/100000,""))</f>
        <v>19.0005</v>
      </c>
    </row>
    <row r="51" customFormat="false" ht="15" hidden="false" customHeight="false" outlineLevel="0" collapsed="false">
      <c r="A51" s="18" t="str">
        <f aca="false">IF(Veri_Guncel!A51="","",Veri_Guncel!A51)</f>
        <v>S10050</v>
      </c>
      <c r="B51" s="18" t="str">
        <f aca="false">IF($A51="","",Veri_Guncel!B51)</f>
        <v>Selin Koç</v>
      </c>
      <c r="C51" s="18" t="str">
        <f aca="false">IF($A51="","",Veri_Guncel!C51)</f>
        <v>Bölge 3</v>
      </c>
      <c r="D51" s="18" t="str">
        <f aca="false">IF($A51="","",Veri_Guncel!D51)</f>
        <v>Mağaza 3B</v>
      </c>
      <c r="E51" s="19" t="n">
        <f aca="false">IF($A51="","",Veri_Guncel!E51)</f>
        <v>43618</v>
      </c>
      <c r="F51" s="19" t="n">
        <f aca="false">IF($A51="","",Veri_Guncel!F51)</f>
        <v>29970</v>
      </c>
      <c r="G51" s="14" t="n">
        <f aca="false">IF(A51="","",IF(COUNTIF(Ayarlar!$A$15:$A$20,C51)&gt;0,1,0))</f>
        <v>1</v>
      </c>
      <c r="H51" s="14" t="n">
        <f aca="false">IF(A51="","",DATEDIF(E51,Ayarlar!$B$3,"y"))</f>
        <v>7</v>
      </c>
      <c r="I51" s="14" t="n">
        <f aca="false">IF(OR(A51="",F51=""),"",DATEDIF(F51,Ayarlar!$B$3,"y"))</f>
        <v>44</v>
      </c>
      <c r="J51" s="14" t="n">
        <f aca="false">IF(A51="","",IF(H51&lt;1,0,MAX(IF(H51&lt;5,14,IF(H51&lt;15,20,26)),IF(AND(I51&lt;&gt;"",OR(I51&lt;=18,I51&gt;=50)),20,0))))</f>
        <v>20</v>
      </c>
      <c r="K51" s="17" t="n">
        <f aca="false">IF(A51="","",EDATE(E51,12*(H51+1)))</f>
        <v>46540</v>
      </c>
      <c r="L51" s="14" t="n">
        <f aca="false">IF(A51="","",K51-Ayarlar!$B$3)</f>
        <v>261</v>
      </c>
      <c r="M51" s="18" t="n">
        <f aca="false">IF(A51="","",Veri_Guncel!H51)</f>
        <v>14</v>
      </c>
      <c r="N51" s="18" t="n">
        <f aca="false">IF(A51="","",IFERROR(INDEX(Veri_Onceki!$H:$H,MATCH(A51,Veri_Onceki!$A:$A,0)),""))</f>
        <v>16</v>
      </c>
      <c r="O51" s="14" t="n">
        <f aca="false">IF(A51="","",IF(AND(H51&gt;=1,EDATE(E51,12*H51)&gt;Ayarlar!$B$4,EDATE(E51,12*H51)&lt;=Ayarlar!$B$3),J51,0))</f>
        <v>0</v>
      </c>
      <c r="P51" s="14" t="n">
        <f aca="false">IF(OR(A51="",N51=""),"",N51+O51-M51)</f>
        <v>2</v>
      </c>
      <c r="Q51" s="16" t="str">
        <f aca="false">IF(A51="","",IF(M51&gt;=Ayarlar!$B$7,"ALARM",IF(M51&gt;=Ayarlar!$B$6,"Planla","")))</f>
        <v>Planla</v>
      </c>
      <c r="R51" s="14" t="str">
        <f aca="false">IF(A51="","",IF(AND(L51&gt;=0,L51&lt;=Ayarlar!$B$9),"Evet",""))</f>
        <v/>
      </c>
      <c r="S51" s="16" t="str">
        <f aca="false">IF(A51="","",IF(N51="","Yeni personel",IF(P51&lt;0,"Kontrol et","")))</f>
        <v/>
      </c>
      <c r="T51" s="14" t="n">
        <f aca="false">IF(A51="","",IF(AND(G51=1,M51&gt;=Ayarlar!$B$6,OR(Ayarlar!$B$11="Tümü",C51=Ayarlar!$B$11)),M51+ROW()/100000,""))</f>
        <v>14.00051</v>
      </c>
    </row>
    <row r="52" customFormat="false" ht="15" hidden="false" customHeight="false" outlineLevel="0" collapsed="false">
      <c r="A52" s="18" t="str">
        <f aca="false">IF(Veri_Guncel!A52="","",Veri_Guncel!A52)</f>
        <v>S10051</v>
      </c>
      <c r="B52" s="18" t="str">
        <f aca="false">IF($A52="","",Veri_Guncel!B52)</f>
        <v>Kaan Aydın</v>
      </c>
      <c r="C52" s="18" t="str">
        <f aca="false">IF($A52="","",Veri_Guncel!C52)</f>
        <v>Bölge 3</v>
      </c>
      <c r="D52" s="18" t="str">
        <f aca="false">IF($A52="","",Veri_Guncel!D52)</f>
        <v>Mağaza 3B</v>
      </c>
      <c r="E52" s="19" t="n">
        <f aca="false">IF($A52="","",Veri_Guncel!E52)</f>
        <v>42373</v>
      </c>
      <c r="F52" s="19" t="n">
        <f aca="false">IF($A52="","",Veri_Guncel!F52)</f>
        <v>31581</v>
      </c>
      <c r="G52" s="14" t="n">
        <f aca="false">IF(A52="","",IF(COUNTIF(Ayarlar!$A$15:$A$20,C52)&gt;0,1,0))</f>
        <v>1</v>
      </c>
      <c r="H52" s="14" t="n">
        <f aca="false">IF(A52="","",DATEDIF(E52,Ayarlar!$B$3,"y"))</f>
        <v>10</v>
      </c>
      <c r="I52" s="14" t="n">
        <f aca="false">IF(OR(A52="",F52=""),"",DATEDIF(F52,Ayarlar!$B$3,"y"))</f>
        <v>40</v>
      </c>
      <c r="J52" s="14" t="n">
        <f aca="false">IF(A52="","",IF(H52&lt;1,0,MAX(IF(H52&lt;5,14,IF(H52&lt;15,20,26)),IF(AND(I52&lt;&gt;"",OR(I52&lt;=18,I52&gt;=50)),20,0))))</f>
        <v>20</v>
      </c>
      <c r="K52" s="17" t="n">
        <f aca="false">IF(A52="","",EDATE(E52,12*(H52+1)))</f>
        <v>46391</v>
      </c>
      <c r="L52" s="14" t="n">
        <f aca="false">IF(A52="","",K52-Ayarlar!$B$3)</f>
        <v>112</v>
      </c>
      <c r="M52" s="18" t="n">
        <f aca="false">IF(A52="","",Veri_Guncel!H52)</f>
        <v>8</v>
      </c>
      <c r="N52" s="18" t="n">
        <f aca="false">IF(A52="","",IFERROR(INDEX(Veri_Onceki!$H:$H,MATCH(A52,Veri_Onceki!$A:$A,0)),""))</f>
        <v>8</v>
      </c>
      <c r="O52" s="14" t="n">
        <f aca="false">IF(A52="","",IF(AND(H52&gt;=1,EDATE(E52,12*H52)&gt;Ayarlar!$B$4,EDATE(E52,12*H52)&lt;=Ayarlar!$B$3),J52,0))</f>
        <v>0</v>
      </c>
      <c r="P52" s="14" t="n">
        <f aca="false">IF(OR(A52="",N52=""),"",N52+O52-M52)</f>
        <v>0</v>
      </c>
      <c r="Q52" s="16" t="str">
        <f aca="false">IF(A52="","",IF(M52&gt;=Ayarlar!$B$7,"ALARM",IF(M52&gt;=Ayarlar!$B$6,"Planla","")))</f>
        <v/>
      </c>
      <c r="R52" s="14" t="str">
        <f aca="false">IF(A52="","",IF(AND(L52&gt;=0,L52&lt;=Ayarlar!$B$9),"Evet",""))</f>
        <v/>
      </c>
      <c r="S52" s="16" t="str">
        <f aca="false">IF(A52="","",IF(N52="","Yeni personel",IF(P52&lt;0,"Kontrol et","")))</f>
        <v/>
      </c>
      <c r="T52" s="14" t="str">
        <f aca="false">IF(A52="","",IF(AND(G52=1,M52&gt;=Ayarlar!$B$6,OR(Ayarlar!$B$11="Tümü",C52=Ayarlar!$B$11)),M52+ROW()/100000,""))</f>
        <v/>
      </c>
    </row>
    <row r="53" customFormat="false" ht="15" hidden="false" customHeight="false" outlineLevel="0" collapsed="false">
      <c r="A53" s="18" t="str">
        <f aca="false">IF(Veri_Guncel!A53="","",Veri_Guncel!A53)</f>
        <v>S10052</v>
      </c>
      <c r="B53" s="18" t="str">
        <f aca="false">IF($A53="","",Veri_Guncel!B53)</f>
        <v>Burak Aydın</v>
      </c>
      <c r="C53" s="18" t="str">
        <f aca="false">IF($A53="","",Veri_Guncel!C53)</f>
        <v>Bölge 3</v>
      </c>
      <c r="D53" s="18" t="str">
        <f aca="false">IF($A53="","",Veri_Guncel!D53)</f>
        <v>Mağaza 3B</v>
      </c>
      <c r="E53" s="19" t="n">
        <f aca="false">IF($A53="","",Veri_Guncel!E53)</f>
        <v>43086</v>
      </c>
      <c r="F53" s="19" t="n">
        <f aca="false">IF($A53="","",Veri_Guncel!F53)</f>
        <v>36202</v>
      </c>
      <c r="G53" s="14" t="n">
        <f aca="false">IF(A53="","",IF(COUNTIF(Ayarlar!$A$15:$A$20,C53)&gt;0,1,0))</f>
        <v>1</v>
      </c>
      <c r="H53" s="14" t="n">
        <f aca="false">IF(A53="","",DATEDIF(E53,Ayarlar!$B$3,"y"))</f>
        <v>8</v>
      </c>
      <c r="I53" s="14" t="n">
        <f aca="false">IF(OR(A53="",F53=""),"",DATEDIF(F53,Ayarlar!$B$3,"y"))</f>
        <v>27</v>
      </c>
      <c r="J53" s="14" t="n">
        <f aca="false">IF(A53="","",IF(H53&lt;1,0,MAX(IF(H53&lt;5,14,IF(H53&lt;15,20,26)),IF(AND(I53&lt;&gt;"",OR(I53&lt;=18,I53&gt;=50)),20,0))))</f>
        <v>20</v>
      </c>
      <c r="K53" s="17" t="n">
        <f aca="false">IF(A53="","",EDATE(E53,12*(H53+1)))</f>
        <v>46373</v>
      </c>
      <c r="L53" s="14" t="n">
        <f aca="false">IF(A53="","",K53-Ayarlar!$B$3)</f>
        <v>94</v>
      </c>
      <c r="M53" s="18" t="n">
        <f aca="false">IF(A53="","",Veri_Guncel!H53)</f>
        <v>28</v>
      </c>
      <c r="N53" s="18" t="n">
        <f aca="false">IF(A53="","",IFERROR(INDEX(Veri_Onceki!$H:$H,MATCH(A53,Veri_Onceki!$A:$A,0)),""))</f>
        <v>28</v>
      </c>
      <c r="O53" s="14" t="n">
        <f aca="false">IF(A53="","",IF(AND(H53&gt;=1,EDATE(E53,12*H53)&gt;Ayarlar!$B$4,EDATE(E53,12*H53)&lt;=Ayarlar!$B$3),J53,0))</f>
        <v>0</v>
      </c>
      <c r="P53" s="14" t="n">
        <f aca="false">IF(OR(A53="",N53=""),"",N53+O53-M53)</f>
        <v>0</v>
      </c>
      <c r="Q53" s="16" t="str">
        <f aca="false">IF(A53="","",IF(M53&gt;=Ayarlar!$B$7,"ALARM",IF(M53&gt;=Ayarlar!$B$6,"Planla","")))</f>
        <v>ALARM</v>
      </c>
      <c r="R53" s="14" t="str">
        <f aca="false">IF(A53="","",IF(AND(L53&gt;=0,L53&lt;=Ayarlar!$B$9),"Evet",""))</f>
        <v/>
      </c>
      <c r="S53" s="16" t="str">
        <f aca="false">IF(A53="","",IF(N53="","Yeni personel",IF(P53&lt;0,"Kontrol et","")))</f>
        <v/>
      </c>
      <c r="T53" s="14" t="n">
        <f aca="false">IF(A53="","",IF(AND(G53=1,M53&gt;=Ayarlar!$B$6,OR(Ayarlar!$B$11="Tümü",C53=Ayarlar!$B$11)),M53+ROW()/100000,""))</f>
        <v>28.00053</v>
      </c>
    </row>
    <row r="54" customFormat="false" ht="15" hidden="false" customHeight="false" outlineLevel="0" collapsed="false">
      <c r="A54" s="18" t="str">
        <f aca="false">IF(Veri_Guncel!A54="","",Veri_Guncel!A54)</f>
        <v>S10053</v>
      </c>
      <c r="B54" s="18" t="str">
        <f aca="false">IF($A54="","",Veri_Guncel!B54)</f>
        <v>Can Yılmaz</v>
      </c>
      <c r="C54" s="18" t="str">
        <f aca="false">IF($A54="","",Veri_Guncel!C54)</f>
        <v>Bölge 3</v>
      </c>
      <c r="D54" s="18" t="str">
        <f aca="false">IF($A54="","",Veri_Guncel!D54)</f>
        <v>Mağaza 3B</v>
      </c>
      <c r="E54" s="19" t="n">
        <f aca="false">IF($A54="","",Veri_Guncel!E54)</f>
        <v>41255</v>
      </c>
      <c r="F54" s="19" t="n">
        <f aca="false">IF($A54="","",Veri_Guncel!F54)</f>
        <v>39042</v>
      </c>
      <c r="G54" s="14" t="n">
        <f aca="false">IF(A54="","",IF(COUNTIF(Ayarlar!$A$15:$A$20,C54)&gt;0,1,0))</f>
        <v>1</v>
      </c>
      <c r="H54" s="14" t="n">
        <f aca="false">IF(A54="","",DATEDIF(E54,Ayarlar!$B$3,"y"))</f>
        <v>13</v>
      </c>
      <c r="I54" s="14" t="n">
        <f aca="false">IF(OR(A54="",F54=""),"",DATEDIF(F54,Ayarlar!$B$3,"y"))</f>
        <v>19</v>
      </c>
      <c r="J54" s="14" t="n">
        <f aca="false">IF(A54="","",IF(H54&lt;1,0,MAX(IF(H54&lt;5,14,IF(H54&lt;15,20,26)),IF(AND(I54&lt;&gt;"",OR(I54&lt;=18,I54&gt;=50)),20,0))))</f>
        <v>20</v>
      </c>
      <c r="K54" s="17" t="n">
        <f aca="false">IF(A54="","",EDATE(E54,12*(H54+1)))</f>
        <v>46368</v>
      </c>
      <c r="L54" s="14" t="n">
        <f aca="false">IF(A54="","",K54-Ayarlar!$B$3)</f>
        <v>89</v>
      </c>
      <c r="M54" s="18" t="n">
        <f aca="false">IF(A54="","",Veri_Guncel!H54)</f>
        <v>19</v>
      </c>
      <c r="N54" s="18" t="n">
        <f aca="false">IF(A54="","",IFERROR(INDEX(Veri_Onceki!$H:$H,MATCH(A54,Veri_Onceki!$A:$A,0)),""))</f>
        <v>19</v>
      </c>
      <c r="O54" s="14" t="n">
        <f aca="false">IF(A54="","",IF(AND(H54&gt;=1,EDATE(E54,12*H54)&gt;Ayarlar!$B$4,EDATE(E54,12*H54)&lt;=Ayarlar!$B$3),J54,0))</f>
        <v>0</v>
      </c>
      <c r="P54" s="14" t="n">
        <f aca="false">IF(OR(A54="",N54=""),"",N54+O54-M54)</f>
        <v>0</v>
      </c>
      <c r="Q54" s="16" t="str">
        <f aca="false">IF(A54="","",IF(M54&gt;=Ayarlar!$B$7,"ALARM",IF(M54&gt;=Ayarlar!$B$6,"Planla","")))</f>
        <v>Planla</v>
      </c>
      <c r="R54" s="14" t="str">
        <f aca="false">IF(A54="","",IF(AND(L54&gt;=0,L54&lt;=Ayarlar!$B$9),"Evet",""))</f>
        <v/>
      </c>
      <c r="S54" s="16" t="str">
        <f aca="false">IF(A54="","",IF(N54="","Yeni personel",IF(P54&lt;0,"Kontrol et","")))</f>
        <v/>
      </c>
      <c r="T54" s="14" t="n">
        <f aca="false">IF(A54="","",IF(AND(G54=1,M54&gt;=Ayarlar!$B$6,OR(Ayarlar!$B$11="Tümü",C54=Ayarlar!$B$11)),M54+ROW()/100000,""))</f>
        <v>19.00054</v>
      </c>
    </row>
    <row r="55" customFormat="false" ht="15" hidden="false" customHeight="false" outlineLevel="0" collapsed="false">
      <c r="A55" s="18" t="str">
        <f aca="false">IF(Veri_Guncel!A55="","",Veri_Guncel!A55)</f>
        <v>S10054</v>
      </c>
      <c r="B55" s="18" t="str">
        <f aca="false">IF($A55="","",Veri_Guncel!B55)</f>
        <v>Selin Kaya</v>
      </c>
      <c r="C55" s="18" t="str">
        <f aca="false">IF($A55="","",Veri_Guncel!C55)</f>
        <v>Bölge 3</v>
      </c>
      <c r="D55" s="18" t="str">
        <f aca="false">IF($A55="","",Veri_Guncel!D55)</f>
        <v>Mağaza 3B</v>
      </c>
      <c r="E55" s="19" t="n">
        <f aca="false">IF($A55="","",Veri_Guncel!E55)</f>
        <v>44789</v>
      </c>
      <c r="F55" s="19" t="n">
        <f aca="false">IF($A55="","",Veri_Guncel!F55)</f>
        <v>30189</v>
      </c>
      <c r="G55" s="14" t="n">
        <f aca="false">IF(A55="","",IF(COUNTIF(Ayarlar!$A$15:$A$20,C55)&gt;0,1,0))</f>
        <v>1</v>
      </c>
      <c r="H55" s="14" t="n">
        <f aca="false">IF(A55="","",DATEDIF(E55,Ayarlar!$B$3,"y"))</f>
        <v>4</v>
      </c>
      <c r="I55" s="14" t="n">
        <f aca="false">IF(OR(A55="",F55=""),"",DATEDIF(F55,Ayarlar!$B$3,"y"))</f>
        <v>44</v>
      </c>
      <c r="J55" s="14" t="n">
        <f aca="false">IF(A55="","",IF(H55&lt;1,0,MAX(IF(H55&lt;5,14,IF(H55&lt;15,20,26)),IF(AND(I55&lt;&gt;"",OR(I55&lt;=18,I55&gt;=50)),20,0))))</f>
        <v>14</v>
      </c>
      <c r="K55" s="17" t="n">
        <f aca="false">IF(A55="","",EDATE(E55,12*(H55+1)))</f>
        <v>46615</v>
      </c>
      <c r="L55" s="14" t="n">
        <f aca="false">IF(A55="","",K55-Ayarlar!$B$3)</f>
        <v>336</v>
      </c>
      <c r="M55" s="18" t="n">
        <f aca="false">IF(A55="","",Veri_Guncel!H55)</f>
        <v>0</v>
      </c>
      <c r="N55" s="18" t="n">
        <f aca="false">IF(A55="","",IFERROR(INDEX(Veri_Onceki!$H:$H,MATCH(A55,Veri_Onceki!$A:$A,0)),""))</f>
        <v>0</v>
      </c>
      <c r="O55" s="14" t="n">
        <f aca="false">IF(A55="","",IF(AND(H55&gt;=1,EDATE(E55,12*H55)&gt;Ayarlar!$B$4,EDATE(E55,12*H55)&lt;=Ayarlar!$B$3),J55,0))</f>
        <v>14</v>
      </c>
      <c r="P55" s="14" t="n">
        <f aca="false">IF(OR(A55="",N55=""),"",N55+O55-M55)</f>
        <v>14</v>
      </c>
      <c r="Q55" s="16" t="str">
        <f aca="false">IF(A55="","",IF(M55&gt;=Ayarlar!$B$7,"ALARM",IF(M55&gt;=Ayarlar!$B$6,"Planla","")))</f>
        <v/>
      </c>
      <c r="R55" s="14" t="str">
        <f aca="false">IF(A55="","",IF(AND(L55&gt;=0,L55&lt;=Ayarlar!$B$9),"Evet",""))</f>
        <v/>
      </c>
      <c r="S55" s="16" t="str">
        <f aca="false">IF(A55="","",IF(N55="","Yeni personel",IF(P55&lt;0,"Kontrol et","")))</f>
        <v/>
      </c>
      <c r="T55" s="14" t="str">
        <f aca="false">IF(A55="","",IF(AND(G55=1,M55&gt;=Ayarlar!$B$6,OR(Ayarlar!$B$11="Tümü",C55=Ayarlar!$B$11)),M55+ROW()/100000,""))</f>
        <v/>
      </c>
    </row>
    <row r="56" customFormat="false" ht="15" hidden="false" customHeight="false" outlineLevel="0" collapsed="false">
      <c r="A56" s="18" t="str">
        <f aca="false">IF(Veri_Guncel!A56="","",Veri_Guncel!A56)</f>
        <v>S10055</v>
      </c>
      <c r="B56" s="18" t="str">
        <f aca="false">IF($A56="","",Veri_Guncel!B56)</f>
        <v>Onur Yılmaz</v>
      </c>
      <c r="C56" s="18" t="str">
        <f aca="false">IF($A56="","",Veri_Guncel!C56)</f>
        <v>Bölge 3</v>
      </c>
      <c r="D56" s="18" t="str">
        <f aca="false">IF($A56="","",Veri_Guncel!D56)</f>
        <v>Mağaza 3C</v>
      </c>
      <c r="E56" s="19" t="n">
        <f aca="false">IF($A56="","",Veri_Guncel!E56)</f>
        <v>41772</v>
      </c>
      <c r="F56" s="19" t="n">
        <f aca="false">IF($A56="","",Veri_Guncel!F56)</f>
        <v>31282</v>
      </c>
      <c r="G56" s="14" t="n">
        <f aca="false">IF(A56="","",IF(COUNTIF(Ayarlar!$A$15:$A$20,C56)&gt;0,1,0))</f>
        <v>1</v>
      </c>
      <c r="H56" s="14" t="n">
        <f aca="false">IF(A56="","",DATEDIF(E56,Ayarlar!$B$3,"y"))</f>
        <v>12</v>
      </c>
      <c r="I56" s="14" t="n">
        <f aca="false">IF(OR(A56="",F56=""),"",DATEDIF(F56,Ayarlar!$B$3,"y"))</f>
        <v>41</v>
      </c>
      <c r="J56" s="14" t="n">
        <f aca="false">IF(A56="","",IF(H56&lt;1,0,MAX(IF(H56&lt;5,14,IF(H56&lt;15,20,26)),IF(AND(I56&lt;&gt;"",OR(I56&lt;=18,I56&gt;=50)),20,0))))</f>
        <v>20</v>
      </c>
      <c r="K56" s="17" t="n">
        <f aca="false">IF(A56="","",EDATE(E56,12*(H56+1)))</f>
        <v>46520</v>
      </c>
      <c r="L56" s="14" t="n">
        <f aca="false">IF(A56="","",K56-Ayarlar!$B$3)</f>
        <v>241</v>
      </c>
      <c r="M56" s="18" t="n">
        <f aca="false">IF(A56="","",Veri_Guncel!H56)</f>
        <v>24</v>
      </c>
      <c r="N56" s="18" t="n">
        <f aca="false">IF(A56="","",IFERROR(INDEX(Veri_Onceki!$H:$H,MATCH(A56,Veri_Onceki!$A:$A,0)),""))</f>
        <v>27</v>
      </c>
      <c r="O56" s="14" t="n">
        <f aca="false">IF(A56="","",IF(AND(H56&gt;=1,EDATE(E56,12*H56)&gt;Ayarlar!$B$4,EDATE(E56,12*H56)&lt;=Ayarlar!$B$3),J56,0))</f>
        <v>0</v>
      </c>
      <c r="P56" s="14" t="n">
        <f aca="false">IF(OR(A56="",N56=""),"",N56+O56-M56)</f>
        <v>3</v>
      </c>
      <c r="Q56" s="16" t="str">
        <f aca="false">IF(A56="","",IF(M56&gt;=Ayarlar!$B$7,"ALARM",IF(M56&gt;=Ayarlar!$B$6,"Planla","")))</f>
        <v>ALARM</v>
      </c>
      <c r="R56" s="14" t="str">
        <f aca="false">IF(A56="","",IF(AND(L56&gt;=0,L56&lt;=Ayarlar!$B$9),"Evet",""))</f>
        <v/>
      </c>
      <c r="S56" s="16" t="str">
        <f aca="false">IF(A56="","",IF(N56="","Yeni personel",IF(P56&lt;0,"Kontrol et","")))</f>
        <v/>
      </c>
      <c r="T56" s="14" t="n">
        <f aca="false">IF(A56="","",IF(AND(G56=1,M56&gt;=Ayarlar!$B$6,OR(Ayarlar!$B$11="Tümü",C56=Ayarlar!$B$11)),M56+ROW()/100000,""))</f>
        <v>24.00056</v>
      </c>
    </row>
    <row r="57" customFormat="false" ht="15" hidden="false" customHeight="false" outlineLevel="0" collapsed="false">
      <c r="A57" s="18" t="str">
        <f aca="false">IF(Veri_Guncel!A57="","",Veri_Guncel!A57)</f>
        <v>S10056</v>
      </c>
      <c r="B57" s="18" t="str">
        <f aca="false">IF($A57="","",Veri_Guncel!B57)</f>
        <v>Melis Yıldız</v>
      </c>
      <c r="C57" s="18" t="str">
        <f aca="false">IF($A57="","",Veri_Guncel!C57)</f>
        <v>Bölge 3</v>
      </c>
      <c r="D57" s="18" t="str">
        <f aca="false">IF($A57="","",Veri_Guncel!D57)</f>
        <v>Mağaza 3C</v>
      </c>
      <c r="E57" s="19" t="n">
        <f aca="false">IF($A57="","",Veri_Guncel!E57)</f>
        <v>44640</v>
      </c>
      <c r="F57" s="19" t="n">
        <f aca="false">IF($A57="","",Veri_Guncel!F57)</f>
        <v>32417</v>
      </c>
      <c r="G57" s="14" t="n">
        <f aca="false">IF(A57="","",IF(COUNTIF(Ayarlar!$A$15:$A$20,C57)&gt;0,1,0))</f>
        <v>1</v>
      </c>
      <c r="H57" s="14" t="n">
        <f aca="false">IF(A57="","",DATEDIF(E57,Ayarlar!$B$3,"y"))</f>
        <v>4</v>
      </c>
      <c r="I57" s="14" t="n">
        <f aca="false">IF(OR(A57="",F57=""),"",DATEDIF(F57,Ayarlar!$B$3,"y"))</f>
        <v>37</v>
      </c>
      <c r="J57" s="14" t="n">
        <f aca="false">IF(A57="","",IF(H57&lt;1,0,MAX(IF(H57&lt;5,14,IF(H57&lt;15,20,26)),IF(AND(I57&lt;&gt;"",OR(I57&lt;=18,I57&gt;=50)),20,0))))</f>
        <v>14</v>
      </c>
      <c r="K57" s="17" t="n">
        <f aca="false">IF(A57="","",EDATE(E57,12*(H57+1)))</f>
        <v>46466</v>
      </c>
      <c r="L57" s="14" t="n">
        <f aca="false">IF(A57="","",K57-Ayarlar!$B$3)</f>
        <v>187</v>
      </c>
      <c r="M57" s="18" t="n">
        <f aca="false">IF(A57="","",Veri_Guncel!H57)</f>
        <v>24</v>
      </c>
      <c r="N57" s="18" t="n">
        <f aca="false">IF(A57="","",IFERROR(INDEX(Veri_Onceki!$H:$H,MATCH(A57,Veri_Onceki!$A:$A,0)),""))</f>
        <v>24</v>
      </c>
      <c r="O57" s="14" t="n">
        <f aca="false">IF(A57="","",IF(AND(H57&gt;=1,EDATE(E57,12*H57)&gt;Ayarlar!$B$4,EDATE(E57,12*H57)&lt;=Ayarlar!$B$3),J57,0))</f>
        <v>0</v>
      </c>
      <c r="P57" s="14" t="n">
        <f aca="false">IF(OR(A57="",N57=""),"",N57+O57-M57)</f>
        <v>0</v>
      </c>
      <c r="Q57" s="16" t="str">
        <f aca="false">IF(A57="","",IF(M57&gt;=Ayarlar!$B$7,"ALARM",IF(M57&gt;=Ayarlar!$B$6,"Planla","")))</f>
        <v>ALARM</v>
      </c>
      <c r="R57" s="14" t="str">
        <f aca="false">IF(A57="","",IF(AND(L57&gt;=0,L57&lt;=Ayarlar!$B$9),"Evet",""))</f>
        <v/>
      </c>
      <c r="S57" s="16" t="str">
        <f aca="false">IF(A57="","",IF(N57="","Yeni personel",IF(P57&lt;0,"Kontrol et","")))</f>
        <v/>
      </c>
      <c r="T57" s="14" t="n">
        <f aca="false">IF(A57="","",IF(AND(G57=1,M57&gt;=Ayarlar!$B$6,OR(Ayarlar!$B$11="Tümü",C57=Ayarlar!$B$11)),M57+ROW()/100000,""))</f>
        <v>24.00057</v>
      </c>
    </row>
    <row r="58" customFormat="false" ht="15" hidden="false" customHeight="false" outlineLevel="0" collapsed="false">
      <c r="A58" s="18" t="str">
        <f aca="false">IF(Veri_Guncel!A58="","",Veri_Guncel!A58)</f>
        <v>S10057</v>
      </c>
      <c r="B58" s="18" t="str">
        <f aca="false">IF($A58="","",Veri_Guncel!B58)</f>
        <v>Tolga Doğan</v>
      </c>
      <c r="C58" s="18" t="str">
        <f aca="false">IF($A58="","",Veri_Guncel!C58)</f>
        <v>Bölge 3</v>
      </c>
      <c r="D58" s="18" t="str">
        <f aca="false">IF($A58="","",Veri_Guncel!D58)</f>
        <v>Mağaza 3C</v>
      </c>
      <c r="E58" s="19" t="n">
        <f aca="false">IF($A58="","",Veri_Guncel!E58)</f>
        <v>42630</v>
      </c>
      <c r="F58" s="19" t="n">
        <f aca="false">IF($A58="","",Veri_Guncel!F58)</f>
        <v>35893</v>
      </c>
      <c r="G58" s="14" t="n">
        <f aca="false">IF(A58="","",IF(COUNTIF(Ayarlar!$A$15:$A$20,C58)&gt;0,1,0))</f>
        <v>1</v>
      </c>
      <c r="H58" s="14" t="n">
        <f aca="false">IF(A58="","",DATEDIF(E58,Ayarlar!$B$3,"y"))</f>
        <v>9</v>
      </c>
      <c r="I58" s="14" t="n">
        <f aca="false">IF(OR(A58="",F58=""),"",DATEDIF(F58,Ayarlar!$B$3,"y"))</f>
        <v>28</v>
      </c>
      <c r="J58" s="14" t="n">
        <f aca="false">IF(A58="","",IF(H58&lt;1,0,MAX(IF(H58&lt;5,14,IF(H58&lt;15,20,26)),IF(AND(I58&lt;&gt;"",OR(I58&lt;=18,I58&gt;=50)),20,0))))</f>
        <v>20</v>
      </c>
      <c r="K58" s="17" t="n">
        <f aca="false">IF(A58="","",EDATE(E58,12*(H58+1)))</f>
        <v>46282</v>
      </c>
      <c r="L58" s="14" t="n">
        <f aca="false">IF(A58="","",K58-Ayarlar!$B$3)</f>
        <v>3</v>
      </c>
      <c r="M58" s="18" t="n">
        <f aca="false">IF(A58="","",Veri_Guncel!H58)</f>
        <v>15</v>
      </c>
      <c r="N58" s="18" t="n">
        <f aca="false">IF(A58="","",IFERROR(INDEX(Veri_Onceki!$H:$H,MATCH(A58,Veri_Onceki!$A:$A,0)),""))</f>
        <v>17</v>
      </c>
      <c r="O58" s="14" t="n">
        <f aca="false">IF(A58="","",IF(AND(H58&gt;=1,EDATE(E58,12*H58)&gt;Ayarlar!$B$4,EDATE(E58,12*H58)&lt;=Ayarlar!$B$3),J58,0))</f>
        <v>0</v>
      </c>
      <c r="P58" s="14" t="n">
        <f aca="false">IF(OR(A58="",N58=""),"",N58+O58-M58)</f>
        <v>2</v>
      </c>
      <c r="Q58" s="16" t="str">
        <f aca="false">IF(A58="","",IF(M58&gt;=Ayarlar!$B$7,"ALARM",IF(M58&gt;=Ayarlar!$B$6,"Planla","")))</f>
        <v>Planla</v>
      </c>
      <c r="R58" s="14" t="str">
        <f aca="false">IF(A58="","",IF(AND(L58&gt;=0,L58&lt;=Ayarlar!$B$9),"Evet",""))</f>
        <v>Evet</v>
      </c>
      <c r="S58" s="16" t="str">
        <f aca="false">IF(A58="","",IF(N58="","Yeni personel",IF(P58&lt;0,"Kontrol et","")))</f>
        <v/>
      </c>
      <c r="T58" s="14" t="n">
        <f aca="false">IF(A58="","",IF(AND(G58=1,M58&gt;=Ayarlar!$B$6,OR(Ayarlar!$B$11="Tümü",C58=Ayarlar!$B$11)),M58+ROW()/100000,""))</f>
        <v>15.00058</v>
      </c>
    </row>
    <row r="59" customFormat="false" ht="15" hidden="false" customHeight="false" outlineLevel="0" collapsed="false">
      <c r="A59" s="18" t="str">
        <f aca="false">IF(Veri_Guncel!A59="","",Veri_Guncel!A59)</f>
        <v>S10058</v>
      </c>
      <c r="B59" s="18" t="str">
        <f aca="false">IF($A59="","",Veri_Guncel!B59)</f>
        <v>Melis Yıldız</v>
      </c>
      <c r="C59" s="18" t="str">
        <f aca="false">IF($A59="","",Veri_Guncel!C59)</f>
        <v>Bölge 3</v>
      </c>
      <c r="D59" s="18" t="str">
        <f aca="false">IF($A59="","",Veri_Guncel!D59)</f>
        <v>Mağaza 3C</v>
      </c>
      <c r="E59" s="19" t="n">
        <f aca="false">IF($A59="","",Veri_Guncel!E59)</f>
        <v>46016</v>
      </c>
      <c r="F59" s="19" t="n">
        <f aca="false">IF($A59="","",Veri_Guncel!F59)</f>
        <v>34738</v>
      </c>
      <c r="G59" s="14" t="n">
        <f aca="false">IF(A59="","",IF(COUNTIF(Ayarlar!$A$15:$A$20,C59)&gt;0,1,0))</f>
        <v>1</v>
      </c>
      <c r="H59" s="14" t="n">
        <f aca="false">IF(A59="","",DATEDIF(E59,Ayarlar!$B$3,"y"))</f>
        <v>0</v>
      </c>
      <c r="I59" s="14" t="n">
        <f aca="false">IF(OR(A59="",F59=""),"",DATEDIF(F59,Ayarlar!$B$3,"y"))</f>
        <v>31</v>
      </c>
      <c r="J59" s="14" t="n">
        <f aca="false">IF(A59="","",IF(H59&lt;1,0,MAX(IF(H59&lt;5,14,IF(H59&lt;15,20,26)),IF(AND(I59&lt;&gt;"",OR(I59&lt;=18,I59&gt;=50)),20,0))))</f>
        <v>0</v>
      </c>
      <c r="K59" s="17" t="n">
        <f aca="false">IF(A59="","",EDATE(E59,12*(H59+1)))</f>
        <v>46381</v>
      </c>
      <c r="L59" s="14" t="n">
        <f aca="false">IF(A59="","",K59-Ayarlar!$B$3)</f>
        <v>102</v>
      </c>
      <c r="M59" s="18" t="n">
        <f aca="false">IF(A59="","",Veri_Guncel!H59)</f>
        <v>0</v>
      </c>
      <c r="N59" s="18" t="n">
        <f aca="false">IF(A59="","",IFERROR(INDEX(Veri_Onceki!$H:$H,MATCH(A59,Veri_Onceki!$A:$A,0)),""))</f>
        <v>5</v>
      </c>
      <c r="O59" s="14" t="n">
        <f aca="false">IF(A59="","",IF(AND(H59&gt;=1,EDATE(E59,12*H59)&gt;Ayarlar!$B$4,EDATE(E59,12*H59)&lt;=Ayarlar!$B$3),J59,0))</f>
        <v>0</v>
      </c>
      <c r="P59" s="14" t="n">
        <f aca="false">IF(OR(A59="",N59=""),"",N59+O59-M59)</f>
        <v>5</v>
      </c>
      <c r="Q59" s="16" t="str">
        <f aca="false">IF(A59="","",IF(M59&gt;=Ayarlar!$B$7,"ALARM",IF(M59&gt;=Ayarlar!$B$6,"Planla","")))</f>
        <v/>
      </c>
      <c r="R59" s="14" t="str">
        <f aca="false">IF(A59="","",IF(AND(L59&gt;=0,L59&lt;=Ayarlar!$B$9),"Evet",""))</f>
        <v/>
      </c>
      <c r="S59" s="16" t="str">
        <f aca="false">IF(A59="","",IF(N59="","Yeni personel",IF(P59&lt;0,"Kontrol et","")))</f>
        <v/>
      </c>
      <c r="T59" s="14" t="str">
        <f aca="false">IF(A59="","",IF(AND(G59=1,M59&gt;=Ayarlar!$B$6,OR(Ayarlar!$B$11="Tümü",C59=Ayarlar!$B$11)),M59+ROW()/100000,""))</f>
        <v/>
      </c>
    </row>
    <row r="60" customFormat="false" ht="15" hidden="false" customHeight="false" outlineLevel="0" collapsed="false">
      <c r="A60" s="18" t="str">
        <f aca="false">IF(Veri_Guncel!A60="","",Veri_Guncel!A60)</f>
        <v>S10059</v>
      </c>
      <c r="B60" s="18" t="str">
        <f aca="false">IF($A60="","",Veri_Guncel!B60)</f>
        <v>Kaan Yılmaz</v>
      </c>
      <c r="C60" s="18" t="str">
        <f aca="false">IF($A60="","",Veri_Guncel!C60)</f>
        <v>Bölge 3</v>
      </c>
      <c r="D60" s="18" t="str">
        <f aca="false">IF($A60="","",Veri_Guncel!D60)</f>
        <v>Mağaza 3C</v>
      </c>
      <c r="E60" s="19" t="n">
        <f aca="false">IF($A60="","",Veri_Guncel!E60)</f>
        <v>44826</v>
      </c>
      <c r="F60" s="19" t="n">
        <f aca="false">IF($A60="","",Veri_Guncel!F60)</f>
        <v>34977</v>
      </c>
      <c r="G60" s="14" t="n">
        <f aca="false">IF(A60="","",IF(COUNTIF(Ayarlar!$A$15:$A$20,C60)&gt;0,1,0))</f>
        <v>1</v>
      </c>
      <c r="H60" s="14" t="n">
        <f aca="false">IF(A60="","",DATEDIF(E60,Ayarlar!$B$3,"y"))</f>
        <v>3</v>
      </c>
      <c r="I60" s="14" t="n">
        <f aca="false">IF(OR(A60="",F60=""),"",DATEDIF(F60,Ayarlar!$B$3,"y"))</f>
        <v>30</v>
      </c>
      <c r="J60" s="14" t="n">
        <f aca="false">IF(A60="","",IF(H60&lt;1,0,MAX(IF(H60&lt;5,14,IF(H60&lt;15,20,26)),IF(AND(I60&lt;&gt;"",OR(I60&lt;=18,I60&gt;=50)),20,0))))</f>
        <v>14</v>
      </c>
      <c r="K60" s="17" t="n">
        <f aca="false">IF(A60="","",EDATE(E60,12*(H60+1)))</f>
        <v>46287</v>
      </c>
      <c r="L60" s="14" t="n">
        <f aca="false">IF(A60="","",K60-Ayarlar!$B$3)</f>
        <v>8</v>
      </c>
      <c r="M60" s="18" t="n">
        <f aca="false">IF(A60="","",Veri_Guncel!H60)</f>
        <v>0</v>
      </c>
      <c r="N60" s="18" t="n">
        <f aca="false">IF(A60="","",IFERROR(INDEX(Veri_Onceki!$H:$H,MATCH(A60,Veri_Onceki!$A:$A,0)),""))</f>
        <v>0</v>
      </c>
      <c r="O60" s="14" t="n">
        <f aca="false">IF(A60="","",IF(AND(H60&gt;=1,EDATE(E60,12*H60)&gt;Ayarlar!$B$4,EDATE(E60,12*H60)&lt;=Ayarlar!$B$3),J60,0))</f>
        <v>0</v>
      </c>
      <c r="P60" s="14" t="n">
        <f aca="false">IF(OR(A60="",N60=""),"",N60+O60-M60)</f>
        <v>0</v>
      </c>
      <c r="Q60" s="16" t="str">
        <f aca="false">IF(A60="","",IF(M60&gt;=Ayarlar!$B$7,"ALARM",IF(M60&gt;=Ayarlar!$B$6,"Planla","")))</f>
        <v/>
      </c>
      <c r="R60" s="14" t="str">
        <f aca="false">IF(A60="","",IF(AND(L60&gt;=0,L60&lt;=Ayarlar!$B$9),"Evet",""))</f>
        <v>Evet</v>
      </c>
      <c r="S60" s="16" t="str">
        <f aca="false">IF(A60="","",IF(N60="","Yeni personel",IF(P60&lt;0,"Kontrol et","")))</f>
        <v/>
      </c>
      <c r="T60" s="14" t="str">
        <f aca="false">IF(A60="","",IF(AND(G60=1,M60&gt;=Ayarlar!$B$6,OR(Ayarlar!$B$11="Tümü",C60=Ayarlar!$B$11)),M60+ROW()/100000,""))</f>
        <v/>
      </c>
    </row>
    <row r="61" customFormat="false" ht="15" hidden="false" customHeight="false" outlineLevel="0" collapsed="false">
      <c r="A61" s="18" t="str">
        <f aca="false">IF(Veri_Guncel!A61="","",Veri_Guncel!A61)</f>
        <v>S10060</v>
      </c>
      <c r="B61" s="18" t="str">
        <f aca="false">IF($A61="","",Veri_Guncel!B61)</f>
        <v>Buse Doğan</v>
      </c>
      <c r="C61" s="18" t="str">
        <f aca="false">IF($A61="","",Veri_Guncel!C61)</f>
        <v>Bölge 3</v>
      </c>
      <c r="D61" s="18" t="str">
        <f aca="false">IF($A61="","",Veri_Guncel!D61)</f>
        <v>Mağaza 3C</v>
      </c>
      <c r="E61" s="19" t="n">
        <f aca="false">IF($A61="","",Veri_Guncel!E61)</f>
        <v>43073</v>
      </c>
      <c r="F61" s="19" t="n">
        <f aca="false">IF($A61="","",Veri_Guncel!F61)</f>
        <v>31307</v>
      </c>
      <c r="G61" s="14" t="n">
        <f aca="false">IF(A61="","",IF(COUNTIF(Ayarlar!$A$15:$A$20,C61)&gt;0,1,0))</f>
        <v>1</v>
      </c>
      <c r="H61" s="14" t="n">
        <f aca="false">IF(A61="","",DATEDIF(E61,Ayarlar!$B$3,"y"))</f>
        <v>8</v>
      </c>
      <c r="I61" s="14" t="n">
        <f aca="false">IF(OR(A61="",F61=""),"",DATEDIF(F61,Ayarlar!$B$3,"y"))</f>
        <v>40</v>
      </c>
      <c r="J61" s="14" t="n">
        <f aca="false">IF(A61="","",IF(H61&lt;1,0,MAX(IF(H61&lt;5,14,IF(H61&lt;15,20,26)),IF(AND(I61&lt;&gt;"",OR(I61&lt;=18,I61&gt;=50)),20,0))))</f>
        <v>20</v>
      </c>
      <c r="K61" s="17" t="n">
        <f aca="false">IF(A61="","",EDATE(E61,12*(H61+1)))</f>
        <v>46360</v>
      </c>
      <c r="L61" s="14" t="n">
        <f aca="false">IF(A61="","",K61-Ayarlar!$B$3)</f>
        <v>81</v>
      </c>
      <c r="M61" s="18" t="n">
        <f aca="false">IF(A61="","",Veri_Guncel!H61)</f>
        <v>10</v>
      </c>
      <c r="N61" s="18" t="n">
        <f aca="false">IF(A61="","",IFERROR(INDEX(Veri_Onceki!$H:$H,MATCH(A61,Veri_Onceki!$A:$A,0)),""))</f>
        <v>13</v>
      </c>
      <c r="O61" s="14" t="n">
        <f aca="false">IF(A61="","",IF(AND(H61&gt;=1,EDATE(E61,12*H61)&gt;Ayarlar!$B$4,EDATE(E61,12*H61)&lt;=Ayarlar!$B$3),J61,0))</f>
        <v>0</v>
      </c>
      <c r="P61" s="14" t="n">
        <f aca="false">IF(OR(A61="",N61=""),"",N61+O61-M61)</f>
        <v>3</v>
      </c>
      <c r="Q61" s="16" t="str">
        <f aca="false">IF(A61="","",IF(M61&gt;=Ayarlar!$B$7,"ALARM",IF(M61&gt;=Ayarlar!$B$6,"Planla","")))</f>
        <v/>
      </c>
      <c r="R61" s="14" t="str">
        <f aca="false">IF(A61="","",IF(AND(L61&gt;=0,L61&lt;=Ayarlar!$B$9),"Evet",""))</f>
        <v/>
      </c>
      <c r="S61" s="16" t="str">
        <f aca="false">IF(A61="","",IF(N61="","Yeni personel",IF(P61&lt;0,"Kontrol et","")))</f>
        <v/>
      </c>
      <c r="T61" s="14" t="str">
        <f aca="false">IF(A61="","",IF(AND(G61=1,M61&gt;=Ayarlar!$B$6,OR(Ayarlar!$B$11="Tümü",C61=Ayarlar!$B$11)),M61+ROW()/100000,""))</f>
        <v/>
      </c>
    </row>
    <row r="62" customFormat="false" ht="15" hidden="false" customHeight="false" outlineLevel="0" collapsed="false">
      <c r="A62" s="18" t="str">
        <f aca="false">IF(Veri_Guncel!A62="","",Veri_Guncel!A62)</f>
        <v>S10061</v>
      </c>
      <c r="B62" s="18" t="str">
        <f aca="false">IF($A62="","",Veri_Guncel!B62)</f>
        <v>Gizem Aydın</v>
      </c>
      <c r="C62" s="18" t="str">
        <f aca="false">IF($A62="","",Veri_Guncel!C62)</f>
        <v>Bölge 4</v>
      </c>
      <c r="D62" s="18" t="str">
        <f aca="false">IF($A62="","",Veri_Guncel!D62)</f>
        <v>Mağaza 4A</v>
      </c>
      <c r="E62" s="19" t="n">
        <f aca="false">IF($A62="","",Veri_Guncel!E62)</f>
        <v>43418</v>
      </c>
      <c r="F62" s="19" t="n">
        <f aca="false">IF($A62="","",Veri_Guncel!F62)</f>
        <v>37128</v>
      </c>
      <c r="G62" s="14" t="n">
        <f aca="false">IF(A62="","",IF(COUNTIF(Ayarlar!$A$15:$A$20,C62)&gt;0,1,0))</f>
        <v>1</v>
      </c>
      <c r="H62" s="14" t="n">
        <f aca="false">IF(A62="","",DATEDIF(E62,Ayarlar!$B$3,"y"))</f>
        <v>7</v>
      </c>
      <c r="I62" s="14" t="n">
        <f aca="false">IF(OR(A62="",F62=""),"",DATEDIF(F62,Ayarlar!$B$3,"y"))</f>
        <v>25</v>
      </c>
      <c r="J62" s="14" t="n">
        <f aca="false">IF(A62="","",IF(H62&lt;1,0,MAX(IF(H62&lt;5,14,IF(H62&lt;15,20,26)),IF(AND(I62&lt;&gt;"",OR(I62&lt;=18,I62&gt;=50)),20,0))))</f>
        <v>20</v>
      </c>
      <c r="K62" s="17" t="n">
        <f aca="false">IF(A62="","",EDATE(E62,12*(H62+1)))</f>
        <v>46340</v>
      </c>
      <c r="L62" s="14" t="n">
        <f aca="false">IF(A62="","",K62-Ayarlar!$B$3)</f>
        <v>61</v>
      </c>
      <c r="M62" s="18" t="n">
        <f aca="false">IF(A62="","",Veri_Guncel!H62)</f>
        <v>6</v>
      </c>
      <c r="N62" s="18" t="n">
        <f aca="false">IF(A62="","",IFERROR(INDEX(Veri_Onceki!$H:$H,MATCH(A62,Veri_Onceki!$A:$A,0)),""))</f>
        <v>13</v>
      </c>
      <c r="O62" s="14" t="n">
        <f aca="false">IF(A62="","",IF(AND(H62&gt;=1,EDATE(E62,12*H62)&gt;Ayarlar!$B$4,EDATE(E62,12*H62)&lt;=Ayarlar!$B$3),J62,0))</f>
        <v>0</v>
      </c>
      <c r="P62" s="14" t="n">
        <f aca="false">IF(OR(A62="",N62=""),"",N62+O62-M62)</f>
        <v>7</v>
      </c>
      <c r="Q62" s="16" t="str">
        <f aca="false">IF(A62="","",IF(M62&gt;=Ayarlar!$B$7,"ALARM",IF(M62&gt;=Ayarlar!$B$6,"Planla","")))</f>
        <v/>
      </c>
      <c r="R62" s="14" t="str">
        <f aca="false">IF(A62="","",IF(AND(L62&gt;=0,L62&lt;=Ayarlar!$B$9),"Evet",""))</f>
        <v/>
      </c>
      <c r="S62" s="16" t="str">
        <f aca="false">IF(A62="","",IF(N62="","Yeni personel",IF(P62&lt;0,"Kontrol et","")))</f>
        <v/>
      </c>
      <c r="T62" s="14" t="str">
        <f aca="false">IF(A62="","",IF(AND(G62=1,M62&gt;=Ayarlar!$B$6,OR(Ayarlar!$B$11="Tümü",C62=Ayarlar!$B$11)),M62+ROW()/100000,""))</f>
        <v/>
      </c>
    </row>
    <row r="63" customFormat="false" ht="15" hidden="false" customHeight="false" outlineLevel="0" collapsed="false">
      <c r="A63" s="18" t="str">
        <f aca="false">IF(Veri_Guncel!A63="","",Veri_Guncel!A63)</f>
        <v>S10062</v>
      </c>
      <c r="B63" s="18" t="str">
        <f aca="false">IF($A63="","",Veri_Guncel!B63)</f>
        <v>Selin Kaya</v>
      </c>
      <c r="C63" s="18" t="str">
        <f aca="false">IF($A63="","",Veri_Guncel!C63)</f>
        <v>Bölge 4</v>
      </c>
      <c r="D63" s="18" t="str">
        <f aca="false">IF($A63="","",Veri_Guncel!D63)</f>
        <v>Mağaza 4A</v>
      </c>
      <c r="E63" s="19" t="n">
        <f aca="false">IF($A63="","",Veri_Guncel!E63)</f>
        <v>43538</v>
      </c>
      <c r="F63" s="19" t="n">
        <f aca="false">IF($A63="","",Veri_Guncel!F63)</f>
        <v>35171</v>
      </c>
      <c r="G63" s="14" t="n">
        <f aca="false">IF(A63="","",IF(COUNTIF(Ayarlar!$A$15:$A$20,C63)&gt;0,1,0))</f>
        <v>1</v>
      </c>
      <c r="H63" s="14" t="n">
        <f aca="false">IF(A63="","",DATEDIF(E63,Ayarlar!$B$3,"y"))</f>
        <v>7</v>
      </c>
      <c r="I63" s="14" t="n">
        <f aca="false">IF(OR(A63="",F63=""),"",DATEDIF(F63,Ayarlar!$B$3,"y"))</f>
        <v>30</v>
      </c>
      <c r="J63" s="14" t="n">
        <f aca="false">IF(A63="","",IF(H63&lt;1,0,MAX(IF(H63&lt;5,14,IF(H63&lt;15,20,26)),IF(AND(I63&lt;&gt;"",OR(I63&lt;=18,I63&gt;=50)),20,0))))</f>
        <v>20</v>
      </c>
      <c r="K63" s="17" t="n">
        <f aca="false">IF(A63="","",EDATE(E63,12*(H63+1)))</f>
        <v>46460</v>
      </c>
      <c r="L63" s="14" t="n">
        <f aca="false">IF(A63="","",K63-Ayarlar!$B$3)</f>
        <v>181</v>
      </c>
      <c r="M63" s="18" t="n">
        <f aca="false">IF(A63="","",Veri_Guncel!H63)</f>
        <v>14</v>
      </c>
      <c r="N63" s="18" t="n">
        <f aca="false">IF(A63="","",IFERROR(INDEX(Veri_Onceki!$H:$H,MATCH(A63,Veri_Onceki!$A:$A,0)),""))</f>
        <v>14</v>
      </c>
      <c r="O63" s="14" t="n">
        <f aca="false">IF(A63="","",IF(AND(H63&gt;=1,EDATE(E63,12*H63)&gt;Ayarlar!$B$4,EDATE(E63,12*H63)&lt;=Ayarlar!$B$3),J63,0))</f>
        <v>0</v>
      </c>
      <c r="P63" s="14" t="n">
        <f aca="false">IF(OR(A63="",N63=""),"",N63+O63-M63)</f>
        <v>0</v>
      </c>
      <c r="Q63" s="16" t="str">
        <f aca="false">IF(A63="","",IF(M63&gt;=Ayarlar!$B$7,"ALARM",IF(M63&gt;=Ayarlar!$B$6,"Planla","")))</f>
        <v>Planla</v>
      </c>
      <c r="R63" s="14" t="str">
        <f aca="false">IF(A63="","",IF(AND(L63&gt;=0,L63&lt;=Ayarlar!$B$9),"Evet",""))</f>
        <v/>
      </c>
      <c r="S63" s="16" t="str">
        <f aca="false">IF(A63="","",IF(N63="","Yeni personel",IF(P63&lt;0,"Kontrol et","")))</f>
        <v/>
      </c>
      <c r="T63" s="14" t="n">
        <f aca="false">IF(A63="","",IF(AND(G63=1,M63&gt;=Ayarlar!$B$6,OR(Ayarlar!$B$11="Tümü",C63=Ayarlar!$B$11)),M63+ROW()/100000,""))</f>
        <v>14.00063</v>
      </c>
    </row>
    <row r="64" customFormat="false" ht="15" hidden="false" customHeight="false" outlineLevel="0" collapsed="false">
      <c r="A64" s="18" t="str">
        <f aca="false">IF(Veri_Guncel!A64="","",Veri_Guncel!A64)</f>
        <v>S10063</v>
      </c>
      <c r="B64" s="18" t="str">
        <f aca="false">IF($A64="","",Veri_Guncel!B64)</f>
        <v>Mert Çelik</v>
      </c>
      <c r="C64" s="18" t="str">
        <f aca="false">IF($A64="","",Veri_Guncel!C64)</f>
        <v>Bölge 4</v>
      </c>
      <c r="D64" s="18" t="str">
        <f aca="false">IF($A64="","",Veri_Guncel!D64)</f>
        <v>Mağaza 4A</v>
      </c>
      <c r="E64" s="19" t="n">
        <f aca="false">IF($A64="","",Veri_Guncel!E64)</f>
        <v>45749</v>
      </c>
      <c r="F64" s="19" t="n">
        <f aca="false">IF($A64="","",Veri_Guncel!F64)</f>
        <v>34257</v>
      </c>
      <c r="G64" s="14" t="n">
        <f aca="false">IF(A64="","",IF(COUNTIF(Ayarlar!$A$15:$A$20,C64)&gt;0,1,0))</f>
        <v>1</v>
      </c>
      <c r="H64" s="14" t="n">
        <f aca="false">IF(A64="","",DATEDIF(E64,Ayarlar!$B$3,"y"))</f>
        <v>1</v>
      </c>
      <c r="I64" s="14" t="n">
        <f aca="false">IF(OR(A64="",F64=""),"",DATEDIF(F64,Ayarlar!$B$3,"y"))</f>
        <v>32</v>
      </c>
      <c r="J64" s="14" t="n">
        <f aca="false">IF(A64="","",IF(H64&lt;1,0,MAX(IF(H64&lt;5,14,IF(H64&lt;15,20,26)),IF(AND(I64&lt;&gt;"",OR(I64&lt;=18,I64&gt;=50)),20,0))))</f>
        <v>14</v>
      </c>
      <c r="K64" s="17" t="n">
        <f aca="false">IF(A64="","",EDATE(E64,12*(H64+1)))</f>
        <v>46479</v>
      </c>
      <c r="L64" s="14" t="n">
        <f aca="false">IF(A64="","",K64-Ayarlar!$B$3)</f>
        <v>200</v>
      </c>
      <c r="M64" s="18" t="n">
        <f aca="false">IF(A64="","",Veri_Guncel!H64)</f>
        <v>24</v>
      </c>
      <c r="N64" s="18" t="n">
        <f aca="false">IF(A64="","",IFERROR(INDEX(Veri_Onceki!$H:$H,MATCH(A64,Veri_Onceki!$A:$A,0)),""))</f>
        <v>24</v>
      </c>
      <c r="O64" s="14" t="n">
        <f aca="false">IF(A64="","",IF(AND(H64&gt;=1,EDATE(E64,12*H64)&gt;Ayarlar!$B$4,EDATE(E64,12*H64)&lt;=Ayarlar!$B$3),J64,0))</f>
        <v>0</v>
      </c>
      <c r="P64" s="14" t="n">
        <f aca="false">IF(OR(A64="",N64=""),"",N64+O64-M64)</f>
        <v>0</v>
      </c>
      <c r="Q64" s="16" t="str">
        <f aca="false">IF(A64="","",IF(M64&gt;=Ayarlar!$B$7,"ALARM",IF(M64&gt;=Ayarlar!$B$6,"Planla","")))</f>
        <v>ALARM</v>
      </c>
      <c r="R64" s="14" t="str">
        <f aca="false">IF(A64="","",IF(AND(L64&gt;=0,L64&lt;=Ayarlar!$B$9),"Evet",""))</f>
        <v/>
      </c>
      <c r="S64" s="16" t="str">
        <f aca="false">IF(A64="","",IF(N64="","Yeni personel",IF(P64&lt;0,"Kontrol et","")))</f>
        <v/>
      </c>
      <c r="T64" s="14" t="n">
        <f aca="false">IF(A64="","",IF(AND(G64=1,M64&gt;=Ayarlar!$B$6,OR(Ayarlar!$B$11="Tümü",C64=Ayarlar!$B$11)),M64+ROW()/100000,""))</f>
        <v>24.00064</v>
      </c>
    </row>
    <row r="65" customFormat="false" ht="15" hidden="false" customHeight="false" outlineLevel="0" collapsed="false">
      <c r="A65" s="18" t="str">
        <f aca="false">IF(Veri_Guncel!A65="","",Veri_Guncel!A65)</f>
        <v>S10064</v>
      </c>
      <c r="B65" s="18" t="str">
        <f aca="false">IF($A65="","",Veri_Guncel!B65)</f>
        <v>Umut Doğan</v>
      </c>
      <c r="C65" s="18" t="str">
        <f aca="false">IF($A65="","",Veri_Guncel!C65)</f>
        <v>Bölge 4</v>
      </c>
      <c r="D65" s="18" t="str">
        <f aca="false">IF($A65="","",Veri_Guncel!D65)</f>
        <v>Mağaza 4A</v>
      </c>
      <c r="E65" s="19" t="n">
        <f aca="false">IF($A65="","",Veri_Guncel!E65)</f>
        <v>43172</v>
      </c>
      <c r="F65" s="19" t="n">
        <f aca="false">IF($A65="","",Veri_Guncel!F65)</f>
        <v>29769</v>
      </c>
      <c r="G65" s="14" t="n">
        <f aca="false">IF(A65="","",IF(COUNTIF(Ayarlar!$A$15:$A$20,C65)&gt;0,1,0))</f>
        <v>1</v>
      </c>
      <c r="H65" s="14" t="n">
        <f aca="false">IF(A65="","",DATEDIF(E65,Ayarlar!$B$3,"y"))</f>
        <v>8</v>
      </c>
      <c r="I65" s="14" t="n">
        <f aca="false">IF(OR(A65="",F65=""),"",DATEDIF(F65,Ayarlar!$B$3,"y"))</f>
        <v>45</v>
      </c>
      <c r="J65" s="14" t="n">
        <f aca="false">IF(A65="","",IF(H65&lt;1,0,MAX(IF(H65&lt;5,14,IF(H65&lt;15,20,26)),IF(AND(I65&lt;&gt;"",OR(I65&lt;=18,I65&gt;=50)),20,0))))</f>
        <v>20</v>
      </c>
      <c r="K65" s="17" t="n">
        <f aca="false">IF(A65="","",EDATE(E65,12*(H65+1)))</f>
        <v>46459</v>
      </c>
      <c r="L65" s="14" t="n">
        <f aca="false">IF(A65="","",K65-Ayarlar!$B$3)</f>
        <v>180</v>
      </c>
      <c r="M65" s="18" t="n">
        <f aca="false">IF(A65="","",Veri_Guncel!H65)</f>
        <v>0</v>
      </c>
      <c r="N65" s="18" t="n">
        <f aca="false">IF(A65="","",IFERROR(INDEX(Veri_Onceki!$H:$H,MATCH(A65,Veri_Onceki!$A:$A,0)),""))</f>
        <v>5</v>
      </c>
      <c r="O65" s="14" t="n">
        <f aca="false">IF(A65="","",IF(AND(H65&gt;=1,EDATE(E65,12*H65)&gt;Ayarlar!$B$4,EDATE(E65,12*H65)&lt;=Ayarlar!$B$3),J65,0))</f>
        <v>0</v>
      </c>
      <c r="P65" s="14" t="n">
        <f aca="false">IF(OR(A65="",N65=""),"",N65+O65-M65)</f>
        <v>5</v>
      </c>
      <c r="Q65" s="16" t="str">
        <f aca="false">IF(A65="","",IF(M65&gt;=Ayarlar!$B$7,"ALARM",IF(M65&gt;=Ayarlar!$B$6,"Planla","")))</f>
        <v/>
      </c>
      <c r="R65" s="14" t="str">
        <f aca="false">IF(A65="","",IF(AND(L65&gt;=0,L65&lt;=Ayarlar!$B$9),"Evet",""))</f>
        <v/>
      </c>
      <c r="S65" s="16" t="str">
        <f aca="false">IF(A65="","",IF(N65="","Yeni personel",IF(P65&lt;0,"Kontrol et","")))</f>
        <v/>
      </c>
      <c r="T65" s="14" t="str">
        <f aca="false">IF(A65="","",IF(AND(G65=1,M65&gt;=Ayarlar!$B$6,OR(Ayarlar!$B$11="Tümü",C65=Ayarlar!$B$11)),M65+ROW()/100000,""))</f>
        <v/>
      </c>
    </row>
    <row r="66" customFormat="false" ht="15" hidden="false" customHeight="false" outlineLevel="0" collapsed="false">
      <c r="A66" s="18" t="str">
        <f aca="false">IF(Veri_Guncel!A66="","",Veri_Guncel!A66)</f>
        <v>S10065</v>
      </c>
      <c r="B66" s="18" t="str">
        <f aca="false">IF($A66="","",Veri_Guncel!B66)</f>
        <v>Cem Kaya</v>
      </c>
      <c r="C66" s="18" t="str">
        <f aca="false">IF($A66="","",Veri_Guncel!C66)</f>
        <v>Bölge 4</v>
      </c>
      <c r="D66" s="18" t="str">
        <f aca="false">IF($A66="","",Veri_Guncel!D66)</f>
        <v>Mağaza 4A</v>
      </c>
      <c r="E66" s="19" t="n">
        <f aca="false">IF($A66="","",Veri_Guncel!E66)</f>
        <v>45763</v>
      </c>
      <c r="F66" s="19" t="n">
        <f aca="false">IF($A66="","",Veri_Guncel!F66)</f>
        <v>31764</v>
      </c>
      <c r="G66" s="14" t="n">
        <f aca="false">IF(A66="","",IF(COUNTIF(Ayarlar!$A$15:$A$20,C66)&gt;0,1,0))</f>
        <v>1</v>
      </c>
      <c r="H66" s="14" t="n">
        <f aca="false">IF(A66="","",DATEDIF(E66,Ayarlar!$B$3,"y"))</f>
        <v>1</v>
      </c>
      <c r="I66" s="14" t="n">
        <f aca="false">IF(OR(A66="",F66=""),"",DATEDIF(F66,Ayarlar!$B$3,"y"))</f>
        <v>39</v>
      </c>
      <c r="J66" s="14" t="n">
        <f aca="false">IF(A66="","",IF(H66&lt;1,0,MAX(IF(H66&lt;5,14,IF(H66&lt;15,20,26)),IF(AND(I66&lt;&gt;"",OR(I66&lt;=18,I66&gt;=50)),20,0))))</f>
        <v>14</v>
      </c>
      <c r="K66" s="17" t="n">
        <f aca="false">IF(A66="","",EDATE(E66,12*(H66+1)))</f>
        <v>46493</v>
      </c>
      <c r="L66" s="14" t="n">
        <f aca="false">IF(A66="","",K66-Ayarlar!$B$3)</f>
        <v>214</v>
      </c>
      <c r="M66" s="18" t="n">
        <f aca="false">IF(A66="","",Veri_Guncel!H66)</f>
        <v>24</v>
      </c>
      <c r="N66" s="18" t="n">
        <f aca="false">IF(A66="","",IFERROR(INDEX(Veri_Onceki!$H:$H,MATCH(A66,Veri_Onceki!$A:$A,0)),""))</f>
        <v>31</v>
      </c>
      <c r="O66" s="14" t="n">
        <f aca="false">IF(A66="","",IF(AND(H66&gt;=1,EDATE(E66,12*H66)&gt;Ayarlar!$B$4,EDATE(E66,12*H66)&lt;=Ayarlar!$B$3),J66,0))</f>
        <v>0</v>
      </c>
      <c r="P66" s="14" t="n">
        <f aca="false">IF(OR(A66="",N66=""),"",N66+O66-M66)</f>
        <v>7</v>
      </c>
      <c r="Q66" s="16" t="str">
        <f aca="false">IF(A66="","",IF(M66&gt;=Ayarlar!$B$7,"ALARM",IF(M66&gt;=Ayarlar!$B$6,"Planla","")))</f>
        <v>ALARM</v>
      </c>
      <c r="R66" s="14" t="str">
        <f aca="false">IF(A66="","",IF(AND(L66&gt;=0,L66&lt;=Ayarlar!$B$9),"Evet",""))</f>
        <v/>
      </c>
      <c r="S66" s="16" t="str">
        <f aca="false">IF(A66="","",IF(N66="","Yeni personel",IF(P66&lt;0,"Kontrol et","")))</f>
        <v/>
      </c>
      <c r="T66" s="14" t="n">
        <f aca="false">IF(A66="","",IF(AND(G66=1,M66&gt;=Ayarlar!$B$6,OR(Ayarlar!$B$11="Tümü",C66=Ayarlar!$B$11)),M66+ROW()/100000,""))</f>
        <v>24.00066</v>
      </c>
    </row>
    <row r="67" customFormat="false" ht="15" hidden="false" customHeight="false" outlineLevel="0" collapsed="false">
      <c r="A67" s="18" t="str">
        <f aca="false">IF(Veri_Guncel!A67="","",Veri_Guncel!A67)</f>
        <v>S10066</v>
      </c>
      <c r="B67" s="18" t="str">
        <f aca="false">IF($A67="","",Veri_Guncel!B67)</f>
        <v>Onur Koç</v>
      </c>
      <c r="C67" s="18" t="str">
        <f aca="false">IF($A67="","",Veri_Guncel!C67)</f>
        <v>Bölge 4</v>
      </c>
      <c r="D67" s="18" t="str">
        <f aca="false">IF($A67="","",Veri_Guncel!D67)</f>
        <v>Mağaza 4A</v>
      </c>
      <c r="E67" s="19" t="n">
        <f aca="false">IF($A67="","",Veri_Guncel!E67)</f>
        <v>40721</v>
      </c>
      <c r="F67" s="19" t="n">
        <f aca="false">IF($A67="","",Veri_Guncel!F67)</f>
        <v>29444</v>
      </c>
      <c r="G67" s="14" t="n">
        <f aca="false">IF(A67="","",IF(COUNTIF(Ayarlar!$A$15:$A$20,C67)&gt;0,1,0))</f>
        <v>1</v>
      </c>
      <c r="H67" s="14" t="n">
        <f aca="false">IF(A67="","",DATEDIF(E67,Ayarlar!$B$3,"y"))</f>
        <v>15</v>
      </c>
      <c r="I67" s="14" t="n">
        <f aca="false">IF(OR(A67="",F67=""),"",DATEDIF(F67,Ayarlar!$B$3,"y"))</f>
        <v>46</v>
      </c>
      <c r="J67" s="14" t="n">
        <f aca="false">IF(A67="","",IF(H67&lt;1,0,MAX(IF(H67&lt;5,14,IF(H67&lt;15,20,26)),IF(AND(I67&lt;&gt;"",OR(I67&lt;=18,I67&gt;=50)),20,0))))</f>
        <v>26</v>
      </c>
      <c r="K67" s="17" t="n">
        <f aca="false">IF(A67="","",EDATE(E67,12*(H67+1)))</f>
        <v>46565</v>
      </c>
      <c r="L67" s="14" t="n">
        <f aca="false">IF(A67="","",K67-Ayarlar!$B$3)</f>
        <v>286</v>
      </c>
      <c r="M67" s="18" t="n">
        <f aca="false">IF(A67="","",Veri_Guncel!H67)</f>
        <v>14</v>
      </c>
      <c r="N67" s="18" t="n">
        <f aca="false">IF(A67="","",IFERROR(INDEX(Veri_Onceki!$H:$H,MATCH(A67,Veri_Onceki!$A:$A,0)),""))</f>
        <v>14</v>
      </c>
      <c r="O67" s="14" t="n">
        <f aca="false">IF(A67="","",IF(AND(H67&gt;=1,EDATE(E67,12*H67)&gt;Ayarlar!$B$4,EDATE(E67,12*H67)&lt;=Ayarlar!$B$3),J67,0))</f>
        <v>0</v>
      </c>
      <c r="P67" s="14" t="n">
        <f aca="false">IF(OR(A67="",N67=""),"",N67+O67-M67)</f>
        <v>0</v>
      </c>
      <c r="Q67" s="16" t="str">
        <f aca="false">IF(A67="","",IF(M67&gt;=Ayarlar!$B$7,"ALARM",IF(M67&gt;=Ayarlar!$B$6,"Planla","")))</f>
        <v>Planla</v>
      </c>
      <c r="R67" s="14" t="str">
        <f aca="false">IF(A67="","",IF(AND(L67&gt;=0,L67&lt;=Ayarlar!$B$9),"Evet",""))</f>
        <v/>
      </c>
      <c r="S67" s="16" t="str">
        <f aca="false">IF(A67="","",IF(N67="","Yeni personel",IF(P67&lt;0,"Kontrol et","")))</f>
        <v/>
      </c>
      <c r="T67" s="14" t="n">
        <f aca="false">IF(A67="","",IF(AND(G67=1,M67&gt;=Ayarlar!$B$6,OR(Ayarlar!$B$11="Tümü",C67=Ayarlar!$B$11)),M67+ROW()/100000,""))</f>
        <v>14.00067</v>
      </c>
    </row>
    <row r="68" customFormat="false" ht="15" hidden="false" customHeight="false" outlineLevel="0" collapsed="false">
      <c r="A68" s="18" t="str">
        <f aca="false">IF(Veri_Guncel!A68="","",Veri_Guncel!A68)</f>
        <v>S10067</v>
      </c>
      <c r="B68" s="18" t="str">
        <f aca="false">IF($A68="","",Veri_Guncel!B68)</f>
        <v>Oğuz Özdemir</v>
      </c>
      <c r="C68" s="18" t="str">
        <f aca="false">IF($A68="","",Veri_Guncel!C68)</f>
        <v>Bölge 4</v>
      </c>
      <c r="D68" s="18" t="str">
        <f aca="false">IF($A68="","",Veri_Guncel!D68)</f>
        <v>Mağaza 4B</v>
      </c>
      <c r="E68" s="19" t="n">
        <f aca="false">IF($A68="","",Veri_Guncel!E68)</f>
        <v>41419</v>
      </c>
      <c r="F68" s="19" t="n">
        <f aca="false">IF($A68="","",Veri_Guncel!F68)</f>
        <v>28662</v>
      </c>
      <c r="G68" s="14" t="n">
        <f aca="false">IF(A68="","",IF(COUNTIF(Ayarlar!$A$15:$A$20,C68)&gt;0,1,0))</f>
        <v>1</v>
      </c>
      <c r="H68" s="14" t="n">
        <f aca="false">IF(A68="","",DATEDIF(E68,Ayarlar!$B$3,"y"))</f>
        <v>13</v>
      </c>
      <c r="I68" s="14" t="n">
        <f aca="false">IF(OR(A68="",F68=""),"",DATEDIF(F68,Ayarlar!$B$3,"y"))</f>
        <v>48</v>
      </c>
      <c r="J68" s="14" t="n">
        <f aca="false">IF(A68="","",IF(H68&lt;1,0,MAX(IF(H68&lt;5,14,IF(H68&lt;15,20,26)),IF(AND(I68&lt;&gt;"",OR(I68&lt;=18,I68&gt;=50)),20,0))))</f>
        <v>20</v>
      </c>
      <c r="K68" s="17" t="n">
        <f aca="false">IF(A68="","",EDATE(E68,12*(H68+1)))</f>
        <v>46532</v>
      </c>
      <c r="L68" s="14" t="n">
        <f aca="false">IF(A68="","",K68-Ayarlar!$B$3)</f>
        <v>253</v>
      </c>
      <c r="M68" s="18" t="n">
        <f aca="false">IF(A68="","",Veri_Guncel!H68)</f>
        <v>8</v>
      </c>
      <c r="N68" s="18" t="n">
        <f aca="false">IF(A68="","",IFERROR(INDEX(Veri_Onceki!$H:$H,MATCH(A68,Veri_Onceki!$A:$A,0)),""))</f>
        <v>8</v>
      </c>
      <c r="O68" s="14" t="n">
        <f aca="false">IF(A68="","",IF(AND(H68&gt;=1,EDATE(E68,12*H68)&gt;Ayarlar!$B$4,EDATE(E68,12*H68)&lt;=Ayarlar!$B$3),J68,0))</f>
        <v>0</v>
      </c>
      <c r="P68" s="14" t="n">
        <f aca="false">IF(OR(A68="",N68=""),"",N68+O68-M68)</f>
        <v>0</v>
      </c>
      <c r="Q68" s="16" t="str">
        <f aca="false">IF(A68="","",IF(M68&gt;=Ayarlar!$B$7,"ALARM",IF(M68&gt;=Ayarlar!$B$6,"Planla","")))</f>
        <v/>
      </c>
      <c r="R68" s="14" t="str">
        <f aca="false">IF(A68="","",IF(AND(L68&gt;=0,L68&lt;=Ayarlar!$B$9),"Evet",""))</f>
        <v/>
      </c>
      <c r="S68" s="16" t="str">
        <f aca="false">IF(A68="","",IF(N68="","Yeni personel",IF(P68&lt;0,"Kontrol et","")))</f>
        <v/>
      </c>
      <c r="T68" s="14" t="str">
        <f aca="false">IF(A68="","",IF(AND(G68=1,M68&gt;=Ayarlar!$B$6,OR(Ayarlar!$B$11="Tümü",C68=Ayarlar!$B$11)),M68+ROW()/100000,""))</f>
        <v/>
      </c>
    </row>
    <row r="69" customFormat="false" ht="15" hidden="false" customHeight="false" outlineLevel="0" collapsed="false">
      <c r="A69" s="18" t="str">
        <f aca="false">IF(Veri_Guncel!A69="","",Veri_Guncel!A69)</f>
        <v>S10068</v>
      </c>
      <c r="B69" s="18" t="str">
        <f aca="false">IF($A69="","",Veri_Guncel!B69)</f>
        <v>Burak Çelik</v>
      </c>
      <c r="C69" s="18" t="str">
        <f aca="false">IF($A69="","",Veri_Guncel!C69)</f>
        <v>Bölge 4</v>
      </c>
      <c r="D69" s="18" t="str">
        <f aca="false">IF($A69="","",Veri_Guncel!D69)</f>
        <v>Mağaza 4B</v>
      </c>
      <c r="E69" s="19" t="n">
        <f aca="false">IF($A69="","",Veri_Guncel!E69)</f>
        <v>41749</v>
      </c>
      <c r="F69" s="19" t="n">
        <f aca="false">IF($A69="","",Veri_Guncel!F69)</f>
        <v>34024</v>
      </c>
      <c r="G69" s="14" t="n">
        <f aca="false">IF(A69="","",IF(COUNTIF(Ayarlar!$A$15:$A$20,C69)&gt;0,1,0))</f>
        <v>1</v>
      </c>
      <c r="H69" s="14" t="n">
        <f aca="false">IF(A69="","",DATEDIF(E69,Ayarlar!$B$3,"y"))</f>
        <v>12</v>
      </c>
      <c r="I69" s="14" t="n">
        <f aca="false">IF(OR(A69="",F69=""),"",DATEDIF(F69,Ayarlar!$B$3,"y"))</f>
        <v>33</v>
      </c>
      <c r="J69" s="14" t="n">
        <f aca="false">IF(A69="","",IF(H69&lt;1,0,MAX(IF(H69&lt;5,14,IF(H69&lt;15,20,26)),IF(AND(I69&lt;&gt;"",OR(I69&lt;=18,I69&gt;=50)),20,0))))</f>
        <v>20</v>
      </c>
      <c r="K69" s="17" t="n">
        <f aca="false">IF(A69="","",EDATE(E69,12*(H69+1)))</f>
        <v>46497</v>
      </c>
      <c r="L69" s="14" t="n">
        <f aca="false">IF(A69="","",K69-Ayarlar!$B$3)</f>
        <v>218</v>
      </c>
      <c r="M69" s="18" t="n">
        <f aca="false">IF(A69="","",Veri_Guncel!H69)</f>
        <v>8</v>
      </c>
      <c r="N69" s="18" t="n">
        <f aca="false">IF(A69="","",IFERROR(INDEX(Veri_Onceki!$H:$H,MATCH(A69,Veri_Onceki!$A:$A,0)),""))</f>
        <v>13</v>
      </c>
      <c r="O69" s="14" t="n">
        <f aca="false">IF(A69="","",IF(AND(H69&gt;=1,EDATE(E69,12*H69)&gt;Ayarlar!$B$4,EDATE(E69,12*H69)&lt;=Ayarlar!$B$3),J69,0))</f>
        <v>0</v>
      </c>
      <c r="P69" s="14" t="n">
        <f aca="false">IF(OR(A69="",N69=""),"",N69+O69-M69)</f>
        <v>5</v>
      </c>
      <c r="Q69" s="16" t="str">
        <f aca="false">IF(A69="","",IF(M69&gt;=Ayarlar!$B$7,"ALARM",IF(M69&gt;=Ayarlar!$B$6,"Planla","")))</f>
        <v/>
      </c>
      <c r="R69" s="14" t="str">
        <f aca="false">IF(A69="","",IF(AND(L69&gt;=0,L69&lt;=Ayarlar!$B$9),"Evet",""))</f>
        <v/>
      </c>
      <c r="S69" s="16" t="str">
        <f aca="false">IF(A69="","",IF(N69="","Yeni personel",IF(P69&lt;0,"Kontrol et","")))</f>
        <v/>
      </c>
      <c r="T69" s="14" t="str">
        <f aca="false">IF(A69="","",IF(AND(G69=1,M69&gt;=Ayarlar!$B$6,OR(Ayarlar!$B$11="Tümü",C69=Ayarlar!$B$11)),M69+ROW()/100000,""))</f>
        <v/>
      </c>
    </row>
    <row r="70" customFormat="false" ht="15" hidden="false" customHeight="false" outlineLevel="0" collapsed="false">
      <c r="A70" s="18" t="str">
        <f aca="false">IF(Veri_Guncel!A70="","",Veri_Guncel!A70)</f>
        <v>S10069</v>
      </c>
      <c r="B70" s="18" t="str">
        <f aca="false">IF($A70="","",Veri_Guncel!B70)</f>
        <v>Deniz Çelik</v>
      </c>
      <c r="C70" s="18" t="str">
        <f aca="false">IF($A70="","",Veri_Guncel!C70)</f>
        <v>Bölge 4</v>
      </c>
      <c r="D70" s="18" t="str">
        <f aca="false">IF($A70="","",Veri_Guncel!D70)</f>
        <v>Mağaza 4B</v>
      </c>
      <c r="E70" s="19" t="n">
        <f aca="false">IF($A70="","",Veri_Guncel!E70)</f>
        <v>42128</v>
      </c>
      <c r="F70" s="19" t="n">
        <f aca="false">IF($A70="","",Veri_Guncel!F70)</f>
        <v>33184</v>
      </c>
      <c r="G70" s="14" t="n">
        <f aca="false">IF(A70="","",IF(COUNTIF(Ayarlar!$A$15:$A$20,C70)&gt;0,1,0))</f>
        <v>1</v>
      </c>
      <c r="H70" s="14" t="n">
        <f aca="false">IF(A70="","",DATEDIF(E70,Ayarlar!$B$3,"y"))</f>
        <v>11</v>
      </c>
      <c r="I70" s="14" t="n">
        <f aca="false">IF(OR(A70="",F70=""),"",DATEDIF(F70,Ayarlar!$B$3,"y"))</f>
        <v>35</v>
      </c>
      <c r="J70" s="14" t="n">
        <f aca="false">IF(A70="","",IF(H70&lt;1,0,MAX(IF(H70&lt;5,14,IF(H70&lt;15,20,26)),IF(AND(I70&lt;&gt;"",OR(I70&lt;=18,I70&gt;=50)),20,0))))</f>
        <v>20</v>
      </c>
      <c r="K70" s="17" t="n">
        <f aca="false">IF(A70="","",EDATE(E70,12*(H70+1)))</f>
        <v>46511</v>
      </c>
      <c r="L70" s="14" t="n">
        <f aca="false">IF(A70="","",K70-Ayarlar!$B$3)</f>
        <v>232</v>
      </c>
      <c r="M70" s="18" t="n">
        <f aca="false">IF(A70="","",Veri_Guncel!H70)</f>
        <v>15</v>
      </c>
      <c r="N70" s="18" t="n">
        <f aca="false">IF(A70="","",IFERROR(INDEX(Veri_Onceki!$H:$H,MATCH(A70,Veri_Onceki!$A:$A,0)),""))</f>
        <v>15</v>
      </c>
      <c r="O70" s="14" t="n">
        <f aca="false">IF(A70="","",IF(AND(H70&gt;=1,EDATE(E70,12*H70)&gt;Ayarlar!$B$4,EDATE(E70,12*H70)&lt;=Ayarlar!$B$3),J70,0))</f>
        <v>0</v>
      </c>
      <c r="P70" s="14" t="n">
        <f aca="false">IF(OR(A70="",N70=""),"",N70+O70-M70)</f>
        <v>0</v>
      </c>
      <c r="Q70" s="16" t="str">
        <f aca="false">IF(A70="","",IF(M70&gt;=Ayarlar!$B$7,"ALARM",IF(M70&gt;=Ayarlar!$B$6,"Planla","")))</f>
        <v>Planla</v>
      </c>
      <c r="R70" s="14" t="str">
        <f aca="false">IF(A70="","",IF(AND(L70&gt;=0,L70&lt;=Ayarlar!$B$9),"Evet",""))</f>
        <v/>
      </c>
      <c r="S70" s="16" t="str">
        <f aca="false">IF(A70="","",IF(N70="","Yeni personel",IF(P70&lt;0,"Kontrol et","")))</f>
        <v/>
      </c>
      <c r="T70" s="14" t="n">
        <f aca="false">IF(A70="","",IF(AND(G70=1,M70&gt;=Ayarlar!$B$6,OR(Ayarlar!$B$11="Tümü",C70=Ayarlar!$B$11)),M70+ROW()/100000,""))</f>
        <v>15.0007</v>
      </c>
    </row>
    <row r="71" customFormat="false" ht="15" hidden="false" customHeight="false" outlineLevel="0" collapsed="false">
      <c r="A71" s="18" t="str">
        <f aca="false">IF(Veri_Guncel!A71="","",Veri_Guncel!A71)</f>
        <v>S10070</v>
      </c>
      <c r="B71" s="18" t="str">
        <f aca="false">IF($A71="","",Veri_Guncel!B71)</f>
        <v>Gizem Aslan</v>
      </c>
      <c r="C71" s="18" t="str">
        <f aca="false">IF($A71="","",Veri_Guncel!C71)</f>
        <v>Bölge 4</v>
      </c>
      <c r="D71" s="18" t="str">
        <f aca="false">IF($A71="","",Veri_Guncel!D71)</f>
        <v>Mağaza 4B</v>
      </c>
      <c r="E71" s="19" t="n">
        <f aca="false">IF($A71="","",Veri_Guncel!E71)</f>
        <v>46148</v>
      </c>
      <c r="F71" s="19" t="n">
        <f aca="false">IF($A71="","",Veri_Guncel!F71)</f>
        <v>27344</v>
      </c>
      <c r="G71" s="14" t="n">
        <f aca="false">IF(A71="","",IF(COUNTIF(Ayarlar!$A$15:$A$20,C71)&gt;0,1,0))</f>
        <v>1</v>
      </c>
      <c r="H71" s="14" t="n">
        <f aca="false">IF(A71="","",DATEDIF(E71,Ayarlar!$B$3,"y"))</f>
        <v>0</v>
      </c>
      <c r="I71" s="14" t="n">
        <f aca="false">IF(OR(A71="",F71=""),"",DATEDIF(F71,Ayarlar!$B$3,"y"))</f>
        <v>51</v>
      </c>
      <c r="J71" s="14" t="n">
        <f aca="false">IF(A71="","",IF(H71&lt;1,0,MAX(IF(H71&lt;5,14,IF(H71&lt;15,20,26)),IF(AND(I71&lt;&gt;"",OR(I71&lt;=18,I71&gt;=50)),20,0))))</f>
        <v>0</v>
      </c>
      <c r="K71" s="17" t="n">
        <f aca="false">IF(A71="","",EDATE(E71,12*(H71+1)))</f>
        <v>46513</v>
      </c>
      <c r="L71" s="14" t="n">
        <f aca="false">IF(A71="","",K71-Ayarlar!$B$3)</f>
        <v>234</v>
      </c>
      <c r="M71" s="18" t="n">
        <f aca="false">IF(A71="","",Veri_Guncel!H71)</f>
        <v>0</v>
      </c>
      <c r="N71" s="18" t="n">
        <f aca="false">IF(A71="","",IFERROR(INDEX(Veri_Onceki!$H:$H,MATCH(A71,Veri_Onceki!$A:$A,0)),""))</f>
        <v>0</v>
      </c>
      <c r="O71" s="14" t="n">
        <f aca="false">IF(A71="","",IF(AND(H71&gt;=1,EDATE(E71,12*H71)&gt;Ayarlar!$B$4,EDATE(E71,12*H71)&lt;=Ayarlar!$B$3),J71,0))</f>
        <v>0</v>
      </c>
      <c r="P71" s="14" t="n">
        <f aca="false">IF(OR(A71="",N71=""),"",N71+O71-M71)</f>
        <v>0</v>
      </c>
      <c r="Q71" s="16" t="str">
        <f aca="false">IF(A71="","",IF(M71&gt;=Ayarlar!$B$7,"ALARM",IF(M71&gt;=Ayarlar!$B$6,"Planla","")))</f>
        <v/>
      </c>
      <c r="R71" s="14" t="str">
        <f aca="false">IF(A71="","",IF(AND(L71&gt;=0,L71&lt;=Ayarlar!$B$9),"Evet",""))</f>
        <v/>
      </c>
      <c r="S71" s="16" t="str">
        <f aca="false">IF(A71="","",IF(N71="","Yeni personel",IF(P71&lt;0,"Kontrol et","")))</f>
        <v/>
      </c>
      <c r="T71" s="14" t="str">
        <f aca="false">IF(A71="","",IF(AND(G71=1,M71&gt;=Ayarlar!$B$6,OR(Ayarlar!$B$11="Tümü",C71=Ayarlar!$B$11)),M71+ROW()/100000,""))</f>
        <v/>
      </c>
    </row>
    <row r="72" customFormat="false" ht="15" hidden="false" customHeight="false" outlineLevel="0" collapsed="false">
      <c r="A72" s="18" t="str">
        <f aca="false">IF(Veri_Guncel!A72="","",Veri_Guncel!A72)</f>
        <v>S10071</v>
      </c>
      <c r="B72" s="18" t="str">
        <f aca="false">IF($A72="","",Veri_Guncel!B72)</f>
        <v>Pınar Kurt</v>
      </c>
      <c r="C72" s="18" t="str">
        <f aca="false">IF($A72="","",Veri_Guncel!C72)</f>
        <v>Bölge 4</v>
      </c>
      <c r="D72" s="18" t="str">
        <f aca="false">IF($A72="","",Veri_Guncel!D72)</f>
        <v>Mağaza 4B</v>
      </c>
      <c r="E72" s="19" t="n">
        <f aca="false">IF($A72="","",Veri_Guncel!E72)</f>
        <v>40660</v>
      </c>
      <c r="F72" s="19" t="n">
        <f aca="false">IF($A72="","",Veri_Guncel!F72)</f>
        <v>29708</v>
      </c>
      <c r="G72" s="14" t="n">
        <f aca="false">IF(A72="","",IF(COUNTIF(Ayarlar!$A$15:$A$20,C72)&gt;0,1,0))</f>
        <v>1</v>
      </c>
      <c r="H72" s="14" t="n">
        <f aca="false">IF(A72="","",DATEDIF(E72,Ayarlar!$B$3,"y"))</f>
        <v>15</v>
      </c>
      <c r="I72" s="14" t="n">
        <f aca="false">IF(OR(A72="",F72=""),"",DATEDIF(F72,Ayarlar!$B$3,"y"))</f>
        <v>45</v>
      </c>
      <c r="J72" s="14" t="n">
        <f aca="false">IF(A72="","",IF(H72&lt;1,0,MAX(IF(H72&lt;5,14,IF(H72&lt;15,20,26)),IF(AND(I72&lt;&gt;"",OR(I72&lt;=18,I72&gt;=50)),20,0))))</f>
        <v>26</v>
      </c>
      <c r="K72" s="17" t="n">
        <f aca="false">IF(A72="","",EDATE(E72,12*(H72+1)))</f>
        <v>46504</v>
      </c>
      <c r="L72" s="14" t="n">
        <f aca="false">IF(A72="","",K72-Ayarlar!$B$3)</f>
        <v>225</v>
      </c>
      <c r="M72" s="18" t="n">
        <f aca="false">IF(A72="","",Veri_Guncel!H72)</f>
        <v>8</v>
      </c>
      <c r="N72" s="18" t="n">
        <f aca="false">IF(A72="","",IFERROR(INDEX(Veri_Onceki!$H:$H,MATCH(A72,Veri_Onceki!$A:$A,0)),""))</f>
        <v>8</v>
      </c>
      <c r="O72" s="14" t="n">
        <f aca="false">IF(A72="","",IF(AND(H72&gt;=1,EDATE(E72,12*H72)&gt;Ayarlar!$B$4,EDATE(E72,12*H72)&lt;=Ayarlar!$B$3),J72,0))</f>
        <v>0</v>
      </c>
      <c r="P72" s="14" t="n">
        <f aca="false">IF(OR(A72="",N72=""),"",N72+O72-M72)</f>
        <v>0</v>
      </c>
      <c r="Q72" s="16" t="str">
        <f aca="false">IF(A72="","",IF(M72&gt;=Ayarlar!$B$7,"ALARM",IF(M72&gt;=Ayarlar!$B$6,"Planla","")))</f>
        <v/>
      </c>
      <c r="R72" s="14" t="str">
        <f aca="false">IF(A72="","",IF(AND(L72&gt;=0,L72&lt;=Ayarlar!$B$9),"Evet",""))</f>
        <v/>
      </c>
      <c r="S72" s="16" t="str">
        <f aca="false">IF(A72="","",IF(N72="","Yeni personel",IF(P72&lt;0,"Kontrol et","")))</f>
        <v/>
      </c>
      <c r="T72" s="14" t="str">
        <f aca="false">IF(A72="","",IF(AND(G72=1,M72&gt;=Ayarlar!$B$6,OR(Ayarlar!$B$11="Tümü",C72=Ayarlar!$B$11)),M72+ROW()/100000,""))</f>
        <v/>
      </c>
    </row>
    <row r="73" customFormat="false" ht="15" hidden="false" customHeight="false" outlineLevel="0" collapsed="false">
      <c r="A73" s="18" t="str">
        <f aca="false">IF(Veri_Guncel!A73="","",Veri_Guncel!A73)</f>
        <v>S10072</v>
      </c>
      <c r="B73" s="18" t="str">
        <f aca="false">IF($A73="","",Veri_Guncel!B73)</f>
        <v>Serkan Özdemir</v>
      </c>
      <c r="C73" s="18" t="str">
        <f aca="false">IF($A73="","",Veri_Guncel!C73)</f>
        <v>Bölge 4</v>
      </c>
      <c r="D73" s="18" t="str">
        <f aca="false">IF($A73="","",Veri_Guncel!D73)</f>
        <v>Mağaza 4B</v>
      </c>
      <c r="E73" s="19" t="n">
        <f aca="false">IF($A73="","",Veri_Guncel!E73)</f>
        <v>40964</v>
      </c>
      <c r="F73" s="19" t="n">
        <f aca="false">IF($A73="","",Veri_Guncel!F73)</f>
        <v>38010</v>
      </c>
      <c r="G73" s="14" t="n">
        <f aca="false">IF(A73="","",IF(COUNTIF(Ayarlar!$A$15:$A$20,C73)&gt;0,1,0))</f>
        <v>1</v>
      </c>
      <c r="H73" s="14" t="n">
        <f aca="false">IF(A73="","",DATEDIF(E73,Ayarlar!$B$3,"y"))</f>
        <v>14</v>
      </c>
      <c r="I73" s="14" t="n">
        <f aca="false">IF(OR(A73="",F73=""),"",DATEDIF(F73,Ayarlar!$B$3,"y"))</f>
        <v>22</v>
      </c>
      <c r="J73" s="14" t="n">
        <f aca="false">IF(A73="","",IF(H73&lt;1,0,MAX(IF(H73&lt;5,14,IF(H73&lt;15,20,26)),IF(AND(I73&lt;&gt;"",OR(I73&lt;=18,I73&gt;=50)),20,0))))</f>
        <v>20</v>
      </c>
      <c r="K73" s="17" t="n">
        <f aca="false">IF(A73="","",EDATE(E73,12*(H73+1)))</f>
        <v>46443</v>
      </c>
      <c r="L73" s="14" t="n">
        <f aca="false">IF(A73="","",K73-Ayarlar!$B$3)</f>
        <v>164</v>
      </c>
      <c r="M73" s="18" t="n">
        <f aca="false">IF(A73="","",Veri_Guncel!H73)</f>
        <v>6</v>
      </c>
      <c r="N73" s="18" t="n">
        <f aca="false">IF(A73="","",IFERROR(INDEX(Veri_Onceki!$H:$H,MATCH(A73,Veri_Onceki!$A:$A,0)),""))</f>
        <v>9</v>
      </c>
      <c r="O73" s="14" t="n">
        <f aca="false">IF(A73="","",IF(AND(H73&gt;=1,EDATE(E73,12*H73)&gt;Ayarlar!$B$4,EDATE(E73,12*H73)&lt;=Ayarlar!$B$3),J73,0))</f>
        <v>0</v>
      </c>
      <c r="P73" s="14" t="n">
        <f aca="false">IF(OR(A73="",N73=""),"",N73+O73-M73)</f>
        <v>3</v>
      </c>
      <c r="Q73" s="16" t="str">
        <f aca="false">IF(A73="","",IF(M73&gt;=Ayarlar!$B$7,"ALARM",IF(M73&gt;=Ayarlar!$B$6,"Planla","")))</f>
        <v/>
      </c>
      <c r="R73" s="14" t="str">
        <f aca="false">IF(A73="","",IF(AND(L73&gt;=0,L73&lt;=Ayarlar!$B$9),"Evet",""))</f>
        <v/>
      </c>
      <c r="S73" s="16" t="str">
        <f aca="false">IF(A73="","",IF(N73="","Yeni personel",IF(P73&lt;0,"Kontrol et","")))</f>
        <v/>
      </c>
      <c r="T73" s="14" t="str">
        <f aca="false">IF(A73="","",IF(AND(G73=1,M73&gt;=Ayarlar!$B$6,OR(Ayarlar!$B$11="Tümü",C73=Ayarlar!$B$11)),M73+ROW()/100000,""))</f>
        <v/>
      </c>
    </row>
    <row r="74" customFormat="false" ht="15" hidden="false" customHeight="false" outlineLevel="0" collapsed="false">
      <c r="A74" s="18" t="str">
        <f aca="false">IF(Veri_Guncel!A74="","",Veri_Guncel!A74)</f>
        <v>S10073</v>
      </c>
      <c r="B74" s="18" t="str">
        <f aca="false">IF($A74="","",Veri_Guncel!B74)</f>
        <v>Ayşe Aslan</v>
      </c>
      <c r="C74" s="18" t="str">
        <f aca="false">IF($A74="","",Veri_Guncel!C74)</f>
        <v>Bölge 4</v>
      </c>
      <c r="D74" s="18" t="str">
        <f aca="false">IF($A74="","",Veri_Guncel!D74)</f>
        <v>Mağaza 4B</v>
      </c>
      <c r="E74" s="19" t="n">
        <f aca="false">IF($A74="","",Veri_Guncel!E74)</f>
        <v>45979</v>
      </c>
      <c r="F74" s="19" t="n">
        <f aca="false">IF($A74="","",Veri_Guncel!F74)</f>
        <v>34901</v>
      </c>
      <c r="G74" s="14" t="n">
        <f aca="false">IF(A74="","",IF(COUNTIF(Ayarlar!$A$15:$A$20,C74)&gt;0,1,0))</f>
        <v>1</v>
      </c>
      <c r="H74" s="14" t="n">
        <f aca="false">IF(A74="","",DATEDIF(E74,Ayarlar!$B$3,"y"))</f>
        <v>0</v>
      </c>
      <c r="I74" s="14" t="n">
        <f aca="false">IF(OR(A74="",F74=""),"",DATEDIF(F74,Ayarlar!$B$3,"y"))</f>
        <v>31</v>
      </c>
      <c r="J74" s="14" t="n">
        <f aca="false">IF(A74="","",IF(H74&lt;1,0,MAX(IF(H74&lt;5,14,IF(H74&lt;15,20,26)),IF(AND(I74&lt;&gt;"",OR(I74&lt;=18,I74&gt;=50)),20,0))))</f>
        <v>0</v>
      </c>
      <c r="K74" s="17" t="n">
        <f aca="false">IF(A74="","",EDATE(E74,12*(H74+1)))</f>
        <v>46344</v>
      </c>
      <c r="L74" s="14" t="n">
        <f aca="false">IF(A74="","",K74-Ayarlar!$B$3)</f>
        <v>65</v>
      </c>
      <c r="M74" s="18" t="n">
        <f aca="false">IF(A74="","",Veri_Guncel!H74)</f>
        <v>0</v>
      </c>
      <c r="N74" s="18" t="n">
        <f aca="false">IF(A74="","",IFERROR(INDEX(Veri_Onceki!$H:$H,MATCH(A74,Veri_Onceki!$A:$A,0)),""))</f>
        <v>3</v>
      </c>
      <c r="O74" s="14" t="n">
        <f aca="false">IF(A74="","",IF(AND(H74&gt;=1,EDATE(E74,12*H74)&gt;Ayarlar!$B$4,EDATE(E74,12*H74)&lt;=Ayarlar!$B$3),J74,0))</f>
        <v>0</v>
      </c>
      <c r="P74" s="14" t="n">
        <f aca="false">IF(OR(A74="",N74=""),"",N74+O74-M74)</f>
        <v>3</v>
      </c>
      <c r="Q74" s="16" t="str">
        <f aca="false">IF(A74="","",IF(M74&gt;=Ayarlar!$B$7,"ALARM",IF(M74&gt;=Ayarlar!$B$6,"Planla","")))</f>
        <v/>
      </c>
      <c r="R74" s="14" t="str">
        <f aca="false">IF(A74="","",IF(AND(L74&gt;=0,L74&lt;=Ayarlar!$B$9),"Evet",""))</f>
        <v/>
      </c>
      <c r="S74" s="16" t="str">
        <f aca="false">IF(A74="","",IF(N74="","Yeni personel",IF(P74&lt;0,"Kontrol et","")))</f>
        <v/>
      </c>
      <c r="T74" s="14" t="str">
        <f aca="false">IF(A74="","",IF(AND(G74=1,M74&gt;=Ayarlar!$B$6,OR(Ayarlar!$B$11="Tümü",C74=Ayarlar!$B$11)),M74+ROW()/100000,""))</f>
        <v/>
      </c>
    </row>
    <row r="75" customFormat="false" ht="15" hidden="false" customHeight="false" outlineLevel="0" collapsed="false">
      <c r="A75" s="18" t="str">
        <f aca="false">IF(Veri_Guncel!A75="","",Veri_Guncel!A75)</f>
        <v>S10074</v>
      </c>
      <c r="B75" s="18" t="str">
        <f aca="false">IF($A75="","",Veri_Guncel!B75)</f>
        <v>Oğuz Öztürk</v>
      </c>
      <c r="C75" s="18" t="str">
        <f aca="false">IF($A75="","",Veri_Guncel!C75)</f>
        <v>Bölge 4</v>
      </c>
      <c r="D75" s="18" t="str">
        <f aca="false">IF($A75="","",Veri_Guncel!D75)</f>
        <v>Mağaza 4B</v>
      </c>
      <c r="E75" s="19" t="n">
        <f aca="false">IF($A75="","",Veri_Guncel!E75)</f>
        <v>42168</v>
      </c>
      <c r="F75" s="19" t="n">
        <f aca="false">IF($A75="","",Veri_Guncel!F75)</f>
        <v>36851</v>
      </c>
      <c r="G75" s="14" t="n">
        <f aca="false">IF(A75="","",IF(COUNTIF(Ayarlar!$A$15:$A$20,C75)&gt;0,1,0))</f>
        <v>1</v>
      </c>
      <c r="H75" s="14" t="n">
        <f aca="false">IF(A75="","",DATEDIF(E75,Ayarlar!$B$3,"y"))</f>
        <v>11</v>
      </c>
      <c r="I75" s="14" t="n">
        <f aca="false">IF(OR(A75="",F75=""),"",DATEDIF(F75,Ayarlar!$B$3,"y"))</f>
        <v>25</v>
      </c>
      <c r="J75" s="14" t="n">
        <f aca="false">IF(A75="","",IF(H75&lt;1,0,MAX(IF(H75&lt;5,14,IF(H75&lt;15,20,26)),IF(AND(I75&lt;&gt;"",OR(I75&lt;=18,I75&gt;=50)),20,0))))</f>
        <v>20</v>
      </c>
      <c r="K75" s="17" t="n">
        <f aca="false">IF(A75="","",EDATE(E75,12*(H75+1)))</f>
        <v>46551</v>
      </c>
      <c r="L75" s="14" t="n">
        <f aca="false">IF(A75="","",K75-Ayarlar!$B$3)</f>
        <v>272</v>
      </c>
      <c r="M75" s="18" t="n">
        <f aca="false">IF(A75="","",Veri_Guncel!H75)</f>
        <v>14</v>
      </c>
      <c r="N75" s="18" t="n">
        <f aca="false">IF(A75="","",IFERROR(INDEX(Veri_Onceki!$H:$H,MATCH(A75,Veri_Onceki!$A:$A,0)),""))</f>
        <v>19</v>
      </c>
      <c r="O75" s="14" t="n">
        <f aca="false">IF(A75="","",IF(AND(H75&gt;=1,EDATE(E75,12*H75)&gt;Ayarlar!$B$4,EDATE(E75,12*H75)&lt;=Ayarlar!$B$3),J75,0))</f>
        <v>0</v>
      </c>
      <c r="P75" s="14" t="n">
        <f aca="false">IF(OR(A75="",N75=""),"",N75+O75-M75)</f>
        <v>5</v>
      </c>
      <c r="Q75" s="16" t="str">
        <f aca="false">IF(A75="","",IF(M75&gt;=Ayarlar!$B$7,"ALARM",IF(M75&gt;=Ayarlar!$B$6,"Planla","")))</f>
        <v>Planla</v>
      </c>
      <c r="R75" s="14" t="str">
        <f aca="false">IF(A75="","",IF(AND(L75&gt;=0,L75&lt;=Ayarlar!$B$9),"Evet",""))</f>
        <v/>
      </c>
      <c r="S75" s="16" t="str">
        <f aca="false">IF(A75="","",IF(N75="","Yeni personel",IF(P75&lt;0,"Kontrol et","")))</f>
        <v/>
      </c>
      <c r="T75" s="14" t="n">
        <f aca="false">IF(A75="","",IF(AND(G75=1,M75&gt;=Ayarlar!$B$6,OR(Ayarlar!$B$11="Tümü",C75=Ayarlar!$B$11)),M75+ROW()/100000,""))</f>
        <v>14.00075</v>
      </c>
    </row>
    <row r="76" customFormat="false" ht="15" hidden="false" customHeight="false" outlineLevel="0" collapsed="false">
      <c r="A76" s="18" t="str">
        <f aca="false">IF(Veri_Guncel!A76="","",Veri_Guncel!A76)</f>
        <v>S10075</v>
      </c>
      <c r="B76" s="18" t="str">
        <f aca="false">IF($A76="","",Veri_Guncel!B76)</f>
        <v>Derya Demir</v>
      </c>
      <c r="C76" s="18" t="str">
        <f aca="false">IF($A76="","",Veri_Guncel!C76)</f>
        <v>Bölge 4</v>
      </c>
      <c r="D76" s="18" t="str">
        <f aca="false">IF($A76="","",Veri_Guncel!D76)</f>
        <v>Mağaza 4C</v>
      </c>
      <c r="E76" s="19" t="n">
        <f aca="false">IF($A76="","",Veri_Guncel!E76)</f>
        <v>43128</v>
      </c>
      <c r="F76" s="19" t="n">
        <f aca="false">IF($A76="","",Veri_Guncel!F76)</f>
        <v>37006</v>
      </c>
      <c r="G76" s="14" t="n">
        <f aca="false">IF(A76="","",IF(COUNTIF(Ayarlar!$A$15:$A$20,C76)&gt;0,1,0))</f>
        <v>1</v>
      </c>
      <c r="H76" s="14" t="n">
        <f aca="false">IF(A76="","",DATEDIF(E76,Ayarlar!$B$3,"y"))</f>
        <v>8</v>
      </c>
      <c r="I76" s="14" t="n">
        <f aca="false">IF(OR(A76="",F76=""),"",DATEDIF(F76,Ayarlar!$B$3,"y"))</f>
        <v>25</v>
      </c>
      <c r="J76" s="14" t="n">
        <f aca="false">IF(A76="","",IF(H76&lt;1,0,MAX(IF(H76&lt;5,14,IF(H76&lt;15,20,26)),IF(AND(I76&lt;&gt;"",OR(I76&lt;=18,I76&gt;=50)),20,0))))</f>
        <v>20</v>
      </c>
      <c r="K76" s="17" t="n">
        <f aca="false">IF(A76="","",EDATE(E76,12*(H76+1)))</f>
        <v>46415</v>
      </c>
      <c r="L76" s="14" t="n">
        <f aca="false">IF(A76="","",K76-Ayarlar!$B$3)</f>
        <v>136</v>
      </c>
      <c r="M76" s="18" t="n">
        <f aca="false">IF(A76="","",Veri_Guncel!H76)</f>
        <v>17</v>
      </c>
      <c r="N76" s="18" t="n">
        <f aca="false">IF(A76="","",IFERROR(INDEX(Veri_Onceki!$H:$H,MATCH(A76,Veri_Onceki!$A:$A,0)),""))</f>
        <v>17</v>
      </c>
      <c r="O76" s="14" t="n">
        <f aca="false">IF(A76="","",IF(AND(H76&gt;=1,EDATE(E76,12*H76)&gt;Ayarlar!$B$4,EDATE(E76,12*H76)&lt;=Ayarlar!$B$3),J76,0))</f>
        <v>0</v>
      </c>
      <c r="P76" s="14" t="n">
        <f aca="false">IF(OR(A76="",N76=""),"",N76+O76-M76)</f>
        <v>0</v>
      </c>
      <c r="Q76" s="16" t="str">
        <f aca="false">IF(A76="","",IF(M76&gt;=Ayarlar!$B$7,"ALARM",IF(M76&gt;=Ayarlar!$B$6,"Planla","")))</f>
        <v>Planla</v>
      </c>
      <c r="R76" s="14" t="str">
        <f aca="false">IF(A76="","",IF(AND(L76&gt;=0,L76&lt;=Ayarlar!$B$9),"Evet",""))</f>
        <v/>
      </c>
      <c r="S76" s="16" t="str">
        <f aca="false">IF(A76="","",IF(N76="","Yeni personel",IF(P76&lt;0,"Kontrol et","")))</f>
        <v/>
      </c>
      <c r="T76" s="14" t="n">
        <f aca="false">IF(A76="","",IF(AND(G76=1,M76&gt;=Ayarlar!$B$6,OR(Ayarlar!$B$11="Tümü",C76=Ayarlar!$B$11)),M76+ROW()/100000,""))</f>
        <v>17.00076</v>
      </c>
    </row>
    <row r="77" customFormat="false" ht="15" hidden="false" customHeight="false" outlineLevel="0" collapsed="false">
      <c r="A77" s="18" t="str">
        <f aca="false">IF(Veri_Guncel!A77="","",Veri_Guncel!A77)</f>
        <v>S10076</v>
      </c>
      <c r="B77" s="18" t="str">
        <f aca="false">IF($A77="","",Veri_Guncel!B77)</f>
        <v>Ece Kılıç</v>
      </c>
      <c r="C77" s="18" t="str">
        <f aca="false">IF($A77="","",Veri_Guncel!C77)</f>
        <v>Bölge 4</v>
      </c>
      <c r="D77" s="18" t="str">
        <f aca="false">IF($A77="","",Veri_Guncel!D77)</f>
        <v>Mağaza 4C</v>
      </c>
      <c r="E77" s="19" t="n">
        <f aca="false">IF($A77="","",Veri_Guncel!E77)</f>
        <v>44778</v>
      </c>
      <c r="F77" s="19" t="n">
        <f aca="false">IF($A77="","",Veri_Guncel!F77)</f>
        <v>29977</v>
      </c>
      <c r="G77" s="14" t="n">
        <f aca="false">IF(A77="","",IF(COUNTIF(Ayarlar!$A$15:$A$20,C77)&gt;0,1,0))</f>
        <v>1</v>
      </c>
      <c r="H77" s="14" t="n">
        <f aca="false">IF(A77="","",DATEDIF(E77,Ayarlar!$B$3,"y"))</f>
        <v>4</v>
      </c>
      <c r="I77" s="14" t="n">
        <f aca="false">IF(OR(A77="",F77=""),"",DATEDIF(F77,Ayarlar!$B$3,"y"))</f>
        <v>44</v>
      </c>
      <c r="J77" s="14" t="n">
        <f aca="false">IF(A77="","",IF(H77&lt;1,0,MAX(IF(H77&lt;5,14,IF(H77&lt;15,20,26)),IF(AND(I77&lt;&gt;"",OR(I77&lt;=18,I77&gt;=50)),20,0))))</f>
        <v>14</v>
      </c>
      <c r="K77" s="17" t="n">
        <f aca="false">IF(A77="","",EDATE(E77,12*(H77+1)))</f>
        <v>46604</v>
      </c>
      <c r="L77" s="14" t="n">
        <f aca="false">IF(A77="","",K77-Ayarlar!$B$3)</f>
        <v>325</v>
      </c>
      <c r="M77" s="18" t="n">
        <f aca="false">IF(A77="","",Veri_Guncel!H77)</f>
        <v>8</v>
      </c>
      <c r="N77" s="18" t="n">
        <f aca="false">IF(A77="","",IFERROR(INDEX(Veri_Onceki!$H:$H,MATCH(A77,Veri_Onceki!$A:$A,0)),""))</f>
        <v>0</v>
      </c>
      <c r="O77" s="14" t="n">
        <f aca="false">IF(A77="","",IF(AND(H77&gt;=1,EDATE(E77,12*H77)&gt;Ayarlar!$B$4,EDATE(E77,12*H77)&lt;=Ayarlar!$B$3),J77,0))</f>
        <v>14</v>
      </c>
      <c r="P77" s="14" t="n">
        <f aca="false">IF(OR(A77="",N77=""),"",N77+O77-M77)</f>
        <v>6</v>
      </c>
      <c r="Q77" s="16" t="str">
        <f aca="false">IF(A77="","",IF(M77&gt;=Ayarlar!$B$7,"ALARM",IF(M77&gt;=Ayarlar!$B$6,"Planla","")))</f>
        <v/>
      </c>
      <c r="R77" s="14" t="str">
        <f aca="false">IF(A77="","",IF(AND(L77&gt;=0,L77&lt;=Ayarlar!$B$9),"Evet",""))</f>
        <v/>
      </c>
      <c r="S77" s="16" t="str">
        <f aca="false">IF(A77="","",IF(N77="","Yeni personel",IF(P77&lt;0,"Kontrol et","")))</f>
        <v/>
      </c>
      <c r="T77" s="14" t="str">
        <f aca="false">IF(A77="","",IF(AND(G77=1,M77&gt;=Ayarlar!$B$6,OR(Ayarlar!$B$11="Tümü",C77=Ayarlar!$B$11)),M77+ROW()/100000,""))</f>
        <v/>
      </c>
    </row>
    <row r="78" customFormat="false" ht="15" hidden="false" customHeight="false" outlineLevel="0" collapsed="false">
      <c r="A78" s="18" t="str">
        <f aca="false">IF(Veri_Guncel!A78="","",Veri_Guncel!A78)</f>
        <v>S10077</v>
      </c>
      <c r="B78" s="18" t="str">
        <f aca="false">IF($A78="","",Veri_Guncel!B78)</f>
        <v>Ayşe Yıldız</v>
      </c>
      <c r="C78" s="18" t="str">
        <f aca="false">IF($A78="","",Veri_Guncel!C78)</f>
        <v>Bölge 4</v>
      </c>
      <c r="D78" s="18" t="str">
        <f aca="false">IF($A78="","",Veri_Guncel!D78)</f>
        <v>Mağaza 4C</v>
      </c>
      <c r="E78" s="19" t="n">
        <f aca="false">IF($A78="","",Veri_Guncel!E78)</f>
        <v>43923</v>
      </c>
      <c r="F78" s="19" t="n">
        <f aca="false">IF($A78="","",Veri_Guncel!F78)</f>
        <v>36957</v>
      </c>
      <c r="G78" s="14" t="n">
        <f aca="false">IF(A78="","",IF(COUNTIF(Ayarlar!$A$15:$A$20,C78)&gt;0,1,0))</f>
        <v>1</v>
      </c>
      <c r="H78" s="14" t="n">
        <f aca="false">IF(A78="","",DATEDIF(E78,Ayarlar!$B$3,"y"))</f>
        <v>6</v>
      </c>
      <c r="I78" s="14" t="n">
        <f aca="false">IF(OR(A78="",F78=""),"",DATEDIF(F78,Ayarlar!$B$3,"y"))</f>
        <v>25</v>
      </c>
      <c r="J78" s="14" t="n">
        <f aca="false">IF(A78="","",IF(H78&lt;1,0,MAX(IF(H78&lt;5,14,IF(H78&lt;15,20,26)),IF(AND(I78&lt;&gt;"",OR(I78&lt;=18,I78&gt;=50)),20,0))))</f>
        <v>20</v>
      </c>
      <c r="K78" s="17" t="n">
        <f aca="false">IF(A78="","",EDATE(E78,12*(H78+1)))</f>
        <v>46479</v>
      </c>
      <c r="L78" s="14" t="n">
        <f aca="false">IF(A78="","",K78-Ayarlar!$B$3)</f>
        <v>200</v>
      </c>
      <c r="M78" s="18" t="n">
        <f aca="false">IF(A78="","",Veri_Guncel!H78)</f>
        <v>4</v>
      </c>
      <c r="N78" s="18" t="n">
        <f aca="false">IF(A78="","",IFERROR(INDEX(Veri_Onceki!$H:$H,MATCH(A78,Veri_Onceki!$A:$A,0)),""))</f>
        <v>4</v>
      </c>
      <c r="O78" s="14" t="n">
        <f aca="false">IF(A78="","",IF(AND(H78&gt;=1,EDATE(E78,12*H78)&gt;Ayarlar!$B$4,EDATE(E78,12*H78)&lt;=Ayarlar!$B$3),J78,0))</f>
        <v>0</v>
      </c>
      <c r="P78" s="14" t="n">
        <f aca="false">IF(OR(A78="",N78=""),"",N78+O78-M78)</f>
        <v>0</v>
      </c>
      <c r="Q78" s="16" t="str">
        <f aca="false">IF(A78="","",IF(M78&gt;=Ayarlar!$B$7,"ALARM",IF(M78&gt;=Ayarlar!$B$6,"Planla","")))</f>
        <v/>
      </c>
      <c r="R78" s="14" t="str">
        <f aca="false">IF(A78="","",IF(AND(L78&gt;=0,L78&lt;=Ayarlar!$B$9),"Evet",""))</f>
        <v/>
      </c>
      <c r="S78" s="16" t="str">
        <f aca="false">IF(A78="","",IF(N78="","Yeni personel",IF(P78&lt;0,"Kontrol et","")))</f>
        <v/>
      </c>
      <c r="T78" s="14" t="str">
        <f aca="false">IF(A78="","",IF(AND(G78=1,M78&gt;=Ayarlar!$B$6,OR(Ayarlar!$B$11="Tümü",C78=Ayarlar!$B$11)),M78+ROW()/100000,""))</f>
        <v/>
      </c>
    </row>
    <row r="79" customFormat="false" ht="15" hidden="false" customHeight="false" outlineLevel="0" collapsed="false">
      <c r="A79" s="18" t="str">
        <f aca="false">IF(Veri_Guncel!A79="","",Veri_Guncel!A79)</f>
        <v>S10078</v>
      </c>
      <c r="B79" s="18" t="str">
        <f aca="false">IF($A79="","",Veri_Guncel!B79)</f>
        <v>Emre Koç</v>
      </c>
      <c r="C79" s="18" t="str">
        <f aca="false">IF($A79="","",Veri_Guncel!C79)</f>
        <v>Bölge 4</v>
      </c>
      <c r="D79" s="18" t="str">
        <f aca="false">IF($A79="","",Veri_Guncel!D79)</f>
        <v>Mağaza 4C</v>
      </c>
      <c r="E79" s="19" t="n">
        <f aca="false">IF($A79="","",Veri_Guncel!E79)</f>
        <v>42112</v>
      </c>
      <c r="F79" s="19" t="n">
        <f aca="false">IF($A79="","",Veri_Guncel!F79)</f>
        <v>28932</v>
      </c>
      <c r="G79" s="14" t="n">
        <f aca="false">IF(A79="","",IF(COUNTIF(Ayarlar!$A$15:$A$20,C79)&gt;0,1,0))</f>
        <v>1</v>
      </c>
      <c r="H79" s="14" t="n">
        <f aca="false">IF(A79="","",DATEDIF(E79,Ayarlar!$B$3,"y"))</f>
        <v>11</v>
      </c>
      <c r="I79" s="14" t="n">
        <f aca="false">IF(OR(A79="",F79=""),"",DATEDIF(F79,Ayarlar!$B$3,"y"))</f>
        <v>47</v>
      </c>
      <c r="J79" s="14" t="n">
        <f aca="false">IF(A79="","",IF(H79&lt;1,0,MAX(IF(H79&lt;5,14,IF(H79&lt;15,20,26)),IF(AND(I79&lt;&gt;"",OR(I79&lt;=18,I79&gt;=50)),20,0))))</f>
        <v>20</v>
      </c>
      <c r="K79" s="17" t="n">
        <f aca="false">IF(A79="","",EDATE(E79,12*(H79+1)))</f>
        <v>46495</v>
      </c>
      <c r="L79" s="14" t="n">
        <f aca="false">IF(A79="","",K79-Ayarlar!$B$3)</f>
        <v>216</v>
      </c>
      <c r="M79" s="18" t="n">
        <f aca="false">IF(A79="","",Veri_Guncel!H79)</f>
        <v>19</v>
      </c>
      <c r="N79" s="18" t="n">
        <f aca="false">IF(A79="","",IFERROR(INDEX(Veri_Onceki!$H:$H,MATCH(A79,Veri_Onceki!$A:$A,0)),""))</f>
        <v>26</v>
      </c>
      <c r="O79" s="14" t="n">
        <f aca="false">IF(A79="","",IF(AND(H79&gt;=1,EDATE(E79,12*H79)&gt;Ayarlar!$B$4,EDATE(E79,12*H79)&lt;=Ayarlar!$B$3),J79,0))</f>
        <v>0</v>
      </c>
      <c r="P79" s="14" t="n">
        <f aca="false">IF(OR(A79="",N79=""),"",N79+O79-M79)</f>
        <v>7</v>
      </c>
      <c r="Q79" s="16" t="str">
        <f aca="false">IF(A79="","",IF(M79&gt;=Ayarlar!$B$7,"ALARM",IF(M79&gt;=Ayarlar!$B$6,"Planla","")))</f>
        <v>Planla</v>
      </c>
      <c r="R79" s="14" t="str">
        <f aca="false">IF(A79="","",IF(AND(L79&gt;=0,L79&lt;=Ayarlar!$B$9),"Evet",""))</f>
        <v/>
      </c>
      <c r="S79" s="16" t="str">
        <f aca="false">IF(A79="","",IF(N79="","Yeni personel",IF(P79&lt;0,"Kontrol et","")))</f>
        <v/>
      </c>
      <c r="T79" s="14" t="n">
        <f aca="false">IF(A79="","",IF(AND(G79=1,M79&gt;=Ayarlar!$B$6,OR(Ayarlar!$B$11="Tümü",C79=Ayarlar!$B$11)),M79+ROW()/100000,""))</f>
        <v>19.00079</v>
      </c>
    </row>
    <row r="80" customFormat="false" ht="15" hidden="false" customHeight="false" outlineLevel="0" collapsed="false">
      <c r="A80" s="18" t="str">
        <f aca="false">IF(Veri_Guncel!A80="","",Veri_Guncel!A80)</f>
        <v>S10079</v>
      </c>
      <c r="B80" s="18" t="str">
        <f aca="false">IF($A80="","",Veri_Guncel!B80)</f>
        <v>Burak Öztürk</v>
      </c>
      <c r="C80" s="18" t="str">
        <f aca="false">IF($A80="","",Veri_Guncel!C80)</f>
        <v>Bölge 4</v>
      </c>
      <c r="D80" s="18" t="str">
        <f aca="false">IF($A80="","",Veri_Guncel!D80)</f>
        <v>Mağaza 4C</v>
      </c>
      <c r="E80" s="19" t="n">
        <f aca="false">IF($A80="","",Veri_Guncel!E80)</f>
        <v>41677</v>
      </c>
      <c r="F80" s="19" t="n">
        <f aca="false">IF($A80="","",Veri_Guncel!F80)</f>
        <v>31291</v>
      </c>
      <c r="G80" s="14" t="n">
        <f aca="false">IF(A80="","",IF(COUNTIF(Ayarlar!$A$15:$A$20,C80)&gt;0,1,0))</f>
        <v>1</v>
      </c>
      <c r="H80" s="14" t="n">
        <f aca="false">IF(A80="","",DATEDIF(E80,Ayarlar!$B$3,"y"))</f>
        <v>12</v>
      </c>
      <c r="I80" s="14" t="n">
        <f aca="false">IF(OR(A80="",F80=""),"",DATEDIF(F80,Ayarlar!$B$3,"y"))</f>
        <v>41</v>
      </c>
      <c r="J80" s="14" t="n">
        <f aca="false">IF(A80="","",IF(H80&lt;1,0,MAX(IF(H80&lt;5,14,IF(H80&lt;15,20,26)),IF(AND(I80&lt;&gt;"",OR(I80&lt;=18,I80&gt;=50)),20,0))))</f>
        <v>20</v>
      </c>
      <c r="K80" s="17" t="n">
        <f aca="false">IF(A80="","",EDATE(E80,12*(H80+1)))</f>
        <v>46425</v>
      </c>
      <c r="L80" s="14" t="n">
        <f aca="false">IF(A80="","",K80-Ayarlar!$B$3)</f>
        <v>146</v>
      </c>
      <c r="M80" s="18" t="n">
        <f aca="false">IF(A80="","",Veri_Guncel!H80)</f>
        <v>2</v>
      </c>
      <c r="N80" s="18" t="n">
        <f aca="false">IF(A80="","",IFERROR(INDEX(Veri_Onceki!$H:$H,MATCH(A80,Veri_Onceki!$A:$A,0)),""))</f>
        <v>5</v>
      </c>
      <c r="O80" s="14" t="n">
        <f aca="false">IF(A80="","",IF(AND(H80&gt;=1,EDATE(E80,12*H80)&gt;Ayarlar!$B$4,EDATE(E80,12*H80)&lt;=Ayarlar!$B$3),J80,0))</f>
        <v>0</v>
      </c>
      <c r="P80" s="14" t="n">
        <f aca="false">IF(OR(A80="",N80=""),"",N80+O80-M80)</f>
        <v>3</v>
      </c>
      <c r="Q80" s="16" t="str">
        <f aca="false">IF(A80="","",IF(M80&gt;=Ayarlar!$B$7,"ALARM",IF(M80&gt;=Ayarlar!$B$6,"Planla","")))</f>
        <v/>
      </c>
      <c r="R80" s="14" t="str">
        <f aca="false">IF(A80="","",IF(AND(L80&gt;=0,L80&lt;=Ayarlar!$B$9),"Evet",""))</f>
        <v/>
      </c>
      <c r="S80" s="16" t="str">
        <f aca="false">IF(A80="","",IF(N80="","Yeni personel",IF(P80&lt;0,"Kontrol et","")))</f>
        <v/>
      </c>
      <c r="T80" s="14" t="str">
        <f aca="false">IF(A80="","",IF(AND(G80=1,M80&gt;=Ayarlar!$B$6,OR(Ayarlar!$B$11="Tümü",C80=Ayarlar!$B$11)),M80+ROW()/100000,""))</f>
        <v/>
      </c>
    </row>
    <row r="81" customFormat="false" ht="15" hidden="false" customHeight="false" outlineLevel="0" collapsed="false">
      <c r="A81" s="18" t="str">
        <f aca="false">IF(Veri_Guncel!A81="","",Veri_Guncel!A81)</f>
        <v>S10080</v>
      </c>
      <c r="B81" s="18" t="str">
        <f aca="false">IF($A81="","",Veri_Guncel!B81)</f>
        <v>Buse Yılmaz</v>
      </c>
      <c r="C81" s="18" t="str">
        <f aca="false">IF($A81="","",Veri_Guncel!C81)</f>
        <v>Bölge 4</v>
      </c>
      <c r="D81" s="18" t="str">
        <f aca="false">IF($A81="","",Veri_Guncel!D81)</f>
        <v>Mağaza 4C</v>
      </c>
      <c r="E81" s="19" t="n">
        <f aca="false">IF($A81="","",Veri_Guncel!E81)</f>
        <v>41736</v>
      </c>
      <c r="F81" s="19" t="n">
        <f aca="false">IF($A81="","",Veri_Guncel!F81)</f>
        <v>36459</v>
      </c>
      <c r="G81" s="14" t="n">
        <f aca="false">IF(A81="","",IF(COUNTIF(Ayarlar!$A$15:$A$20,C81)&gt;0,1,0))</f>
        <v>1</v>
      </c>
      <c r="H81" s="14" t="n">
        <f aca="false">IF(A81="","",DATEDIF(E81,Ayarlar!$B$3,"y"))</f>
        <v>12</v>
      </c>
      <c r="I81" s="14" t="n">
        <f aca="false">IF(OR(A81="",F81=""),"",DATEDIF(F81,Ayarlar!$B$3,"y"))</f>
        <v>26</v>
      </c>
      <c r="J81" s="14" t="n">
        <f aca="false">IF(A81="","",IF(H81&lt;1,0,MAX(IF(H81&lt;5,14,IF(H81&lt;15,20,26)),IF(AND(I81&lt;&gt;"",OR(I81&lt;=18,I81&gt;=50)),20,0))))</f>
        <v>20</v>
      </c>
      <c r="K81" s="17" t="n">
        <f aca="false">IF(A81="","",EDATE(E81,12*(H81+1)))</f>
        <v>46484</v>
      </c>
      <c r="L81" s="14" t="n">
        <f aca="false">IF(A81="","",K81-Ayarlar!$B$3)</f>
        <v>205</v>
      </c>
      <c r="M81" s="18" t="n">
        <f aca="false">IF(A81="","",Veri_Guncel!H81)</f>
        <v>28</v>
      </c>
      <c r="N81" s="18" t="n">
        <f aca="false">IF(A81="","",IFERROR(INDEX(Veri_Onceki!$H:$H,MATCH(A81,Veri_Onceki!$A:$A,0)),""))</f>
        <v>28</v>
      </c>
      <c r="O81" s="14" t="n">
        <f aca="false">IF(A81="","",IF(AND(H81&gt;=1,EDATE(E81,12*H81)&gt;Ayarlar!$B$4,EDATE(E81,12*H81)&lt;=Ayarlar!$B$3),J81,0))</f>
        <v>0</v>
      </c>
      <c r="P81" s="14" t="n">
        <f aca="false">IF(OR(A81="",N81=""),"",N81+O81-M81)</f>
        <v>0</v>
      </c>
      <c r="Q81" s="16" t="str">
        <f aca="false">IF(A81="","",IF(M81&gt;=Ayarlar!$B$7,"ALARM",IF(M81&gt;=Ayarlar!$B$6,"Planla","")))</f>
        <v>ALARM</v>
      </c>
      <c r="R81" s="14" t="str">
        <f aca="false">IF(A81="","",IF(AND(L81&gt;=0,L81&lt;=Ayarlar!$B$9),"Evet",""))</f>
        <v/>
      </c>
      <c r="S81" s="16" t="str">
        <f aca="false">IF(A81="","",IF(N81="","Yeni personel",IF(P81&lt;0,"Kontrol et","")))</f>
        <v/>
      </c>
      <c r="T81" s="14" t="n">
        <f aca="false">IF(A81="","",IF(AND(G81=1,M81&gt;=Ayarlar!$B$6,OR(Ayarlar!$B$11="Tümü",C81=Ayarlar!$B$11)),M81+ROW()/100000,""))</f>
        <v>28.00081</v>
      </c>
    </row>
    <row r="82" customFormat="false" ht="15" hidden="false" customHeight="false" outlineLevel="0" collapsed="false">
      <c r="A82" s="18" t="str">
        <f aca="false">IF(Veri_Guncel!A82="","",Veri_Guncel!A82)</f>
        <v>S10081</v>
      </c>
      <c r="B82" s="18" t="str">
        <f aca="false">IF($A82="","",Veri_Guncel!B82)</f>
        <v>Cem Kaya</v>
      </c>
      <c r="C82" s="18" t="str">
        <f aca="false">IF($A82="","",Veri_Guncel!C82)</f>
        <v>Bölge 4</v>
      </c>
      <c r="D82" s="18" t="str">
        <f aca="false">IF($A82="","",Veri_Guncel!D82)</f>
        <v>Mağaza 4C</v>
      </c>
      <c r="E82" s="19" t="n">
        <f aca="false">IF($A82="","",Veri_Guncel!E82)</f>
        <v>45057</v>
      </c>
      <c r="F82" s="19" t="n">
        <f aca="false">IF($A82="","",Veri_Guncel!F82)</f>
        <v>34517</v>
      </c>
      <c r="G82" s="14" t="n">
        <f aca="false">IF(A82="","",IF(COUNTIF(Ayarlar!$A$15:$A$20,C82)&gt;0,1,0))</f>
        <v>1</v>
      </c>
      <c r="H82" s="14" t="n">
        <f aca="false">IF(A82="","",DATEDIF(E82,Ayarlar!$B$3,"y"))</f>
        <v>3</v>
      </c>
      <c r="I82" s="14" t="n">
        <f aca="false">IF(OR(A82="",F82=""),"",DATEDIF(F82,Ayarlar!$B$3,"y"))</f>
        <v>32</v>
      </c>
      <c r="J82" s="14" t="n">
        <f aca="false">IF(A82="","",IF(H82&lt;1,0,MAX(IF(H82&lt;5,14,IF(H82&lt;15,20,26)),IF(AND(I82&lt;&gt;"",OR(I82&lt;=18,I82&gt;=50)),20,0))))</f>
        <v>14</v>
      </c>
      <c r="K82" s="17" t="n">
        <f aca="false">IF(A82="","",EDATE(E82,12*(H82+1)))</f>
        <v>46518</v>
      </c>
      <c r="L82" s="14" t="n">
        <f aca="false">IF(A82="","",K82-Ayarlar!$B$3)</f>
        <v>239</v>
      </c>
      <c r="M82" s="18" t="n">
        <f aca="false">IF(A82="","",Veri_Guncel!H82)</f>
        <v>17</v>
      </c>
      <c r="N82" s="18" t="n">
        <f aca="false">IF(A82="","",IFERROR(INDEX(Veri_Onceki!$H:$H,MATCH(A82,Veri_Onceki!$A:$A,0)),""))</f>
        <v>17</v>
      </c>
      <c r="O82" s="14" t="n">
        <f aca="false">IF(A82="","",IF(AND(H82&gt;=1,EDATE(E82,12*H82)&gt;Ayarlar!$B$4,EDATE(E82,12*H82)&lt;=Ayarlar!$B$3),J82,0))</f>
        <v>0</v>
      </c>
      <c r="P82" s="14" t="n">
        <f aca="false">IF(OR(A82="",N82=""),"",N82+O82-M82)</f>
        <v>0</v>
      </c>
      <c r="Q82" s="16" t="str">
        <f aca="false">IF(A82="","",IF(M82&gt;=Ayarlar!$B$7,"ALARM",IF(M82&gt;=Ayarlar!$B$6,"Planla","")))</f>
        <v>Planla</v>
      </c>
      <c r="R82" s="14" t="str">
        <f aca="false">IF(A82="","",IF(AND(L82&gt;=0,L82&lt;=Ayarlar!$B$9),"Evet",""))</f>
        <v/>
      </c>
      <c r="S82" s="16" t="str">
        <f aca="false">IF(A82="","",IF(N82="","Yeni personel",IF(P82&lt;0,"Kontrol et","")))</f>
        <v/>
      </c>
      <c r="T82" s="14" t="n">
        <f aca="false">IF(A82="","",IF(AND(G82=1,M82&gt;=Ayarlar!$B$6,OR(Ayarlar!$B$11="Tümü",C82=Ayarlar!$B$11)),M82+ROW()/100000,""))</f>
        <v>17.00082</v>
      </c>
    </row>
    <row r="83" customFormat="false" ht="15" hidden="false" customHeight="false" outlineLevel="0" collapsed="false">
      <c r="A83" s="18" t="str">
        <f aca="false">IF(Veri_Guncel!A83="","",Veri_Guncel!A83)</f>
        <v>S10082</v>
      </c>
      <c r="B83" s="18" t="str">
        <f aca="false">IF($A83="","",Veri_Guncel!B83)</f>
        <v>Selin Polat</v>
      </c>
      <c r="C83" s="18" t="str">
        <f aca="false">IF($A83="","",Veri_Guncel!C83)</f>
        <v>Bölge 4</v>
      </c>
      <c r="D83" s="18" t="str">
        <f aca="false">IF($A83="","",Veri_Guncel!D83)</f>
        <v>Mağaza 4C</v>
      </c>
      <c r="E83" s="19" t="n">
        <f aca="false">IF($A83="","",Veri_Guncel!E83)</f>
        <v>45215</v>
      </c>
      <c r="F83" s="19" t="n">
        <f aca="false">IF($A83="","",Veri_Guncel!F83)</f>
        <v>30337</v>
      </c>
      <c r="G83" s="14" t="n">
        <f aca="false">IF(A83="","",IF(COUNTIF(Ayarlar!$A$15:$A$20,C83)&gt;0,1,0))</f>
        <v>1</v>
      </c>
      <c r="H83" s="14" t="n">
        <f aca="false">IF(A83="","",DATEDIF(E83,Ayarlar!$B$3,"y"))</f>
        <v>2</v>
      </c>
      <c r="I83" s="14" t="n">
        <f aca="false">IF(OR(A83="",F83=""),"",DATEDIF(F83,Ayarlar!$B$3,"y"))</f>
        <v>43</v>
      </c>
      <c r="J83" s="14" t="n">
        <f aca="false">IF(A83="","",IF(H83&lt;1,0,MAX(IF(H83&lt;5,14,IF(H83&lt;15,20,26)),IF(AND(I83&lt;&gt;"",OR(I83&lt;=18,I83&gt;=50)),20,0))))</f>
        <v>14</v>
      </c>
      <c r="K83" s="17" t="n">
        <f aca="false">IF(A83="","",EDATE(E83,12*(H83+1)))</f>
        <v>46311</v>
      </c>
      <c r="L83" s="14" t="n">
        <f aca="false">IF(A83="","",K83-Ayarlar!$B$3)</f>
        <v>32</v>
      </c>
      <c r="M83" s="18" t="n">
        <f aca="false">IF(A83="","",Veri_Guncel!H83)</f>
        <v>2</v>
      </c>
      <c r="N83" s="18" t="n">
        <f aca="false">IF(A83="","",IFERROR(INDEX(Veri_Onceki!$H:$H,MATCH(A83,Veri_Onceki!$A:$A,0)),""))</f>
        <v>7</v>
      </c>
      <c r="O83" s="14" t="n">
        <f aca="false">IF(A83="","",IF(AND(H83&gt;=1,EDATE(E83,12*H83)&gt;Ayarlar!$B$4,EDATE(E83,12*H83)&lt;=Ayarlar!$B$3),J83,0))</f>
        <v>0</v>
      </c>
      <c r="P83" s="14" t="n">
        <f aca="false">IF(OR(A83="",N83=""),"",N83+O83-M83)</f>
        <v>5</v>
      </c>
      <c r="Q83" s="16" t="str">
        <f aca="false">IF(A83="","",IF(M83&gt;=Ayarlar!$B$7,"ALARM",IF(M83&gt;=Ayarlar!$B$6,"Planla","")))</f>
        <v/>
      </c>
      <c r="R83" s="14" t="str">
        <f aca="false">IF(A83="","",IF(AND(L83&gt;=0,L83&lt;=Ayarlar!$B$9),"Evet",""))</f>
        <v>Evet</v>
      </c>
      <c r="S83" s="16" t="str">
        <f aca="false">IF(A83="","",IF(N83="","Yeni personel",IF(P83&lt;0,"Kontrol et","")))</f>
        <v/>
      </c>
      <c r="T83" s="14" t="str">
        <f aca="false">IF(A83="","",IF(AND(G83=1,M83&gt;=Ayarlar!$B$6,OR(Ayarlar!$B$11="Tümü",C83=Ayarlar!$B$11)),M83+ROW()/100000,""))</f>
        <v/>
      </c>
    </row>
    <row r="84" customFormat="false" ht="15" hidden="false" customHeight="false" outlineLevel="0" collapsed="false">
      <c r="A84" s="18" t="str">
        <f aca="false">IF(Veri_Guncel!A84="","",Veri_Guncel!A84)</f>
        <v>S10083</v>
      </c>
      <c r="B84" s="18" t="str">
        <f aca="false">IF($A84="","",Veri_Guncel!B84)</f>
        <v>Mert Kaya</v>
      </c>
      <c r="C84" s="18" t="str">
        <f aca="false">IF($A84="","",Veri_Guncel!C84)</f>
        <v>Bölge 5</v>
      </c>
      <c r="D84" s="18" t="str">
        <f aca="false">IF($A84="","",Veri_Guncel!D84)</f>
        <v>Mağaza 5A</v>
      </c>
      <c r="E84" s="19" t="n">
        <f aca="false">IF($A84="","",Veri_Guncel!E84)</f>
        <v>43994</v>
      </c>
      <c r="F84" s="19" t="n">
        <f aca="false">IF($A84="","",Veri_Guncel!F84)</f>
        <v>37934</v>
      </c>
      <c r="G84" s="14" t="n">
        <f aca="false">IF(A84="","",IF(COUNTIF(Ayarlar!$A$15:$A$20,C84)&gt;0,1,0))</f>
        <v>1</v>
      </c>
      <c r="H84" s="14" t="n">
        <f aca="false">IF(A84="","",DATEDIF(E84,Ayarlar!$B$3,"y"))</f>
        <v>6</v>
      </c>
      <c r="I84" s="14" t="n">
        <f aca="false">IF(OR(A84="",F84=""),"",DATEDIF(F84,Ayarlar!$B$3,"y"))</f>
        <v>22</v>
      </c>
      <c r="J84" s="14" t="n">
        <f aca="false">IF(A84="","",IF(H84&lt;1,0,MAX(IF(H84&lt;5,14,IF(H84&lt;15,20,26)),IF(AND(I84&lt;&gt;"",OR(I84&lt;=18,I84&gt;=50)),20,0))))</f>
        <v>20</v>
      </c>
      <c r="K84" s="17" t="n">
        <f aca="false">IF(A84="","",EDATE(E84,12*(H84+1)))</f>
        <v>46550</v>
      </c>
      <c r="L84" s="14" t="n">
        <f aca="false">IF(A84="","",K84-Ayarlar!$B$3)</f>
        <v>271</v>
      </c>
      <c r="M84" s="18" t="n">
        <f aca="false">IF(A84="","",Veri_Guncel!H84)</f>
        <v>12</v>
      </c>
      <c r="N84" s="18" t="n">
        <f aca="false">IF(A84="","",IFERROR(INDEX(Veri_Onceki!$H:$H,MATCH(A84,Veri_Onceki!$A:$A,0)),""))</f>
        <v>14</v>
      </c>
      <c r="O84" s="14" t="n">
        <f aca="false">IF(A84="","",IF(AND(H84&gt;=1,EDATE(E84,12*H84)&gt;Ayarlar!$B$4,EDATE(E84,12*H84)&lt;=Ayarlar!$B$3),J84,0))</f>
        <v>0</v>
      </c>
      <c r="P84" s="14" t="n">
        <f aca="false">IF(OR(A84="",N84=""),"",N84+O84-M84)</f>
        <v>2</v>
      </c>
      <c r="Q84" s="16" t="str">
        <f aca="false">IF(A84="","",IF(M84&gt;=Ayarlar!$B$7,"ALARM",IF(M84&gt;=Ayarlar!$B$6,"Planla","")))</f>
        <v/>
      </c>
      <c r="R84" s="14" t="str">
        <f aca="false">IF(A84="","",IF(AND(L84&gt;=0,L84&lt;=Ayarlar!$B$9),"Evet",""))</f>
        <v/>
      </c>
      <c r="S84" s="16" t="str">
        <f aca="false">IF(A84="","",IF(N84="","Yeni personel",IF(P84&lt;0,"Kontrol et","")))</f>
        <v/>
      </c>
      <c r="T84" s="14" t="str">
        <f aca="false">IF(A84="","",IF(AND(G84=1,M84&gt;=Ayarlar!$B$6,OR(Ayarlar!$B$11="Tümü",C84=Ayarlar!$B$11)),M84+ROW()/100000,""))</f>
        <v/>
      </c>
    </row>
    <row r="85" customFormat="false" ht="15" hidden="false" customHeight="false" outlineLevel="0" collapsed="false">
      <c r="A85" s="18" t="str">
        <f aca="false">IF(Veri_Guncel!A85="","",Veri_Guncel!A85)</f>
        <v>S10084</v>
      </c>
      <c r="B85" s="18" t="str">
        <f aca="false">IF($A85="","",Veri_Guncel!B85)</f>
        <v>Elif Çelik</v>
      </c>
      <c r="C85" s="18" t="str">
        <f aca="false">IF($A85="","",Veri_Guncel!C85)</f>
        <v>Bölge 5</v>
      </c>
      <c r="D85" s="18" t="str">
        <f aca="false">IF($A85="","",Veri_Guncel!D85)</f>
        <v>Mağaza 5A</v>
      </c>
      <c r="E85" s="19" t="n">
        <f aca="false">IF($A85="","",Veri_Guncel!E85)</f>
        <v>41778</v>
      </c>
      <c r="F85" s="19" t="n">
        <f aca="false">IF($A85="","",Veri_Guncel!F85)</f>
        <v>28348</v>
      </c>
      <c r="G85" s="14" t="n">
        <f aca="false">IF(A85="","",IF(COUNTIF(Ayarlar!$A$15:$A$20,C85)&gt;0,1,0))</f>
        <v>1</v>
      </c>
      <c r="H85" s="14" t="n">
        <f aca="false">IF(A85="","",DATEDIF(E85,Ayarlar!$B$3,"y"))</f>
        <v>12</v>
      </c>
      <c r="I85" s="14" t="n">
        <f aca="false">IF(OR(A85="",F85=""),"",DATEDIF(F85,Ayarlar!$B$3,"y"))</f>
        <v>49</v>
      </c>
      <c r="J85" s="14" t="n">
        <f aca="false">IF(A85="","",IF(H85&lt;1,0,MAX(IF(H85&lt;5,14,IF(H85&lt;15,20,26)),IF(AND(I85&lt;&gt;"",OR(I85&lt;=18,I85&gt;=50)),20,0))))</f>
        <v>20</v>
      </c>
      <c r="K85" s="17" t="n">
        <f aca="false">IF(A85="","",EDATE(E85,12*(H85+1)))</f>
        <v>46526</v>
      </c>
      <c r="L85" s="14" t="n">
        <f aca="false">IF(A85="","",K85-Ayarlar!$B$3)</f>
        <v>247</v>
      </c>
      <c r="M85" s="18" t="n">
        <f aca="false">IF(A85="","",Veri_Guncel!H85)</f>
        <v>28</v>
      </c>
      <c r="N85" s="18" t="n">
        <f aca="false">IF(A85="","",IFERROR(INDEX(Veri_Onceki!$H:$H,MATCH(A85,Veri_Onceki!$A:$A,0)),""))</f>
        <v>33</v>
      </c>
      <c r="O85" s="14" t="n">
        <f aca="false">IF(A85="","",IF(AND(H85&gt;=1,EDATE(E85,12*H85)&gt;Ayarlar!$B$4,EDATE(E85,12*H85)&lt;=Ayarlar!$B$3),J85,0))</f>
        <v>0</v>
      </c>
      <c r="P85" s="14" t="n">
        <f aca="false">IF(OR(A85="",N85=""),"",N85+O85-M85)</f>
        <v>5</v>
      </c>
      <c r="Q85" s="16" t="str">
        <f aca="false">IF(A85="","",IF(M85&gt;=Ayarlar!$B$7,"ALARM",IF(M85&gt;=Ayarlar!$B$6,"Planla","")))</f>
        <v>ALARM</v>
      </c>
      <c r="R85" s="14" t="str">
        <f aca="false">IF(A85="","",IF(AND(L85&gt;=0,L85&lt;=Ayarlar!$B$9),"Evet",""))</f>
        <v/>
      </c>
      <c r="S85" s="16" t="str">
        <f aca="false">IF(A85="","",IF(N85="","Yeni personel",IF(P85&lt;0,"Kontrol et","")))</f>
        <v/>
      </c>
      <c r="T85" s="14" t="n">
        <f aca="false">IF(A85="","",IF(AND(G85=1,M85&gt;=Ayarlar!$B$6,OR(Ayarlar!$B$11="Tümü",C85=Ayarlar!$B$11)),M85+ROW()/100000,""))</f>
        <v>28.00085</v>
      </c>
    </row>
    <row r="86" customFormat="false" ht="15" hidden="false" customHeight="false" outlineLevel="0" collapsed="false">
      <c r="A86" s="18" t="str">
        <f aca="false">IF(Veri_Guncel!A86="","",Veri_Guncel!A86)</f>
        <v>S10085</v>
      </c>
      <c r="B86" s="18" t="str">
        <f aca="false">IF($A86="","",Veri_Guncel!B86)</f>
        <v>İrem Öztürk</v>
      </c>
      <c r="C86" s="18" t="str">
        <f aca="false">IF($A86="","",Veri_Guncel!C86)</f>
        <v>Bölge 5</v>
      </c>
      <c r="D86" s="18" t="str">
        <f aca="false">IF($A86="","",Veri_Guncel!D86)</f>
        <v>Mağaza 5A</v>
      </c>
      <c r="E86" s="19" t="n">
        <f aca="false">IF($A86="","",Veri_Guncel!E86)</f>
        <v>43964</v>
      </c>
      <c r="F86" s="19" t="n">
        <f aca="false">IF($A86="","",Veri_Guncel!F86)</f>
        <v>28997</v>
      </c>
      <c r="G86" s="14" t="n">
        <f aca="false">IF(A86="","",IF(COUNTIF(Ayarlar!$A$15:$A$20,C86)&gt;0,1,0))</f>
        <v>1</v>
      </c>
      <c r="H86" s="14" t="n">
        <f aca="false">IF(A86="","",DATEDIF(E86,Ayarlar!$B$3,"y"))</f>
        <v>6</v>
      </c>
      <c r="I86" s="14" t="n">
        <f aca="false">IF(OR(A86="",F86=""),"",DATEDIF(F86,Ayarlar!$B$3,"y"))</f>
        <v>47</v>
      </c>
      <c r="J86" s="14" t="n">
        <f aca="false">IF(A86="","",IF(H86&lt;1,0,MAX(IF(H86&lt;5,14,IF(H86&lt;15,20,26)),IF(AND(I86&lt;&gt;"",OR(I86&lt;=18,I86&gt;=50)),20,0))))</f>
        <v>20</v>
      </c>
      <c r="K86" s="17" t="n">
        <f aca="false">IF(A86="","",EDATE(E86,12*(H86+1)))</f>
        <v>46520</v>
      </c>
      <c r="L86" s="14" t="n">
        <f aca="false">IF(A86="","",K86-Ayarlar!$B$3)</f>
        <v>241</v>
      </c>
      <c r="M86" s="18" t="n">
        <f aca="false">IF(A86="","",Veri_Guncel!H86)</f>
        <v>19</v>
      </c>
      <c r="N86" s="18" t="n">
        <f aca="false">IF(A86="","",IFERROR(INDEX(Veri_Onceki!$H:$H,MATCH(A86,Veri_Onceki!$A:$A,0)),""))</f>
        <v>22</v>
      </c>
      <c r="O86" s="14" t="n">
        <f aca="false">IF(A86="","",IF(AND(H86&gt;=1,EDATE(E86,12*H86)&gt;Ayarlar!$B$4,EDATE(E86,12*H86)&lt;=Ayarlar!$B$3),J86,0))</f>
        <v>0</v>
      </c>
      <c r="P86" s="14" t="n">
        <f aca="false">IF(OR(A86="",N86=""),"",N86+O86-M86)</f>
        <v>3</v>
      </c>
      <c r="Q86" s="16" t="str">
        <f aca="false">IF(A86="","",IF(M86&gt;=Ayarlar!$B$7,"ALARM",IF(M86&gt;=Ayarlar!$B$6,"Planla","")))</f>
        <v>Planla</v>
      </c>
      <c r="R86" s="14" t="str">
        <f aca="false">IF(A86="","",IF(AND(L86&gt;=0,L86&lt;=Ayarlar!$B$9),"Evet",""))</f>
        <v/>
      </c>
      <c r="S86" s="16" t="str">
        <f aca="false">IF(A86="","",IF(N86="","Yeni personel",IF(P86&lt;0,"Kontrol et","")))</f>
        <v/>
      </c>
      <c r="T86" s="14" t="n">
        <f aca="false">IF(A86="","",IF(AND(G86=1,M86&gt;=Ayarlar!$B$6,OR(Ayarlar!$B$11="Tümü",C86=Ayarlar!$B$11)),M86+ROW()/100000,""))</f>
        <v>19.00086</v>
      </c>
    </row>
    <row r="87" customFormat="false" ht="15" hidden="false" customHeight="false" outlineLevel="0" collapsed="false">
      <c r="A87" s="18" t="str">
        <f aca="false">IF(Veri_Guncel!A87="","",Veri_Guncel!A87)</f>
        <v>S10086</v>
      </c>
      <c r="B87" s="18" t="str">
        <f aca="false">IF($A87="","",Veri_Guncel!B87)</f>
        <v>Gizem Polat</v>
      </c>
      <c r="C87" s="18" t="str">
        <f aca="false">IF($A87="","",Veri_Guncel!C87)</f>
        <v>Bölge 5</v>
      </c>
      <c r="D87" s="18" t="str">
        <f aca="false">IF($A87="","",Veri_Guncel!D87)</f>
        <v>Mağaza 5A</v>
      </c>
      <c r="E87" s="19" t="n">
        <f aca="false">IF($A87="","",Veri_Guncel!E87)</f>
        <v>41084</v>
      </c>
      <c r="F87" s="19" t="n">
        <f aca="false">IF($A87="","",Veri_Guncel!F87)</f>
        <v>36426</v>
      </c>
      <c r="G87" s="14" t="n">
        <f aca="false">IF(A87="","",IF(COUNTIF(Ayarlar!$A$15:$A$20,C87)&gt;0,1,0))</f>
        <v>1</v>
      </c>
      <c r="H87" s="14" t="n">
        <f aca="false">IF(A87="","",DATEDIF(E87,Ayarlar!$B$3,"y"))</f>
        <v>14</v>
      </c>
      <c r="I87" s="14" t="n">
        <f aca="false">IF(OR(A87="",F87=""),"",DATEDIF(F87,Ayarlar!$B$3,"y"))</f>
        <v>26</v>
      </c>
      <c r="J87" s="14" t="n">
        <f aca="false">IF(A87="","",IF(H87&lt;1,0,MAX(IF(H87&lt;5,14,IF(H87&lt;15,20,26)),IF(AND(I87&lt;&gt;"",OR(I87&lt;=18,I87&gt;=50)),20,0))))</f>
        <v>20</v>
      </c>
      <c r="K87" s="17" t="n">
        <f aca="false">IF(A87="","",EDATE(E87,12*(H87+1)))</f>
        <v>46562</v>
      </c>
      <c r="L87" s="14" t="n">
        <f aca="false">IF(A87="","",K87-Ayarlar!$B$3)</f>
        <v>283</v>
      </c>
      <c r="M87" s="18" t="n">
        <f aca="false">IF(A87="","",Veri_Guncel!H87)</f>
        <v>2</v>
      </c>
      <c r="N87" s="18" t="n">
        <f aca="false">IF(A87="","",IFERROR(INDEX(Veri_Onceki!$H:$H,MATCH(A87,Veri_Onceki!$A:$A,0)),""))</f>
        <v>2</v>
      </c>
      <c r="O87" s="14" t="n">
        <f aca="false">IF(A87="","",IF(AND(H87&gt;=1,EDATE(E87,12*H87)&gt;Ayarlar!$B$4,EDATE(E87,12*H87)&lt;=Ayarlar!$B$3),J87,0))</f>
        <v>0</v>
      </c>
      <c r="P87" s="14" t="n">
        <f aca="false">IF(OR(A87="",N87=""),"",N87+O87-M87)</f>
        <v>0</v>
      </c>
      <c r="Q87" s="16" t="str">
        <f aca="false">IF(A87="","",IF(M87&gt;=Ayarlar!$B$7,"ALARM",IF(M87&gt;=Ayarlar!$B$6,"Planla","")))</f>
        <v/>
      </c>
      <c r="R87" s="14" t="str">
        <f aca="false">IF(A87="","",IF(AND(L87&gt;=0,L87&lt;=Ayarlar!$B$9),"Evet",""))</f>
        <v/>
      </c>
      <c r="S87" s="16" t="str">
        <f aca="false">IF(A87="","",IF(N87="","Yeni personel",IF(P87&lt;0,"Kontrol et","")))</f>
        <v/>
      </c>
      <c r="T87" s="14" t="str">
        <f aca="false">IF(A87="","",IF(AND(G87=1,M87&gt;=Ayarlar!$B$6,OR(Ayarlar!$B$11="Tümü",C87=Ayarlar!$B$11)),M87+ROW()/100000,""))</f>
        <v/>
      </c>
    </row>
    <row r="88" customFormat="false" ht="15" hidden="false" customHeight="false" outlineLevel="0" collapsed="false">
      <c r="A88" s="18" t="str">
        <f aca="false">IF(Veri_Guncel!A88="","",Veri_Guncel!A88)</f>
        <v>S10087</v>
      </c>
      <c r="B88" s="18" t="str">
        <f aca="false">IF($A88="","",Veri_Guncel!B88)</f>
        <v>Mert Kılıç</v>
      </c>
      <c r="C88" s="18" t="str">
        <f aca="false">IF($A88="","",Veri_Guncel!C88)</f>
        <v>Bölge 5</v>
      </c>
      <c r="D88" s="18" t="str">
        <f aca="false">IF($A88="","",Veri_Guncel!D88)</f>
        <v>Mağaza 5A</v>
      </c>
      <c r="E88" s="19" t="n">
        <f aca="false">IF($A88="","",Veri_Guncel!E88)</f>
        <v>42990</v>
      </c>
      <c r="F88" s="19" t="n">
        <f aca="false">IF($A88="","",Veri_Guncel!F88)</f>
        <v>30697</v>
      </c>
      <c r="G88" s="14" t="n">
        <f aca="false">IF(A88="","",IF(COUNTIF(Ayarlar!$A$15:$A$20,C88)&gt;0,1,0))</f>
        <v>1</v>
      </c>
      <c r="H88" s="14" t="n">
        <f aca="false">IF(A88="","",DATEDIF(E88,Ayarlar!$B$3,"y"))</f>
        <v>9</v>
      </c>
      <c r="I88" s="14" t="n">
        <f aca="false">IF(OR(A88="",F88=""),"",DATEDIF(F88,Ayarlar!$B$3,"y"))</f>
        <v>42</v>
      </c>
      <c r="J88" s="14" t="n">
        <f aca="false">IF(A88="","",IF(H88&lt;1,0,MAX(IF(H88&lt;5,14,IF(H88&lt;15,20,26)),IF(AND(I88&lt;&gt;"",OR(I88&lt;=18,I88&gt;=50)),20,0))))</f>
        <v>20</v>
      </c>
      <c r="K88" s="17" t="n">
        <f aca="false">IF(A88="","",EDATE(E88,12*(H88+1)))</f>
        <v>46642</v>
      </c>
      <c r="L88" s="14" t="n">
        <f aca="false">IF(A88="","",K88-Ayarlar!$B$3)</f>
        <v>363</v>
      </c>
      <c r="M88" s="18" t="n">
        <f aca="false">IF(A88="","",Veri_Guncel!H88)</f>
        <v>19</v>
      </c>
      <c r="N88" s="18" t="n">
        <f aca="false">IF(A88="","",IFERROR(INDEX(Veri_Onceki!$H:$H,MATCH(A88,Veri_Onceki!$A:$A,0)),""))</f>
        <v>0</v>
      </c>
      <c r="O88" s="14" t="n">
        <f aca="false">IF(A88="","",IF(AND(H88&gt;=1,EDATE(E88,12*H88)&gt;Ayarlar!$B$4,EDATE(E88,12*H88)&lt;=Ayarlar!$B$3),J88,0))</f>
        <v>20</v>
      </c>
      <c r="P88" s="14" t="n">
        <f aca="false">IF(OR(A88="",N88=""),"",N88+O88-M88)</f>
        <v>1</v>
      </c>
      <c r="Q88" s="16" t="str">
        <f aca="false">IF(A88="","",IF(M88&gt;=Ayarlar!$B$7,"ALARM",IF(M88&gt;=Ayarlar!$B$6,"Planla","")))</f>
        <v>Planla</v>
      </c>
      <c r="R88" s="14" t="str">
        <f aca="false">IF(A88="","",IF(AND(L88&gt;=0,L88&lt;=Ayarlar!$B$9),"Evet",""))</f>
        <v/>
      </c>
      <c r="S88" s="16" t="str">
        <f aca="false">IF(A88="","",IF(N88="","Yeni personel",IF(P88&lt;0,"Kontrol et","")))</f>
        <v/>
      </c>
      <c r="T88" s="14" t="n">
        <f aca="false">IF(A88="","",IF(AND(G88=1,M88&gt;=Ayarlar!$B$6,OR(Ayarlar!$B$11="Tümü",C88=Ayarlar!$B$11)),M88+ROW()/100000,""))</f>
        <v>19.00088</v>
      </c>
    </row>
    <row r="89" customFormat="false" ht="15" hidden="false" customHeight="false" outlineLevel="0" collapsed="false">
      <c r="A89" s="18" t="str">
        <f aca="false">IF(Veri_Guncel!A89="","",Veri_Guncel!A89)</f>
        <v>S10088</v>
      </c>
      <c r="B89" s="18" t="str">
        <f aca="false">IF($A89="","",Veri_Guncel!B89)</f>
        <v>Can Kaya</v>
      </c>
      <c r="C89" s="18" t="str">
        <f aca="false">IF($A89="","",Veri_Guncel!C89)</f>
        <v>Bölge 5</v>
      </c>
      <c r="D89" s="18" t="str">
        <f aca="false">IF($A89="","",Veri_Guncel!D89)</f>
        <v>Mağaza 5A</v>
      </c>
      <c r="E89" s="19" t="n">
        <f aca="false">IF($A89="","",Veri_Guncel!E89)</f>
        <v>45376</v>
      </c>
      <c r="F89" s="19" t="n">
        <f aca="false">IF($A89="","",Veri_Guncel!F89)</f>
        <v>26862</v>
      </c>
      <c r="G89" s="14" t="n">
        <f aca="false">IF(A89="","",IF(COUNTIF(Ayarlar!$A$15:$A$20,C89)&gt;0,1,0))</f>
        <v>1</v>
      </c>
      <c r="H89" s="14" t="n">
        <f aca="false">IF(A89="","",DATEDIF(E89,Ayarlar!$B$3,"y"))</f>
        <v>2</v>
      </c>
      <c r="I89" s="14" t="n">
        <f aca="false">IF(OR(A89="",F89=""),"",DATEDIF(F89,Ayarlar!$B$3,"y"))</f>
        <v>53</v>
      </c>
      <c r="J89" s="14" t="n">
        <f aca="false">IF(A89="","",IF(H89&lt;1,0,MAX(IF(H89&lt;5,14,IF(H89&lt;15,20,26)),IF(AND(I89&lt;&gt;"",OR(I89&lt;=18,I89&gt;=50)),20,0))))</f>
        <v>20</v>
      </c>
      <c r="K89" s="17" t="n">
        <f aca="false">IF(A89="","",EDATE(E89,12*(H89+1)))</f>
        <v>46471</v>
      </c>
      <c r="L89" s="14" t="n">
        <f aca="false">IF(A89="","",K89-Ayarlar!$B$3)</f>
        <v>192</v>
      </c>
      <c r="M89" s="18" t="n">
        <f aca="false">IF(A89="","",Veri_Guncel!H89)</f>
        <v>6</v>
      </c>
      <c r="N89" s="18" t="n">
        <f aca="false">IF(A89="","",IFERROR(INDEX(Veri_Onceki!$H:$H,MATCH(A89,Veri_Onceki!$A:$A,0)),""))</f>
        <v>6</v>
      </c>
      <c r="O89" s="14" t="n">
        <f aca="false">IF(A89="","",IF(AND(H89&gt;=1,EDATE(E89,12*H89)&gt;Ayarlar!$B$4,EDATE(E89,12*H89)&lt;=Ayarlar!$B$3),J89,0))</f>
        <v>0</v>
      </c>
      <c r="P89" s="14" t="n">
        <f aca="false">IF(OR(A89="",N89=""),"",N89+O89-M89)</f>
        <v>0</v>
      </c>
      <c r="Q89" s="16" t="str">
        <f aca="false">IF(A89="","",IF(M89&gt;=Ayarlar!$B$7,"ALARM",IF(M89&gt;=Ayarlar!$B$6,"Planla","")))</f>
        <v/>
      </c>
      <c r="R89" s="14" t="str">
        <f aca="false">IF(A89="","",IF(AND(L89&gt;=0,L89&lt;=Ayarlar!$B$9),"Evet",""))</f>
        <v/>
      </c>
      <c r="S89" s="16" t="str">
        <f aca="false">IF(A89="","",IF(N89="","Yeni personel",IF(P89&lt;0,"Kontrol et","")))</f>
        <v/>
      </c>
      <c r="T89" s="14" t="str">
        <f aca="false">IF(A89="","",IF(AND(G89=1,M89&gt;=Ayarlar!$B$6,OR(Ayarlar!$B$11="Tümü",C89=Ayarlar!$B$11)),M89+ROW()/100000,""))</f>
        <v/>
      </c>
    </row>
    <row r="90" customFormat="false" ht="15" hidden="false" customHeight="false" outlineLevel="0" collapsed="false">
      <c r="A90" s="18" t="str">
        <f aca="false">IF(Veri_Guncel!A90="","",Veri_Guncel!A90)</f>
        <v>S10089</v>
      </c>
      <c r="B90" s="18" t="str">
        <f aca="false">IF($A90="","",Veri_Guncel!B90)</f>
        <v>Burak Özdemir</v>
      </c>
      <c r="C90" s="18" t="str">
        <f aca="false">IF($A90="","",Veri_Guncel!C90)</f>
        <v>Bölge 5</v>
      </c>
      <c r="D90" s="18" t="str">
        <f aca="false">IF($A90="","",Veri_Guncel!D90)</f>
        <v>Mağaza 5B</v>
      </c>
      <c r="E90" s="19" t="n">
        <f aca="false">IF($A90="","",Veri_Guncel!E90)</f>
        <v>42822</v>
      </c>
      <c r="F90" s="19" t="n">
        <f aca="false">IF($A90="","",Veri_Guncel!F90)</f>
        <v>33991</v>
      </c>
      <c r="G90" s="14" t="n">
        <f aca="false">IF(A90="","",IF(COUNTIF(Ayarlar!$A$15:$A$20,C90)&gt;0,1,0))</f>
        <v>1</v>
      </c>
      <c r="H90" s="14" t="n">
        <f aca="false">IF(A90="","",DATEDIF(E90,Ayarlar!$B$3,"y"))</f>
        <v>9</v>
      </c>
      <c r="I90" s="14" t="n">
        <f aca="false">IF(OR(A90="",F90=""),"",DATEDIF(F90,Ayarlar!$B$3,"y"))</f>
        <v>33</v>
      </c>
      <c r="J90" s="14" t="n">
        <f aca="false">IF(A90="","",IF(H90&lt;1,0,MAX(IF(H90&lt;5,14,IF(H90&lt;15,20,26)),IF(AND(I90&lt;&gt;"",OR(I90&lt;=18,I90&gt;=50)),20,0))))</f>
        <v>20</v>
      </c>
      <c r="K90" s="17" t="n">
        <f aca="false">IF(A90="","",EDATE(E90,12*(H90+1)))</f>
        <v>46474</v>
      </c>
      <c r="L90" s="14" t="n">
        <f aca="false">IF(A90="","",K90-Ayarlar!$B$3)</f>
        <v>195</v>
      </c>
      <c r="M90" s="18" t="n">
        <f aca="false">IF(A90="","",Veri_Guncel!H90)</f>
        <v>24</v>
      </c>
      <c r="N90" s="18" t="n">
        <f aca="false">IF(A90="","",IFERROR(INDEX(Veri_Onceki!$H:$H,MATCH(A90,Veri_Onceki!$A:$A,0)),""))</f>
        <v>27</v>
      </c>
      <c r="O90" s="14" t="n">
        <f aca="false">IF(A90="","",IF(AND(H90&gt;=1,EDATE(E90,12*H90)&gt;Ayarlar!$B$4,EDATE(E90,12*H90)&lt;=Ayarlar!$B$3),J90,0))</f>
        <v>0</v>
      </c>
      <c r="P90" s="14" t="n">
        <f aca="false">IF(OR(A90="",N90=""),"",N90+O90-M90)</f>
        <v>3</v>
      </c>
      <c r="Q90" s="16" t="str">
        <f aca="false">IF(A90="","",IF(M90&gt;=Ayarlar!$B$7,"ALARM",IF(M90&gt;=Ayarlar!$B$6,"Planla","")))</f>
        <v>ALARM</v>
      </c>
      <c r="R90" s="14" t="str">
        <f aca="false">IF(A90="","",IF(AND(L90&gt;=0,L90&lt;=Ayarlar!$B$9),"Evet",""))</f>
        <v/>
      </c>
      <c r="S90" s="16" t="str">
        <f aca="false">IF(A90="","",IF(N90="","Yeni personel",IF(P90&lt;0,"Kontrol et","")))</f>
        <v/>
      </c>
      <c r="T90" s="14" t="n">
        <f aca="false">IF(A90="","",IF(AND(G90=1,M90&gt;=Ayarlar!$B$6,OR(Ayarlar!$B$11="Tümü",C90=Ayarlar!$B$11)),M90+ROW()/100000,""))</f>
        <v>24.0009</v>
      </c>
    </row>
    <row r="91" customFormat="false" ht="15" hidden="false" customHeight="false" outlineLevel="0" collapsed="false">
      <c r="A91" s="18" t="str">
        <f aca="false">IF(Veri_Guncel!A91="","",Veri_Guncel!A91)</f>
        <v>S10090</v>
      </c>
      <c r="B91" s="18" t="str">
        <f aca="false">IF($A91="","",Veri_Guncel!B91)</f>
        <v>Pınar Yıldız</v>
      </c>
      <c r="C91" s="18" t="str">
        <f aca="false">IF($A91="","",Veri_Guncel!C91)</f>
        <v>Bölge 5</v>
      </c>
      <c r="D91" s="18" t="str">
        <f aca="false">IF($A91="","",Veri_Guncel!D91)</f>
        <v>Mağaza 5B</v>
      </c>
      <c r="E91" s="19" t="n">
        <f aca="false">IF($A91="","",Veri_Guncel!E91)</f>
        <v>43446</v>
      </c>
      <c r="F91" s="19" t="n">
        <f aca="false">IF($A91="","",Veri_Guncel!F91)</f>
        <v>38540</v>
      </c>
      <c r="G91" s="14" t="n">
        <f aca="false">IF(A91="","",IF(COUNTIF(Ayarlar!$A$15:$A$20,C91)&gt;0,1,0))</f>
        <v>1</v>
      </c>
      <c r="H91" s="14" t="n">
        <f aca="false">IF(A91="","",DATEDIF(E91,Ayarlar!$B$3,"y"))</f>
        <v>7</v>
      </c>
      <c r="I91" s="14" t="n">
        <f aca="false">IF(OR(A91="",F91=""),"",DATEDIF(F91,Ayarlar!$B$3,"y"))</f>
        <v>21</v>
      </c>
      <c r="J91" s="14" t="n">
        <f aca="false">IF(A91="","",IF(H91&lt;1,0,MAX(IF(H91&lt;5,14,IF(H91&lt;15,20,26)),IF(AND(I91&lt;&gt;"",OR(I91&lt;=18,I91&gt;=50)),20,0))))</f>
        <v>20</v>
      </c>
      <c r="K91" s="17" t="n">
        <f aca="false">IF(A91="","",EDATE(E91,12*(H91+1)))</f>
        <v>46368</v>
      </c>
      <c r="L91" s="14" t="n">
        <f aca="false">IF(A91="","",K91-Ayarlar!$B$3)</f>
        <v>89</v>
      </c>
      <c r="M91" s="18" t="n">
        <f aca="false">IF(A91="","",Veri_Guncel!H91)</f>
        <v>8</v>
      </c>
      <c r="N91" s="18" t="n">
        <f aca="false">IF(A91="","",IFERROR(INDEX(Veri_Onceki!$H:$H,MATCH(A91,Veri_Onceki!$A:$A,0)),""))</f>
        <v>15</v>
      </c>
      <c r="O91" s="14" t="n">
        <f aca="false">IF(A91="","",IF(AND(H91&gt;=1,EDATE(E91,12*H91)&gt;Ayarlar!$B$4,EDATE(E91,12*H91)&lt;=Ayarlar!$B$3),J91,0))</f>
        <v>0</v>
      </c>
      <c r="P91" s="14" t="n">
        <f aca="false">IF(OR(A91="",N91=""),"",N91+O91-M91)</f>
        <v>7</v>
      </c>
      <c r="Q91" s="16" t="str">
        <f aca="false">IF(A91="","",IF(M91&gt;=Ayarlar!$B$7,"ALARM",IF(M91&gt;=Ayarlar!$B$6,"Planla","")))</f>
        <v/>
      </c>
      <c r="R91" s="14" t="str">
        <f aca="false">IF(A91="","",IF(AND(L91&gt;=0,L91&lt;=Ayarlar!$B$9),"Evet",""))</f>
        <v/>
      </c>
      <c r="S91" s="16" t="str">
        <f aca="false">IF(A91="","",IF(N91="","Yeni personel",IF(P91&lt;0,"Kontrol et","")))</f>
        <v/>
      </c>
      <c r="T91" s="14" t="str">
        <f aca="false">IF(A91="","",IF(AND(G91=1,M91&gt;=Ayarlar!$B$6,OR(Ayarlar!$B$11="Tümü",C91=Ayarlar!$B$11)),M91+ROW()/100000,""))</f>
        <v/>
      </c>
    </row>
    <row r="92" customFormat="false" ht="15" hidden="false" customHeight="false" outlineLevel="0" collapsed="false">
      <c r="A92" s="18" t="str">
        <f aca="false">IF(Veri_Guncel!A92="","",Veri_Guncel!A92)</f>
        <v>S10091</v>
      </c>
      <c r="B92" s="18" t="str">
        <f aca="false">IF($A92="","",Veri_Guncel!B92)</f>
        <v>Elif Doğan</v>
      </c>
      <c r="C92" s="18" t="str">
        <f aca="false">IF($A92="","",Veri_Guncel!C92)</f>
        <v>Bölge 5</v>
      </c>
      <c r="D92" s="18" t="str">
        <f aca="false">IF($A92="","",Veri_Guncel!D92)</f>
        <v>Mağaza 5B</v>
      </c>
      <c r="E92" s="19" t="n">
        <f aca="false">IF($A92="","",Veri_Guncel!E92)</f>
        <v>44778</v>
      </c>
      <c r="F92" s="19" t="n">
        <f aca="false">IF($A92="","",Veri_Guncel!F92)</f>
        <v>34148</v>
      </c>
      <c r="G92" s="14" t="n">
        <f aca="false">IF(A92="","",IF(COUNTIF(Ayarlar!$A$15:$A$20,C92)&gt;0,1,0))</f>
        <v>1</v>
      </c>
      <c r="H92" s="14" t="n">
        <f aca="false">IF(A92="","",DATEDIF(E92,Ayarlar!$B$3,"y"))</f>
        <v>4</v>
      </c>
      <c r="I92" s="14" t="n">
        <f aca="false">IF(OR(A92="",F92=""),"",DATEDIF(F92,Ayarlar!$B$3,"y"))</f>
        <v>33</v>
      </c>
      <c r="J92" s="14" t="n">
        <f aca="false">IF(A92="","",IF(H92&lt;1,0,MAX(IF(H92&lt;5,14,IF(H92&lt;15,20,26)),IF(AND(I92&lt;&gt;"",OR(I92&lt;=18,I92&gt;=50)),20,0))))</f>
        <v>14</v>
      </c>
      <c r="K92" s="17" t="n">
        <f aca="false">IF(A92="","",EDATE(E92,12*(H92+1)))</f>
        <v>46604</v>
      </c>
      <c r="L92" s="14" t="n">
        <f aca="false">IF(A92="","",K92-Ayarlar!$B$3)</f>
        <v>325</v>
      </c>
      <c r="M92" s="18" t="n">
        <f aca="false">IF(A92="","",Veri_Guncel!H92)</f>
        <v>19</v>
      </c>
      <c r="N92" s="18" t="n">
        <f aca="false">IF(A92="","",IFERROR(INDEX(Veri_Onceki!$H:$H,MATCH(A92,Veri_Onceki!$A:$A,0)),""))</f>
        <v>10</v>
      </c>
      <c r="O92" s="14" t="n">
        <f aca="false">IF(A92="","",IF(AND(H92&gt;=1,EDATE(E92,12*H92)&gt;Ayarlar!$B$4,EDATE(E92,12*H92)&lt;=Ayarlar!$B$3),J92,0))</f>
        <v>14</v>
      </c>
      <c r="P92" s="14" t="n">
        <f aca="false">IF(OR(A92="",N92=""),"",N92+O92-M92)</f>
        <v>5</v>
      </c>
      <c r="Q92" s="16" t="str">
        <f aca="false">IF(A92="","",IF(M92&gt;=Ayarlar!$B$7,"ALARM",IF(M92&gt;=Ayarlar!$B$6,"Planla","")))</f>
        <v>Planla</v>
      </c>
      <c r="R92" s="14" t="str">
        <f aca="false">IF(A92="","",IF(AND(L92&gt;=0,L92&lt;=Ayarlar!$B$9),"Evet",""))</f>
        <v/>
      </c>
      <c r="S92" s="16" t="str">
        <f aca="false">IF(A92="","",IF(N92="","Yeni personel",IF(P92&lt;0,"Kontrol et","")))</f>
        <v/>
      </c>
      <c r="T92" s="14" t="n">
        <f aca="false">IF(A92="","",IF(AND(G92=1,M92&gt;=Ayarlar!$B$6,OR(Ayarlar!$B$11="Tümü",C92=Ayarlar!$B$11)),M92+ROW()/100000,""))</f>
        <v>19.00092</v>
      </c>
    </row>
    <row r="93" customFormat="false" ht="15" hidden="false" customHeight="false" outlineLevel="0" collapsed="false">
      <c r="A93" s="18" t="str">
        <f aca="false">IF(Veri_Guncel!A93="","",Veri_Guncel!A93)</f>
        <v>S10092</v>
      </c>
      <c r="B93" s="18" t="str">
        <f aca="false">IF($A93="","",Veri_Guncel!B93)</f>
        <v>Can Koç</v>
      </c>
      <c r="C93" s="18" t="str">
        <f aca="false">IF($A93="","",Veri_Guncel!C93)</f>
        <v>Bölge 5</v>
      </c>
      <c r="D93" s="18" t="str">
        <f aca="false">IF($A93="","",Veri_Guncel!D93)</f>
        <v>Mağaza 5B</v>
      </c>
      <c r="E93" s="19" t="n">
        <f aca="false">IF($A93="","",Veri_Guncel!E93)</f>
        <v>41282</v>
      </c>
      <c r="F93" s="19" t="n">
        <f aca="false">IF($A93="","",Veri_Guncel!F93)</f>
        <v>33407</v>
      </c>
      <c r="G93" s="14" t="n">
        <f aca="false">IF(A93="","",IF(COUNTIF(Ayarlar!$A$15:$A$20,C93)&gt;0,1,0))</f>
        <v>1</v>
      </c>
      <c r="H93" s="14" t="n">
        <f aca="false">IF(A93="","",DATEDIF(E93,Ayarlar!$B$3,"y"))</f>
        <v>13</v>
      </c>
      <c r="I93" s="14" t="n">
        <f aca="false">IF(OR(A93="",F93=""),"",DATEDIF(F93,Ayarlar!$B$3,"y"))</f>
        <v>35</v>
      </c>
      <c r="J93" s="14" t="n">
        <f aca="false">IF(A93="","",IF(H93&lt;1,0,MAX(IF(H93&lt;5,14,IF(H93&lt;15,20,26)),IF(AND(I93&lt;&gt;"",OR(I93&lt;=18,I93&gt;=50)),20,0))))</f>
        <v>20</v>
      </c>
      <c r="K93" s="17" t="n">
        <f aca="false">IF(A93="","",EDATE(E93,12*(H93+1)))</f>
        <v>46395</v>
      </c>
      <c r="L93" s="14" t="n">
        <f aca="false">IF(A93="","",K93-Ayarlar!$B$3)</f>
        <v>116</v>
      </c>
      <c r="M93" s="18" t="n">
        <f aca="false">IF(A93="","",Veri_Guncel!H93)</f>
        <v>12</v>
      </c>
      <c r="N93" s="18" t="n">
        <f aca="false">IF(A93="","",IFERROR(INDEX(Veri_Onceki!$H:$H,MATCH(A93,Veri_Onceki!$A:$A,0)),""))</f>
        <v>17</v>
      </c>
      <c r="O93" s="14" t="n">
        <f aca="false">IF(A93="","",IF(AND(H93&gt;=1,EDATE(E93,12*H93)&gt;Ayarlar!$B$4,EDATE(E93,12*H93)&lt;=Ayarlar!$B$3),J93,0))</f>
        <v>0</v>
      </c>
      <c r="P93" s="14" t="n">
        <f aca="false">IF(OR(A93="",N93=""),"",N93+O93-M93)</f>
        <v>5</v>
      </c>
      <c r="Q93" s="16" t="str">
        <f aca="false">IF(A93="","",IF(M93&gt;=Ayarlar!$B$7,"ALARM",IF(M93&gt;=Ayarlar!$B$6,"Planla","")))</f>
        <v/>
      </c>
      <c r="R93" s="14" t="str">
        <f aca="false">IF(A93="","",IF(AND(L93&gt;=0,L93&lt;=Ayarlar!$B$9),"Evet",""))</f>
        <v/>
      </c>
      <c r="S93" s="16" t="str">
        <f aca="false">IF(A93="","",IF(N93="","Yeni personel",IF(P93&lt;0,"Kontrol et","")))</f>
        <v/>
      </c>
      <c r="T93" s="14" t="str">
        <f aca="false">IF(A93="","",IF(AND(G93=1,M93&gt;=Ayarlar!$B$6,OR(Ayarlar!$B$11="Tümü",C93=Ayarlar!$B$11)),M93+ROW()/100000,""))</f>
        <v/>
      </c>
    </row>
    <row r="94" customFormat="false" ht="15" hidden="false" customHeight="false" outlineLevel="0" collapsed="false">
      <c r="A94" s="18" t="str">
        <f aca="false">IF(Veri_Guncel!A94="","",Veri_Guncel!A94)</f>
        <v>S10093</v>
      </c>
      <c r="B94" s="18" t="str">
        <f aca="false">IF($A94="","",Veri_Guncel!B94)</f>
        <v>Serkan Öztürk</v>
      </c>
      <c r="C94" s="18" t="str">
        <f aca="false">IF($A94="","",Veri_Guncel!C94)</f>
        <v>Bölge 5</v>
      </c>
      <c r="D94" s="18" t="str">
        <f aca="false">IF($A94="","",Veri_Guncel!D94)</f>
        <v>Mağaza 5B</v>
      </c>
      <c r="E94" s="19" t="n">
        <f aca="false">IF($A94="","",Veri_Guncel!E94)</f>
        <v>40866</v>
      </c>
      <c r="F94" s="19" t="n">
        <f aca="false">IF($A94="","",Veri_Guncel!F94)</f>
        <v>32635</v>
      </c>
      <c r="G94" s="14" t="n">
        <f aca="false">IF(A94="","",IF(COUNTIF(Ayarlar!$A$15:$A$20,C94)&gt;0,1,0))</f>
        <v>1</v>
      </c>
      <c r="H94" s="14" t="n">
        <f aca="false">IF(A94="","",DATEDIF(E94,Ayarlar!$B$3,"y"))</f>
        <v>14</v>
      </c>
      <c r="I94" s="14" t="n">
        <f aca="false">IF(OR(A94="",F94=""),"",DATEDIF(F94,Ayarlar!$B$3,"y"))</f>
        <v>37</v>
      </c>
      <c r="J94" s="14" t="n">
        <f aca="false">IF(A94="","",IF(H94&lt;1,0,MAX(IF(H94&lt;5,14,IF(H94&lt;15,20,26)),IF(AND(I94&lt;&gt;"",OR(I94&lt;=18,I94&gt;=50)),20,0))))</f>
        <v>20</v>
      </c>
      <c r="K94" s="17" t="n">
        <f aca="false">IF(A94="","",EDATE(E94,12*(H94+1)))</f>
        <v>46345</v>
      </c>
      <c r="L94" s="14" t="n">
        <f aca="false">IF(A94="","",K94-Ayarlar!$B$3)</f>
        <v>66</v>
      </c>
      <c r="M94" s="18" t="n">
        <f aca="false">IF(A94="","",Veri_Guncel!H94)</f>
        <v>24</v>
      </c>
      <c r="N94" s="18" t="n">
        <f aca="false">IF(A94="","",IFERROR(INDEX(Veri_Onceki!$H:$H,MATCH(A94,Veri_Onceki!$A:$A,0)),""))</f>
        <v>26</v>
      </c>
      <c r="O94" s="14" t="n">
        <f aca="false">IF(A94="","",IF(AND(H94&gt;=1,EDATE(E94,12*H94)&gt;Ayarlar!$B$4,EDATE(E94,12*H94)&lt;=Ayarlar!$B$3),J94,0))</f>
        <v>0</v>
      </c>
      <c r="P94" s="14" t="n">
        <f aca="false">IF(OR(A94="",N94=""),"",N94+O94-M94)</f>
        <v>2</v>
      </c>
      <c r="Q94" s="16" t="str">
        <f aca="false">IF(A94="","",IF(M94&gt;=Ayarlar!$B$7,"ALARM",IF(M94&gt;=Ayarlar!$B$6,"Planla","")))</f>
        <v>ALARM</v>
      </c>
      <c r="R94" s="14" t="str">
        <f aca="false">IF(A94="","",IF(AND(L94&gt;=0,L94&lt;=Ayarlar!$B$9),"Evet",""))</f>
        <v/>
      </c>
      <c r="S94" s="16" t="str">
        <f aca="false">IF(A94="","",IF(N94="","Yeni personel",IF(P94&lt;0,"Kontrol et","")))</f>
        <v/>
      </c>
      <c r="T94" s="14" t="n">
        <f aca="false">IF(A94="","",IF(AND(G94=1,M94&gt;=Ayarlar!$B$6,OR(Ayarlar!$B$11="Tümü",C94=Ayarlar!$B$11)),M94+ROW()/100000,""))</f>
        <v>24.00094</v>
      </c>
    </row>
    <row r="95" customFormat="false" ht="15" hidden="false" customHeight="false" outlineLevel="0" collapsed="false">
      <c r="A95" s="18" t="str">
        <f aca="false">IF(Veri_Guncel!A95="","",Veri_Guncel!A95)</f>
        <v>S10094</v>
      </c>
      <c r="B95" s="18" t="str">
        <f aca="false">IF($A95="","",Veri_Guncel!B95)</f>
        <v>Pınar Aydın</v>
      </c>
      <c r="C95" s="18" t="str">
        <f aca="false">IF($A95="","",Veri_Guncel!C95)</f>
        <v>Bölge 5</v>
      </c>
      <c r="D95" s="18" t="str">
        <f aca="false">IF($A95="","",Veri_Guncel!D95)</f>
        <v>Mağaza 5B</v>
      </c>
      <c r="E95" s="19" t="n">
        <f aca="false">IF($A95="","",Veri_Guncel!E95)</f>
        <v>41646</v>
      </c>
      <c r="F95" s="19" t="n">
        <f aca="false">IF($A95="","",Veri_Guncel!F95)</f>
        <v>35171</v>
      </c>
      <c r="G95" s="14" t="n">
        <f aca="false">IF(A95="","",IF(COUNTIF(Ayarlar!$A$15:$A$20,C95)&gt;0,1,0))</f>
        <v>1</v>
      </c>
      <c r="H95" s="14" t="n">
        <f aca="false">IF(A95="","",DATEDIF(E95,Ayarlar!$B$3,"y"))</f>
        <v>12</v>
      </c>
      <c r="I95" s="14" t="n">
        <f aca="false">IF(OR(A95="",F95=""),"",DATEDIF(F95,Ayarlar!$B$3,"y"))</f>
        <v>30</v>
      </c>
      <c r="J95" s="14" t="n">
        <f aca="false">IF(A95="","",IF(H95&lt;1,0,MAX(IF(H95&lt;5,14,IF(H95&lt;15,20,26)),IF(AND(I95&lt;&gt;"",OR(I95&lt;=18,I95&gt;=50)),20,0))))</f>
        <v>20</v>
      </c>
      <c r="K95" s="17" t="n">
        <f aca="false">IF(A95="","",EDATE(E95,12*(H95+1)))</f>
        <v>46394</v>
      </c>
      <c r="L95" s="14" t="n">
        <f aca="false">IF(A95="","",K95-Ayarlar!$B$3)</f>
        <v>115</v>
      </c>
      <c r="M95" s="18" t="n">
        <f aca="false">IF(A95="","",Veri_Guncel!H95)</f>
        <v>19</v>
      </c>
      <c r="N95" s="18" t="n">
        <f aca="false">IF(A95="","",IFERROR(INDEX(Veri_Onceki!$H:$H,MATCH(A95,Veri_Onceki!$A:$A,0)),""))</f>
        <v>21</v>
      </c>
      <c r="O95" s="14" t="n">
        <f aca="false">IF(A95="","",IF(AND(H95&gt;=1,EDATE(E95,12*H95)&gt;Ayarlar!$B$4,EDATE(E95,12*H95)&lt;=Ayarlar!$B$3),J95,0))</f>
        <v>0</v>
      </c>
      <c r="P95" s="14" t="n">
        <f aca="false">IF(OR(A95="",N95=""),"",N95+O95-M95)</f>
        <v>2</v>
      </c>
      <c r="Q95" s="16" t="str">
        <f aca="false">IF(A95="","",IF(M95&gt;=Ayarlar!$B$7,"ALARM",IF(M95&gt;=Ayarlar!$B$6,"Planla","")))</f>
        <v>Planla</v>
      </c>
      <c r="R95" s="14" t="str">
        <f aca="false">IF(A95="","",IF(AND(L95&gt;=0,L95&lt;=Ayarlar!$B$9),"Evet",""))</f>
        <v/>
      </c>
      <c r="S95" s="16" t="str">
        <f aca="false">IF(A95="","",IF(N95="","Yeni personel",IF(P95&lt;0,"Kontrol et","")))</f>
        <v/>
      </c>
      <c r="T95" s="14" t="n">
        <f aca="false">IF(A95="","",IF(AND(G95=1,M95&gt;=Ayarlar!$B$6,OR(Ayarlar!$B$11="Tümü",C95=Ayarlar!$B$11)),M95+ROW()/100000,""))</f>
        <v>19.00095</v>
      </c>
    </row>
    <row r="96" customFormat="false" ht="15" hidden="false" customHeight="false" outlineLevel="0" collapsed="false">
      <c r="A96" s="18" t="str">
        <f aca="false">IF(Veri_Guncel!A96="","",Veri_Guncel!A96)</f>
        <v>S10095</v>
      </c>
      <c r="B96" s="18" t="str">
        <f aca="false">IF($A96="","",Veri_Guncel!B96)</f>
        <v>Mehmet Çelik</v>
      </c>
      <c r="C96" s="18" t="str">
        <f aca="false">IF($A96="","",Veri_Guncel!C96)</f>
        <v>Bölge 5</v>
      </c>
      <c r="D96" s="18" t="str">
        <f aca="false">IF($A96="","",Veri_Guncel!D96)</f>
        <v>Mağaza 5C</v>
      </c>
      <c r="E96" s="19" t="n">
        <f aca="false">IF($A96="","",Veri_Guncel!E96)</f>
        <v>45495</v>
      </c>
      <c r="F96" s="19" t="n">
        <f aca="false">IF($A96="","",Veri_Guncel!F96)</f>
        <v>32949</v>
      </c>
      <c r="G96" s="14" t="n">
        <f aca="false">IF(A96="","",IF(COUNTIF(Ayarlar!$A$15:$A$20,C96)&gt;0,1,0))</f>
        <v>1</v>
      </c>
      <c r="H96" s="14" t="n">
        <f aca="false">IF(A96="","",DATEDIF(E96,Ayarlar!$B$3,"y"))</f>
        <v>2</v>
      </c>
      <c r="I96" s="14" t="n">
        <f aca="false">IF(OR(A96="",F96=""),"",DATEDIF(F96,Ayarlar!$B$3,"y"))</f>
        <v>36</v>
      </c>
      <c r="J96" s="14" t="n">
        <f aca="false">IF(A96="","",IF(H96&lt;1,0,MAX(IF(H96&lt;5,14,IF(H96&lt;15,20,26)),IF(AND(I96&lt;&gt;"",OR(I96&lt;=18,I96&gt;=50)),20,0))))</f>
        <v>14</v>
      </c>
      <c r="K96" s="17" t="n">
        <f aca="false">IF(A96="","",EDATE(E96,12*(H96+1)))</f>
        <v>46590</v>
      </c>
      <c r="L96" s="14" t="n">
        <f aca="false">IF(A96="","",K96-Ayarlar!$B$3)</f>
        <v>311</v>
      </c>
      <c r="M96" s="18" t="n">
        <f aca="false">IF(A96="","",Veri_Guncel!H96)</f>
        <v>12</v>
      </c>
      <c r="N96" s="18" t="n">
        <f aca="false">IF(A96="","",IFERROR(INDEX(Veri_Onceki!$H:$H,MATCH(A96,Veri_Onceki!$A:$A,0)),""))</f>
        <v>12</v>
      </c>
      <c r="O96" s="14" t="n">
        <f aca="false">IF(A96="","",IF(AND(H96&gt;=1,EDATE(E96,12*H96)&gt;Ayarlar!$B$4,EDATE(E96,12*H96)&lt;=Ayarlar!$B$3),J96,0))</f>
        <v>0</v>
      </c>
      <c r="P96" s="14" t="n">
        <f aca="false">IF(OR(A96="",N96=""),"",N96+O96-M96)</f>
        <v>0</v>
      </c>
      <c r="Q96" s="16" t="str">
        <f aca="false">IF(A96="","",IF(M96&gt;=Ayarlar!$B$7,"ALARM",IF(M96&gt;=Ayarlar!$B$6,"Planla","")))</f>
        <v/>
      </c>
      <c r="R96" s="14" t="str">
        <f aca="false">IF(A96="","",IF(AND(L96&gt;=0,L96&lt;=Ayarlar!$B$9),"Evet",""))</f>
        <v/>
      </c>
      <c r="S96" s="16" t="str">
        <f aca="false">IF(A96="","",IF(N96="","Yeni personel",IF(P96&lt;0,"Kontrol et","")))</f>
        <v/>
      </c>
      <c r="T96" s="14" t="str">
        <f aca="false">IF(A96="","",IF(AND(G96=1,M96&gt;=Ayarlar!$B$6,OR(Ayarlar!$B$11="Tümü",C96=Ayarlar!$B$11)),M96+ROW()/100000,""))</f>
        <v/>
      </c>
    </row>
    <row r="97" customFormat="false" ht="15" hidden="false" customHeight="false" outlineLevel="0" collapsed="false">
      <c r="A97" s="18" t="str">
        <f aca="false">IF(Veri_Guncel!A97="","",Veri_Guncel!A97)</f>
        <v>S10096</v>
      </c>
      <c r="B97" s="18" t="str">
        <f aca="false">IF($A97="","",Veri_Guncel!B97)</f>
        <v>Mehmet Demir</v>
      </c>
      <c r="C97" s="18" t="str">
        <f aca="false">IF($A97="","",Veri_Guncel!C97)</f>
        <v>Bölge 5</v>
      </c>
      <c r="D97" s="18" t="str">
        <f aca="false">IF($A97="","",Veri_Guncel!D97)</f>
        <v>Mağaza 5C</v>
      </c>
      <c r="E97" s="19" t="n">
        <f aca="false">IF($A97="","",Veri_Guncel!E97)</f>
        <v>40580</v>
      </c>
      <c r="F97" s="19" t="n">
        <f aca="false">IF($A97="","",Veri_Guncel!F97)</f>
        <v>36947</v>
      </c>
      <c r="G97" s="14" t="n">
        <f aca="false">IF(A97="","",IF(COUNTIF(Ayarlar!$A$15:$A$20,C97)&gt;0,1,0))</f>
        <v>1</v>
      </c>
      <c r="H97" s="14" t="n">
        <f aca="false">IF(A97="","",DATEDIF(E97,Ayarlar!$B$3,"y"))</f>
        <v>15</v>
      </c>
      <c r="I97" s="14" t="n">
        <f aca="false">IF(OR(A97="",F97=""),"",DATEDIF(F97,Ayarlar!$B$3,"y"))</f>
        <v>25</v>
      </c>
      <c r="J97" s="14" t="n">
        <f aca="false">IF(A97="","",IF(H97&lt;1,0,MAX(IF(H97&lt;5,14,IF(H97&lt;15,20,26)),IF(AND(I97&lt;&gt;"",OR(I97&lt;=18,I97&gt;=50)),20,0))))</f>
        <v>26</v>
      </c>
      <c r="K97" s="17" t="n">
        <f aca="false">IF(A97="","",EDATE(E97,12*(H97+1)))</f>
        <v>46424</v>
      </c>
      <c r="L97" s="14" t="n">
        <f aca="false">IF(A97="","",K97-Ayarlar!$B$3)</f>
        <v>145</v>
      </c>
      <c r="M97" s="18" t="n">
        <f aca="false">IF(A97="","",Veri_Guncel!H97)</f>
        <v>14</v>
      </c>
      <c r="N97" s="18" t="n">
        <f aca="false">IF(A97="","",IFERROR(INDEX(Veri_Onceki!$H:$H,MATCH(A97,Veri_Onceki!$A:$A,0)),""))</f>
        <v>14</v>
      </c>
      <c r="O97" s="14" t="n">
        <f aca="false">IF(A97="","",IF(AND(H97&gt;=1,EDATE(E97,12*H97)&gt;Ayarlar!$B$4,EDATE(E97,12*H97)&lt;=Ayarlar!$B$3),J97,0))</f>
        <v>0</v>
      </c>
      <c r="P97" s="14" t="n">
        <f aca="false">IF(OR(A97="",N97=""),"",N97+O97-M97)</f>
        <v>0</v>
      </c>
      <c r="Q97" s="16" t="str">
        <f aca="false">IF(A97="","",IF(M97&gt;=Ayarlar!$B$7,"ALARM",IF(M97&gt;=Ayarlar!$B$6,"Planla","")))</f>
        <v>Planla</v>
      </c>
      <c r="R97" s="14" t="str">
        <f aca="false">IF(A97="","",IF(AND(L97&gt;=0,L97&lt;=Ayarlar!$B$9),"Evet",""))</f>
        <v/>
      </c>
      <c r="S97" s="16" t="str">
        <f aca="false">IF(A97="","",IF(N97="","Yeni personel",IF(P97&lt;0,"Kontrol et","")))</f>
        <v/>
      </c>
      <c r="T97" s="14" t="n">
        <f aca="false">IF(A97="","",IF(AND(G97=1,M97&gt;=Ayarlar!$B$6,OR(Ayarlar!$B$11="Tümü",C97=Ayarlar!$B$11)),M97+ROW()/100000,""))</f>
        <v>14.00097</v>
      </c>
    </row>
    <row r="98" customFormat="false" ht="15" hidden="false" customHeight="false" outlineLevel="0" collapsed="false">
      <c r="A98" s="18" t="str">
        <f aca="false">IF(Veri_Guncel!A98="","",Veri_Guncel!A98)</f>
        <v>S10097</v>
      </c>
      <c r="B98" s="18" t="str">
        <f aca="false">IF($A98="","",Veri_Guncel!B98)</f>
        <v>İrem Doğan</v>
      </c>
      <c r="C98" s="18" t="str">
        <f aca="false">IF($A98="","",Veri_Guncel!C98)</f>
        <v>Bölge 5</v>
      </c>
      <c r="D98" s="18" t="str">
        <f aca="false">IF($A98="","",Veri_Guncel!D98)</f>
        <v>Mağaza 5C</v>
      </c>
      <c r="E98" s="19" t="n">
        <f aca="false">IF($A98="","",Veri_Guncel!E98)</f>
        <v>44233</v>
      </c>
      <c r="F98" s="19" t="n">
        <f aca="false">IF($A98="","",Veri_Guncel!F98)</f>
        <v>38270</v>
      </c>
      <c r="G98" s="14" t="n">
        <f aca="false">IF(A98="","",IF(COUNTIF(Ayarlar!$A$15:$A$20,C98)&gt;0,1,0))</f>
        <v>1</v>
      </c>
      <c r="H98" s="14" t="n">
        <f aca="false">IF(A98="","",DATEDIF(E98,Ayarlar!$B$3,"y"))</f>
        <v>5</v>
      </c>
      <c r="I98" s="14" t="n">
        <f aca="false">IF(OR(A98="",F98=""),"",DATEDIF(F98,Ayarlar!$B$3,"y"))</f>
        <v>21</v>
      </c>
      <c r="J98" s="14" t="n">
        <f aca="false">IF(A98="","",IF(H98&lt;1,0,MAX(IF(H98&lt;5,14,IF(H98&lt;15,20,26)),IF(AND(I98&lt;&gt;"",OR(I98&lt;=18,I98&gt;=50)),20,0))))</f>
        <v>20</v>
      </c>
      <c r="K98" s="17" t="n">
        <f aca="false">IF(A98="","",EDATE(E98,12*(H98+1)))</f>
        <v>46424</v>
      </c>
      <c r="L98" s="14" t="n">
        <f aca="false">IF(A98="","",K98-Ayarlar!$B$3)</f>
        <v>145</v>
      </c>
      <c r="M98" s="18" t="n">
        <f aca="false">IF(A98="","",Veri_Guncel!H98)</f>
        <v>19</v>
      </c>
      <c r="N98" s="18" t="n">
        <f aca="false">IF(A98="","",IFERROR(INDEX(Veri_Onceki!$H:$H,MATCH(A98,Veri_Onceki!$A:$A,0)),""))</f>
        <v>22</v>
      </c>
      <c r="O98" s="14" t="n">
        <f aca="false">IF(A98="","",IF(AND(H98&gt;=1,EDATE(E98,12*H98)&gt;Ayarlar!$B$4,EDATE(E98,12*H98)&lt;=Ayarlar!$B$3),J98,0))</f>
        <v>0</v>
      </c>
      <c r="P98" s="14" t="n">
        <f aca="false">IF(OR(A98="",N98=""),"",N98+O98-M98)</f>
        <v>3</v>
      </c>
      <c r="Q98" s="16" t="str">
        <f aca="false">IF(A98="","",IF(M98&gt;=Ayarlar!$B$7,"ALARM",IF(M98&gt;=Ayarlar!$B$6,"Planla","")))</f>
        <v>Planla</v>
      </c>
      <c r="R98" s="14" t="str">
        <f aca="false">IF(A98="","",IF(AND(L98&gt;=0,L98&lt;=Ayarlar!$B$9),"Evet",""))</f>
        <v/>
      </c>
      <c r="S98" s="16" t="str">
        <f aca="false">IF(A98="","",IF(N98="","Yeni personel",IF(P98&lt;0,"Kontrol et","")))</f>
        <v/>
      </c>
      <c r="T98" s="14" t="n">
        <f aca="false">IF(A98="","",IF(AND(G98=1,M98&gt;=Ayarlar!$B$6,OR(Ayarlar!$B$11="Tümü",C98=Ayarlar!$B$11)),M98+ROW()/100000,""))</f>
        <v>19.00098</v>
      </c>
    </row>
    <row r="99" customFormat="false" ht="15" hidden="false" customHeight="false" outlineLevel="0" collapsed="false">
      <c r="A99" s="18" t="str">
        <f aca="false">IF(Veri_Guncel!A99="","",Veri_Guncel!A99)</f>
        <v>S10098</v>
      </c>
      <c r="B99" s="18" t="str">
        <f aca="false">IF($A99="","",Veri_Guncel!B99)</f>
        <v>Ayşe Kurt</v>
      </c>
      <c r="C99" s="18" t="str">
        <f aca="false">IF($A99="","",Veri_Guncel!C99)</f>
        <v>Bölge 5</v>
      </c>
      <c r="D99" s="18" t="str">
        <f aca="false">IF($A99="","",Veri_Guncel!D99)</f>
        <v>Mağaza 5C</v>
      </c>
      <c r="E99" s="19" t="n">
        <f aca="false">IF($A99="","",Veri_Guncel!E99)</f>
        <v>45497</v>
      </c>
      <c r="F99" s="19" t="n">
        <f aca="false">IF($A99="","",Veri_Guncel!F99)</f>
        <v>39122</v>
      </c>
      <c r="G99" s="14" t="n">
        <f aca="false">IF(A99="","",IF(COUNTIF(Ayarlar!$A$15:$A$20,C99)&gt;0,1,0))</f>
        <v>1</v>
      </c>
      <c r="H99" s="14" t="n">
        <f aca="false">IF(A99="","",DATEDIF(E99,Ayarlar!$B$3,"y"))</f>
        <v>2</v>
      </c>
      <c r="I99" s="14" t="n">
        <f aca="false">IF(OR(A99="",F99=""),"",DATEDIF(F99,Ayarlar!$B$3,"y"))</f>
        <v>19</v>
      </c>
      <c r="J99" s="14" t="n">
        <f aca="false">IF(A99="","",IF(H99&lt;1,0,MAX(IF(H99&lt;5,14,IF(H99&lt;15,20,26)),IF(AND(I99&lt;&gt;"",OR(I99&lt;=18,I99&gt;=50)),20,0))))</f>
        <v>14</v>
      </c>
      <c r="K99" s="17" t="n">
        <f aca="false">IF(A99="","",EDATE(E99,12*(H99+1)))</f>
        <v>46592</v>
      </c>
      <c r="L99" s="14" t="n">
        <f aca="false">IF(A99="","",K99-Ayarlar!$B$3)</f>
        <v>313</v>
      </c>
      <c r="M99" s="18" t="n">
        <f aca="false">IF(A99="","",Veri_Guncel!H99)</f>
        <v>10</v>
      </c>
      <c r="N99" s="18" t="n">
        <f aca="false">IF(A99="","",IFERROR(INDEX(Veri_Onceki!$H:$H,MATCH(A99,Veri_Onceki!$A:$A,0)),""))</f>
        <v>13</v>
      </c>
      <c r="O99" s="14" t="n">
        <f aca="false">IF(A99="","",IF(AND(H99&gt;=1,EDATE(E99,12*H99)&gt;Ayarlar!$B$4,EDATE(E99,12*H99)&lt;=Ayarlar!$B$3),J99,0))</f>
        <v>0</v>
      </c>
      <c r="P99" s="14" t="n">
        <f aca="false">IF(OR(A99="",N99=""),"",N99+O99-M99)</f>
        <v>3</v>
      </c>
      <c r="Q99" s="16" t="str">
        <f aca="false">IF(A99="","",IF(M99&gt;=Ayarlar!$B$7,"ALARM",IF(M99&gt;=Ayarlar!$B$6,"Planla","")))</f>
        <v/>
      </c>
      <c r="R99" s="14" t="str">
        <f aca="false">IF(A99="","",IF(AND(L99&gt;=0,L99&lt;=Ayarlar!$B$9),"Evet",""))</f>
        <v/>
      </c>
      <c r="S99" s="16" t="str">
        <f aca="false">IF(A99="","",IF(N99="","Yeni personel",IF(P99&lt;0,"Kontrol et","")))</f>
        <v/>
      </c>
      <c r="T99" s="14" t="str">
        <f aca="false">IF(A99="","",IF(AND(G99=1,M99&gt;=Ayarlar!$B$6,OR(Ayarlar!$B$11="Tümü",C99=Ayarlar!$B$11)),M99+ROW()/100000,""))</f>
        <v/>
      </c>
    </row>
    <row r="100" customFormat="false" ht="15" hidden="false" customHeight="false" outlineLevel="0" collapsed="false">
      <c r="A100" s="18" t="str">
        <f aca="false">IF(Veri_Guncel!A100="","",Veri_Guncel!A100)</f>
        <v>S10099</v>
      </c>
      <c r="B100" s="18" t="str">
        <f aca="false">IF($A100="","",Veri_Guncel!B100)</f>
        <v>Onur Çelik</v>
      </c>
      <c r="C100" s="18" t="str">
        <f aca="false">IF($A100="","",Veri_Guncel!C100)</f>
        <v>Bölge 5</v>
      </c>
      <c r="D100" s="18" t="str">
        <f aca="false">IF($A100="","",Veri_Guncel!D100)</f>
        <v>Mağaza 5C</v>
      </c>
      <c r="E100" s="19" t="n">
        <f aca="false">IF($A100="","",Veri_Guncel!E100)</f>
        <v>43698</v>
      </c>
      <c r="F100" s="19" t="n">
        <f aca="false">IF($A100="","",Veri_Guncel!F100)</f>
        <v>33947</v>
      </c>
      <c r="G100" s="14" t="n">
        <f aca="false">IF(A100="","",IF(COUNTIF(Ayarlar!$A$15:$A$20,C100)&gt;0,1,0))</f>
        <v>1</v>
      </c>
      <c r="H100" s="14" t="n">
        <f aca="false">IF(A100="","",DATEDIF(E100,Ayarlar!$B$3,"y"))</f>
        <v>7</v>
      </c>
      <c r="I100" s="14" t="n">
        <f aca="false">IF(OR(A100="",F100=""),"",DATEDIF(F100,Ayarlar!$B$3,"y"))</f>
        <v>33</v>
      </c>
      <c r="J100" s="14" t="n">
        <f aca="false">IF(A100="","",IF(H100&lt;1,0,MAX(IF(H100&lt;5,14,IF(H100&lt;15,20,26)),IF(AND(I100&lt;&gt;"",OR(I100&lt;=18,I100&gt;=50)),20,0))))</f>
        <v>20</v>
      </c>
      <c r="K100" s="17" t="n">
        <f aca="false">IF(A100="","",EDATE(E100,12*(H100+1)))</f>
        <v>46620</v>
      </c>
      <c r="L100" s="14" t="n">
        <f aca="false">IF(A100="","",K100-Ayarlar!$B$3)</f>
        <v>341</v>
      </c>
      <c r="M100" s="18" t="n">
        <f aca="false">IF(A100="","",Veri_Guncel!H100)</f>
        <v>28</v>
      </c>
      <c r="N100" s="18" t="n">
        <f aca="false">IF(A100="","",IFERROR(INDEX(Veri_Onceki!$H:$H,MATCH(A100,Veri_Onceki!$A:$A,0)),""))</f>
        <v>8</v>
      </c>
      <c r="O100" s="14" t="n">
        <f aca="false">IF(A100="","",IF(AND(H100&gt;=1,EDATE(E100,12*H100)&gt;Ayarlar!$B$4,EDATE(E100,12*H100)&lt;=Ayarlar!$B$3),J100,0))</f>
        <v>20</v>
      </c>
      <c r="P100" s="14" t="n">
        <f aca="false">IF(OR(A100="",N100=""),"",N100+O100-M100)</f>
        <v>0</v>
      </c>
      <c r="Q100" s="16" t="str">
        <f aca="false">IF(A100="","",IF(M100&gt;=Ayarlar!$B$7,"ALARM",IF(M100&gt;=Ayarlar!$B$6,"Planla","")))</f>
        <v>ALARM</v>
      </c>
      <c r="R100" s="14" t="str">
        <f aca="false">IF(A100="","",IF(AND(L100&gt;=0,L100&lt;=Ayarlar!$B$9),"Evet",""))</f>
        <v/>
      </c>
      <c r="S100" s="16" t="str">
        <f aca="false">IF(A100="","",IF(N100="","Yeni personel",IF(P100&lt;0,"Kontrol et","")))</f>
        <v/>
      </c>
      <c r="T100" s="14" t="n">
        <f aca="false">IF(A100="","",IF(AND(G100=1,M100&gt;=Ayarlar!$B$6,OR(Ayarlar!$B$11="Tümü",C100=Ayarlar!$B$11)),M100+ROW()/100000,""))</f>
        <v>28.001</v>
      </c>
    </row>
    <row r="101" customFormat="false" ht="15" hidden="false" customHeight="false" outlineLevel="0" collapsed="false">
      <c r="A101" s="18" t="str">
        <f aca="false">IF(Veri_Guncel!A101="","",Veri_Guncel!A101)</f>
        <v>S10100</v>
      </c>
      <c r="B101" s="18" t="str">
        <f aca="false">IF($A101="","",Veri_Guncel!B101)</f>
        <v>Zeynep Arslan</v>
      </c>
      <c r="C101" s="18" t="str">
        <f aca="false">IF($A101="","",Veri_Guncel!C101)</f>
        <v>Bölge 5</v>
      </c>
      <c r="D101" s="18" t="str">
        <f aca="false">IF($A101="","",Veri_Guncel!D101)</f>
        <v>Mağaza 5C</v>
      </c>
      <c r="E101" s="19" t="n">
        <f aca="false">IF($A101="","",Veri_Guncel!E101)</f>
        <v>44886</v>
      </c>
      <c r="F101" s="19" t="n">
        <f aca="false">IF($A101="","",Veri_Guncel!F101)</f>
        <v>34445</v>
      </c>
      <c r="G101" s="14" t="n">
        <f aca="false">IF(A101="","",IF(COUNTIF(Ayarlar!$A$15:$A$20,C101)&gt;0,1,0))</f>
        <v>1</v>
      </c>
      <c r="H101" s="14" t="n">
        <f aca="false">IF(A101="","",DATEDIF(E101,Ayarlar!$B$3,"y"))</f>
        <v>3</v>
      </c>
      <c r="I101" s="14" t="n">
        <f aca="false">IF(OR(A101="",F101=""),"",DATEDIF(F101,Ayarlar!$B$3,"y"))</f>
        <v>32</v>
      </c>
      <c r="J101" s="14" t="n">
        <f aca="false">IF(A101="","",IF(H101&lt;1,0,MAX(IF(H101&lt;5,14,IF(H101&lt;15,20,26)),IF(AND(I101&lt;&gt;"",OR(I101&lt;=18,I101&gt;=50)),20,0))))</f>
        <v>14</v>
      </c>
      <c r="K101" s="17" t="n">
        <f aca="false">IF(A101="","",EDATE(E101,12*(H101+1)))</f>
        <v>46347</v>
      </c>
      <c r="L101" s="14" t="n">
        <f aca="false">IF(A101="","",K101-Ayarlar!$B$3)</f>
        <v>68</v>
      </c>
      <c r="M101" s="18" t="n">
        <f aca="false">IF(A101="","",Veri_Guncel!H101)</f>
        <v>4</v>
      </c>
      <c r="N101" s="18" t="n">
        <f aca="false">IF(A101="","",IFERROR(INDEX(Veri_Onceki!$H:$H,MATCH(A101,Veri_Onceki!$A:$A,0)),""))</f>
        <v>4</v>
      </c>
      <c r="O101" s="14" t="n">
        <f aca="false">IF(A101="","",IF(AND(H101&gt;=1,EDATE(E101,12*H101)&gt;Ayarlar!$B$4,EDATE(E101,12*H101)&lt;=Ayarlar!$B$3),J101,0))</f>
        <v>0</v>
      </c>
      <c r="P101" s="14" t="n">
        <f aca="false">IF(OR(A101="",N101=""),"",N101+O101-M101)</f>
        <v>0</v>
      </c>
      <c r="Q101" s="16" t="str">
        <f aca="false">IF(A101="","",IF(M101&gt;=Ayarlar!$B$7,"ALARM",IF(M101&gt;=Ayarlar!$B$6,"Planla","")))</f>
        <v/>
      </c>
      <c r="R101" s="14" t="str">
        <f aca="false">IF(A101="","",IF(AND(L101&gt;=0,L101&lt;=Ayarlar!$B$9),"Evet",""))</f>
        <v/>
      </c>
      <c r="S101" s="16" t="str">
        <f aca="false">IF(A101="","",IF(N101="","Yeni personel",IF(P101&lt;0,"Kontrol et","")))</f>
        <v/>
      </c>
      <c r="T101" s="14" t="str">
        <f aca="false">IF(A101="","",IF(AND(G101=1,M101&gt;=Ayarlar!$B$6,OR(Ayarlar!$B$11="Tümü",C101=Ayarlar!$B$11)),M101+ROW()/100000,""))</f>
        <v/>
      </c>
    </row>
    <row r="102" customFormat="false" ht="15" hidden="false" customHeight="false" outlineLevel="0" collapsed="false">
      <c r="A102" s="18" t="str">
        <f aca="false">IF(Veri_Guncel!A102="","",Veri_Guncel!A102)</f>
        <v>S10101</v>
      </c>
      <c r="B102" s="18" t="str">
        <f aca="false">IF($A102="","",Veri_Guncel!B102)</f>
        <v>Buse Yılmaz</v>
      </c>
      <c r="C102" s="18" t="str">
        <f aca="false">IF($A102="","",Veri_Guncel!C102)</f>
        <v>Bölge 5</v>
      </c>
      <c r="D102" s="18" t="str">
        <f aca="false">IF($A102="","",Veri_Guncel!D102)</f>
        <v>Mağaza 5D</v>
      </c>
      <c r="E102" s="19" t="n">
        <f aca="false">IF($A102="","",Veri_Guncel!E102)</f>
        <v>40696</v>
      </c>
      <c r="F102" s="19" t="n">
        <f aca="false">IF($A102="","",Veri_Guncel!F102)</f>
        <v>30125</v>
      </c>
      <c r="G102" s="14" t="n">
        <f aca="false">IF(A102="","",IF(COUNTIF(Ayarlar!$A$15:$A$20,C102)&gt;0,1,0))</f>
        <v>1</v>
      </c>
      <c r="H102" s="14" t="n">
        <f aca="false">IF(A102="","",DATEDIF(E102,Ayarlar!$B$3,"y"))</f>
        <v>15</v>
      </c>
      <c r="I102" s="14" t="n">
        <f aca="false">IF(OR(A102="",F102=""),"",DATEDIF(F102,Ayarlar!$B$3,"y"))</f>
        <v>44</v>
      </c>
      <c r="J102" s="14" t="n">
        <f aca="false">IF(A102="","",IF(H102&lt;1,0,MAX(IF(H102&lt;5,14,IF(H102&lt;15,20,26)),IF(AND(I102&lt;&gt;"",OR(I102&lt;=18,I102&gt;=50)),20,0))))</f>
        <v>26</v>
      </c>
      <c r="K102" s="17" t="n">
        <f aca="false">IF(A102="","",EDATE(E102,12*(H102+1)))</f>
        <v>46540</v>
      </c>
      <c r="L102" s="14" t="n">
        <f aca="false">IF(A102="","",K102-Ayarlar!$B$3)</f>
        <v>261</v>
      </c>
      <c r="M102" s="18" t="n">
        <f aca="false">IF(A102="","",Veri_Guncel!H102)</f>
        <v>6</v>
      </c>
      <c r="N102" s="18" t="n">
        <f aca="false">IF(A102="","",IFERROR(INDEX(Veri_Onceki!$H:$H,MATCH(A102,Veri_Onceki!$A:$A,0)),""))</f>
        <v>6</v>
      </c>
      <c r="O102" s="14" t="n">
        <f aca="false">IF(A102="","",IF(AND(H102&gt;=1,EDATE(E102,12*H102)&gt;Ayarlar!$B$4,EDATE(E102,12*H102)&lt;=Ayarlar!$B$3),J102,0))</f>
        <v>0</v>
      </c>
      <c r="P102" s="14" t="n">
        <f aca="false">IF(OR(A102="",N102=""),"",N102+O102-M102)</f>
        <v>0</v>
      </c>
      <c r="Q102" s="16" t="str">
        <f aca="false">IF(A102="","",IF(M102&gt;=Ayarlar!$B$7,"ALARM",IF(M102&gt;=Ayarlar!$B$6,"Planla","")))</f>
        <v/>
      </c>
      <c r="R102" s="14" t="str">
        <f aca="false">IF(A102="","",IF(AND(L102&gt;=0,L102&lt;=Ayarlar!$B$9),"Evet",""))</f>
        <v/>
      </c>
      <c r="S102" s="16" t="str">
        <f aca="false">IF(A102="","",IF(N102="","Yeni personel",IF(P102&lt;0,"Kontrol et","")))</f>
        <v/>
      </c>
      <c r="T102" s="14" t="str">
        <f aca="false">IF(A102="","",IF(AND(G102=1,M102&gt;=Ayarlar!$B$6,OR(Ayarlar!$B$11="Tümü",C102=Ayarlar!$B$11)),M102+ROW()/100000,""))</f>
        <v/>
      </c>
    </row>
    <row r="103" customFormat="false" ht="15" hidden="false" customHeight="false" outlineLevel="0" collapsed="false">
      <c r="A103" s="18" t="str">
        <f aca="false">IF(Veri_Guncel!A103="","",Veri_Guncel!A103)</f>
        <v>S10102</v>
      </c>
      <c r="B103" s="18" t="str">
        <f aca="false">IF($A103="","",Veri_Guncel!B103)</f>
        <v>Burak Çelik</v>
      </c>
      <c r="C103" s="18" t="str">
        <f aca="false">IF($A103="","",Veri_Guncel!C103)</f>
        <v>Bölge 5</v>
      </c>
      <c r="D103" s="18" t="str">
        <f aca="false">IF($A103="","",Veri_Guncel!D103)</f>
        <v>Mağaza 5D</v>
      </c>
      <c r="E103" s="19" t="n">
        <f aca="false">IF($A103="","",Veri_Guncel!E103)</f>
        <v>40914</v>
      </c>
      <c r="F103" s="19" t="n">
        <f aca="false">IF($A103="","",Veri_Guncel!F103)</f>
        <v>33899</v>
      </c>
      <c r="G103" s="14" t="n">
        <f aca="false">IF(A103="","",IF(COUNTIF(Ayarlar!$A$15:$A$20,C103)&gt;0,1,0))</f>
        <v>1</v>
      </c>
      <c r="H103" s="14" t="n">
        <f aca="false">IF(A103="","",DATEDIF(E103,Ayarlar!$B$3,"y"))</f>
        <v>14</v>
      </c>
      <c r="I103" s="14" t="n">
        <f aca="false">IF(OR(A103="",F103=""),"",DATEDIF(F103,Ayarlar!$B$3,"y"))</f>
        <v>33</v>
      </c>
      <c r="J103" s="14" t="n">
        <f aca="false">IF(A103="","",IF(H103&lt;1,0,MAX(IF(H103&lt;5,14,IF(H103&lt;15,20,26)),IF(AND(I103&lt;&gt;"",OR(I103&lt;=18,I103&gt;=50)),20,0))))</f>
        <v>20</v>
      </c>
      <c r="K103" s="17" t="n">
        <f aca="false">IF(A103="","",EDATE(E103,12*(H103+1)))</f>
        <v>46393</v>
      </c>
      <c r="L103" s="14" t="n">
        <f aca="false">IF(A103="","",K103-Ayarlar!$B$3)</f>
        <v>114</v>
      </c>
      <c r="M103" s="18" t="n">
        <f aca="false">IF(A103="","",Veri_Guncel!H103)</f>
        <v>15</v>
      </c>
      <c r="N103" s="18" t="n">
        <f aca="false">IF(A103="","",IFERROR(INDEX(Veri_Onceki!$H:$H,MATCH(A103,Veri_Onceki!$A:$A,0)),""))</f>
        <v>15</v>
      </c>
      <c r="O103" s="14" t="n">
        <f aca="false">IF(A103="","",IF(AND(H103&gt;=1,EDATE(E103,12*H103)&gt;Ayarlar!$B$4,EDATE(E103,12*H103)&lt;=Ayarlar!$B$3),J103,0))</f>
        <v>0</v>
      </c>
      <c r="P103" s="14" t="n">
        <f aca="false">IF(OR(A103="",N103=""),"",N103+O103-M103)</f>
        <v>0</v>
      </c>
      <c r="Q103" s="16" t="str">
        <f aca="false">IF(A103="","",IF(M103&gt;=Ayarlar!$B$7,"ALARM",IF(M103&gt;=Ayarlar!$B$6,"Planla","")))</f>
        <v>Planla</v>
      </c>
      <c r="R103" s="14" t="str">
        <f aca="false">IF(A103="","",IF(AND(L103&gt;=0,L103&lt;=Ayarlar!$B$9),"Evet",""))</f>
        <v/>
      </c>
      <c r="S103" s="16" t="str">
        <f aca="false">IF(A103="","",IF(N103="","Yeni personel",IF(P103&lt;0,"Kontrol et","")))</f>
        <v/>
      </c>
      <c r="T103" s="14" t="n">
        <f aca="false">IF(A103="","",IF(AND(G103=1,M103&gt;=Ayarlar!$B$6,OR(Ayarlar!$B$11="Tümü",C103=Ayarlar!$B$11)),M103+ROW()/100000,""))</f>
        <v>15.00103</v>
      </c>
    </row>
    <row r="104" customFormat="false" ht="15" hidden="false" customHeight="false" outlineLevel="0" collapsed="false">
      <c r="A104" s="18" t="str">
        <f aca="false">IF(Veri_Guncel!A104="","",Veri_Guncel!A104)</f>
        <v>S10103</v>
      </c>
      <c r="B104" s="18" t="str">
        <f aca="false">IF($A104="","",Veri_Guncel!B104)</f>
        <v>Emre Yıldız</v>
      </c>
      <c r="C104" s="18" t="str">
        <f aca="false">IF($A104="","",Veri_Guncel!C104)</f>
        <v>Bölge 5</v>
      </c>
      <c r="D104" s="18" t="str">
        <f aca="false">IF($A104="","",Veri_Guncel!D104)</f>
        <v>Mağaza 5D</v>
      </c>
      <c r="E104" s="19" t="n">
        <f aca="false">IF($A104="","",Veri_Guncel!E104)</f>
        <v>44492</v>
      </c>
      <c r="F104" s="19" t="n">
        <f aca="false">IF($A104="","",Veri_Guncel!F104)</f>
        <v>30249</v>
      </c>
      <c r="G104" s="14" t="n">
        <f aca="false">IF(A104="","",IF(COUNTIF(Ayarlar!$A$15:$A$20,C104)&gt;0,1,0))</f>
        <v>1</v>
      </c>
      <c r="H104" s="14" t="n">
        <f aca="false">IF(A104="","",DATEDIF(E104,Ayarlar!$B$3,"y"))</f>
        <v>4</v>
      </c>
      <c r="I104" s="14" t="n">
        <f aca="false">IF(OR(A104="",F104=""),"",DATEDIF(F104,Ayarlar!$B$3,"y"))</f>
        <v>43</v>
      </c>
      <c r="J104" s="14" t="n">
        <f aca="false">IF(A104="","",IF(H104&lt;1,0,MAX(IF(H104&lt;5,14,IF(H104&lt;15,20,26)),IF(AND(I104&lt;&gt;"",OR(I104&lt;=18,I104&gt;=50)),20,0))))</f>
        <v>14</v>
      </c>
      <c r="K104" s="17" t="n">
        <f aca="false">IF(A104="","",EDATE(E104,12*(H104+1)))</f>
        <v>46318</v>
      </c>
      <c r="L104" s="14" t="n">
        <f aca="false">IF(A104="","",K104-Ayarlar!$B$3)</f>
        <v>39</v>
      </c>
      <c r="M104" s="18" t="n">
        <f aca="false">IF(A104="","",Veri_Guncel!H104)</f>
        <v>6</v>
      </c>
      <c r="N104" s="18" t="n">
        <f aca="false">IF(A104="","",IFERROR(INDEX(Veri_Onceki!$H:$H,MATCH(A104,Veri_Onceki!$A:$A,0)),""))</f>
        <v>6</v>
      </c>
      <c r="O104" s="14" t="n">
        <f aca="false">IF(A104="","",IF(AND(H104&gt;=1,EDATE(E104,12*H104)&gt;Ayarlar!$B$4,EDATE(E104,12*H104)&lt;=Ayarlar!$B$3),J104,0))</f>
        <v>0</v>
      </c>
      <c r="P104" s="14" t="n">
        <f aca="false">IF(OR(A104="",N104=""),"",N104+O104-M104)</f>
        <v>0</v>
      </c>
      <c r="Q104" s="16" t="str">
        <f aca="false">IF(A104="","",IF(M104&gt;=Ayarlar!$B$7,"ALARM",IF(M104&gt;=Ayarlar!$B$6,"Planla","")))</f>
        <v/>
      </c>
      <c r="R104" s="14" t="str">
        <f aca="false">IF(A104="","",IF(AND(L104&gt;=0,L104&lt;=Ayarlar!$B$9),"Evet",""))</f>
        <v>Evet</v>
      </c>
      <c r="S104" s="16" t="str">
        <f aca="false">IF(A104="","",IF(N104="","Yeni personel",IF(P104&lt;0,"Kontrol et","")))</f>
        <v/>
      </c>
      <c r="T104" s="14" t="str">
        <f aca="false">IF(A104="","",IF(AND(G104=1,M104&gt;=Ayarlar!$B$6,OR(Ayarlar!$B$11="Tümü",C104=Ayarlar!$B$11)),M104+ROW()/100000,""))</f>
        <v/>
      </c>
    </row>
    <row r="105" customFormat="false" ht="15" hidden="false" customHeight="false" outlineLevel="0" collapsed="false">
      <c r="A105" s="18" t="str">
        <f aca="false">IF(Veri_Guncel!A105="","",Veri_Guncel!A105)</f>
        <v>S10104</v>
      </c>
      <c r="B105" s="18" t="str">
        <f aca="false">IF($A105="","",Veri_Guncel!B105)</f>
        <v>Melis Doğan</v>
      </c>
      <c r="C105" s="18" t="str">
        <f aca="false">IF($A105="","",Veri_Guncel!C105)</f>
        <v>Bölge 5</v>
      </c>
      <c r="D105" s="18" t="str">
        <f aca="false">IF($A105="","",Veri_Guncel!D105)</f>
        <v>Mağaza 5D</v>
      </c>
      <c r="E105" s="19" t="n">
        <f aca="false">IF($A105="","",Veri_Guncel!E105)</f>
        <v>44021</v>
      </c>
      <c r="F105" s="19" t="n">
        <f aca="false">IF($A105="","",Veri_Guncel!F105)</f>
        <v>33718</v>
      </c>
      <c r="G105" s="14" t="n">
        <f aca="false">IF(A105="","",IF(COUNTIF(Ayarlar!$A$15:$A$20,C105)&gt;0,1,0))</f>
        <v>1</v>
      </c>
      <c r="H105" s="14" t="n">
        <f aca="false">IF(A105="","",DATEDIF(E105,Ayarlar!$B$3,"y"))</f>
        <v>6</v>
      </c>
      <c r="I105" s="14" t="n">
        <f aca="false">IF(OR(A105="",F105=""),"",DATEDIF(F105,Ayarlar!$B$3,"y"))</f>
        <v>34</v>
      </c>
      <c r="J105" s="14" t="n">
        <f aca="false">IF(A105="","",IF(H105&lt;1,0,MAX(IF(H105&lt;5,14,IF(H105&lt;15,20,26)),IF(AND(I105&lt;&gt;"",OR(I105&lt;=18,I105&gt;=50)),20,0))))</f>
        <v>20</v>
      </c>
      <c r="K105" s="17" t="n">
        <f aca="false">IF(A105="","",EDATE(E105,12*(H105+1)))</f>
        <v>46577</v>
      </c>
      <c r="L105" s="14" t="n">
        <f aca="false">IF(A105="","",K105-Ayarlar!$B$3)</f>
        <v>298</v>
      </c>
      <c r="M105" s="18" t="n">
        <f aca="false">IF(A105="","",Veri_Guncel!H105)</f>
        <v>12</v>
      </c>
      <c r="N105" s="18" t="n">
        <f aca="false">IF(A105="","",IFERROR(INDEX(Veri_Onceki!$H:$H,MATCH(A105,Veri_Onceki!$A:$A,0)),""))</f>
        <v>15</v>
      </c>
      <c r="O105" s="14" t="n">
        <f aca="false">IF(A105="","",IF(AND(H105&gt;=1,EDATE(E105,12*H105)&gt;Ayarlar!$B$4,EDATE(E105,12*H105)&lt;=Ayarlar!$B$3),J105,0))</f>
        <v>0</v>
      </c>
      <c r="P105" s="14" t="n">
        <f aca="false">IF(OR(A105="",N105=""),"",N105+O105-M105)</f>
        <v>3</v>
      </c>
      <c r="Q105" s="16" t="str">
        <f aca="false">IF(A105="","",IF(M105&gt;=Ayarlar!$B$7,"ALARM",IF(M105&gt;=Ayarlar!$B$6,"Planla","")))</f>
        <v/>
      </c>
      <c r="R105" s="14" t="str">
        <f aca="false">IF(A105="","",IF(AND(L105&gt;=0,L105&lt;=Ayarlar!$B$9),"Evet",""))</f>
        <v/>
      </c>
      <c r="S105" s="16" t="str">
        <f aca="false">IF(A105="","",IF(N105="","Yeni personel",IF(P105&lt;0,"Kontrol et","")))</f>
        <v/>
      </c>
      <c r="T105" s="14" t="str">
        <f aca="false">IF(A105="","",IF(AND(G105=1,M105&gt;=Ayarlar!$B$6,OR(Ayarlar!$B$11="Tümü",C105=Ayarlar!$B$11)),M105+ROW()/100000,""))</f>
        <v/>
      </c>
    </row>
    <row r="106" customFormat="false" ht="15" hidden="false" customHeight="false" outlineLevel="0" collapsed="false">
      <c r="A106" s="18" t="str">
        <f aca="false">IF(Veri_Guncel!A106="","",Veri_Guncel!A106)</f>
        <v>S10105</v>
      </c>
      <c r="B106" s="18" t="str">
        <f aca="false">IF($A106="","",Veri_Guncel!B106)</f>
        <v>Kaan Aydın</v>
      </c>
      <c r="C106" s="18" t="str">
        <f aca="false">IF($A106="","",Veri_Guncel!C106)</f>
        <v>Bölge 5</v>
      </c>
      <c r="D106" s="18" t="str">
        <f aca="false">IF($A106="","",Veri_Guncel!D106)</f>
        <v>Mağaza 5D</v>
      </c>
      <c r="E106" s="19" t="n">
        <f aca="false">IF($A106="","",Veri_Guncel!E106)</f>
        <v>41009</v>
      </c>
      <c r="F106" s="19" t="n">
        <f aca="false">IF($A106="","",Veri_Guncel!F106)</f>
        <v>33704</v>
      </c>
      <c r="G106" s="14" t="n">
        <f aca="false">IF(A106="","",IF(COUNTIF(Ayarlar!$A$15:$A$20,C106)&gt;0,1,0))</f>
        <v>1</v>
      </c>
      <c r="H106" s="14" t="n">
        <f aca="false">IF(A106="","",DATEDIF(E106,Ayarlar!$B$3,"y"))</f>
        <v>14</v>
      </c>
      <c r="I106" s="14" t="n">
        <f aca="false">IF(OR(A106="",F106=""),"",DATEDIF(F106,Ayarlar!$B$3,"y"))</f>
        <v>34</v>
      </c>
      <c r="J106" s="14" t="n">
        <f aca="false">IF(A106="","",IF(H106&lt;1,0,MAX(IF(H106&lt;5,14,IF(H106&lt;15,20,26)),IF(AND(I106&lt;&gt;"",OR(I106&lt;=18,I106&gt;=50)),20,0))))</f>
        <v>20</v>
      </c>
      <c r="K106" s="17" t="n">
        <f aca="false">IF(A106="","",EDATE(E106,12*(H106+1)))</f>
        <v>46487</v>
      </c>
      <c r="L106" s="14" t="n">
        <f aca="false">IF(A106="","",K106-Ayarlar!$B$3)</f>
        <v>208</v>
      </c>
      <c r="M106" s="18" t="n">
        <f aca="false">IF(A106="","",Veri_Guncel!H106)</f>
        <v>28</v>
      </c>
      <c r="N106" s="18" t="n">
        <f aca="false">IF(A106="","",IFERROR(INDEX(Veri_Onceki!$H:$H,MATCH(A106,Veri_Onceki!$A:$A,0)),""))</f>
        <v>30</v>
      </c>
      <c r="O106" s="14" t="n">
        <f aca="false">IF(A106="","",IF(AND(H106&gt;=1,EDATE(E106,12*H106)&gt;Ayarlar!$B$4,EDATE(E106,12*H106)&lt;=Ayarlar!$B$3),J106,0))</f>
        <v>0</v>
      </c>
      <c r="P106" s="14" t="n">
        <f aca="false">IF(OR(A106="",N106=""),"",N106+O106-M106)</f>
        <v>2</v>
      </c>
      <c r="Q106" s="16" t="str">
        <f aca="false">IF(A106="","",IF(M106&gt;=Ayarlar!$B$7,"ALARM",IF(M106&gt;=Ayarlar!$B$6,"Planla","")))</f>
        <v>ALARM</v>
      </c>
      <c r="R106" s="14" t="str">
        <f aca="false">IF(A106="","",IF(AND(L106&gt;=0,L106&lt;=Ayarlar!$B$9),"Evet",""))</f>
        <v/>
      </c>
      <c r="S106" s="16" t="str">
        <f aca="false">IF(A106="","",IF(N106="","Yeni personel",IF(P106&lt;0,"Kontrol et","")))</f>
        <v/>
      </c>
      <c r="T106" s="14" t="n">
        <f aca="false">IF(A106="","",IF(AND(G106=1,M106&gt;=Ayarlar!$B$6,OR(Ayarlar!$B$11="Tümü",C106=Ayarlar!$B$11)),M106+ROW()/100000,""))</f>
        <v>28.00106</v>
      </c>
    </row>
    <row r="107" customFormat="false" ht="15" hidden="false" customHeight="false" outlineLevel="0" collapsed="false">
      <c r="A107" s="18" t="str">
        <f aca="false">IF(Veri_Guncel!A107="","",Veri_Guncel!A107)</f>
        <v>S10106</v>
      </c>
      <c r="B107" s="18" t="str">
        <f aca="false">IF($A107="","",Veri_Guncel!B107)</f>
        <v>Can Yıldız</v>
      </c>
      <c r="C107" s="18" t="str">
        <f aca="false">IF($A107="","",Veri_Guncel!C107)</f>
        <v>Bölge 5</v>
      </c>
      <c r="D107" s="18" t="str">
        <f aca="false">IF($A107="","",Veri_Guncel!D107)</f>
        <v>Mağaza 5D</v>
      </c>
      <c r="E107" s="19" t="n">
        <f aca="false">IF($A107="","",Veri_Guncel!E107)</f>
        <v>41562</v>
      </c>
      <c r="F107" s="19" t="n">
        <f aca="false">IF($A107="","",Veri_Guncel!F107)</f>
        <v>37248</v>
      </c>
      <c r="G107" s="14" t="n">
        <f aca="false">IF(A107="","",IF(COUNTIF(Ayarlar!$A$15:$A$20,C107)&gt;0,1,0))</f>
        <v>1</v>
      </c>
      <c r="H107" s="14" t="n">
        <f aca="false">IF(A107="","",DATEDIF(E107,Ayarlar!$B$3,"y"))</f>
        <v>12</v>
      </c>
      <c r="I107" s="14" t="n">
        <f aca="false">IF(OR(A107="",F107=""),"",DATEDIF(F107,Ayarlar!$B$3,"y"))</f>
        <v>24</v>
      </c>
      <c r="J107" s="14" t="n">
        <f aca="false">IF(A107="","",IF(H107&lt;1,0,MAX(IF(H107&lt;5,14,IF(H107&lt;15,20,26)),IF(AND(I107&lt;&gt;"",OR(I107&lt;=18,I107&gt;=50)),20,0))))</f>
        <v>20</v>
      </c>
      <c r="K107" s="17" t="n">
        <f aca="false">IF(A107="","",EDATE(E107,12*(H107+1)))</f>
        <v>46310</v>
      </c>
      <c r="L107" s="14" t="n">
        <f aca="false">IF(A107="","",K107-Ayarlar!$B$3)</f>
        <v>31</v>
      </c>
      <c r="M107" s="18" t="n">
        <f aca="false">IF(A107="","",Veri_Guncel!H107)</f>
        <v>24</v>
      </c>
      <c r="N107" s="18" t="n">
        <f aca="false">IF(A107="","",IFERROR(INDEX(Veri_Onceki!$H:$H,MATCH(A107,Veri_Onceki!$A:$A,0)),""))</f>
        <v>26</v>
      </c>
      <c r="O107" s="14" t="n">
        <f aca="false">IF(A107="","",IF(AND(H107&gt;=1,EDATE(E107,12*H107)&gt;Ayarlar!$B$4,EDATE(E107,12*H107)&lt;=Ayarlar!$B$3),J107,0))</f>
        <v>0</v>
      </c>
      <c r="P107" s="14" t="n">
        <f aca="false">IF(OR(A107="",N107=""),"",N107+O107-M107)</f>
        <v>2</v>
      </c>
      <c r="Q107" s="16" t="str">
        <f aca="false">IF(A107="","",IF(M107&gt;=Ayarlar!$B$7,"ALARM",IF(M107&gt;=Ayarlar!$B$6,"Planla","")))</f>
        <v>ALARM</v>
      </c>
      <c r="R107" s="14" t="str">
        <f aca="false">IF(A107="","",IF(AND(L107&gt;=0,L107&lt;=Ayarlar!$B$9),"Evet",""))</f>
        <v>Evet</v>
      </c>
      <c r="S107" s="16" t="str">
        <f aca="false">IF(A107="","",IF(N107="","Yeni personel",IF(P107&lt;0,"Kontrol et","")))</f>
        <v/>
      </c>
      <c r="T107" s="14" t="n">
        <f aca="false">IF(A107="","",IF(AND(G107=1,M107&gt;=Ayarlar!$B$6,OR(Ayarlar!$B$11="Tümü",C107=Ayarlar!$B$11)),M107+ROW()/100000,""))</f>
        <v>24.00107</v>
      </c>
    </row>
    <row r="108" customFormat="false" ht="15" hidden="false" customHeight="false" outlineLevel="0" collapsed="false">
      <c r="A108" s="18" t="str">
        <f aca="false">IF(Veri_Guncel!A108="","",Veri_Guncel!A108)</f>
        <v>S10107</v>
      </c>
      <c r="B108" s="18" t="str">
        <f aca="false">IF($A108="","",Veri_Guncel!B108)</f>
        <v>Tolga Şahin</v>
      </c>
      <c r="C108" s="18" t="str">
        <f aca="false">IF($A108="","",Veri_Guncel!C108)</f>
        <v>Bölge 6</v>
      </c>
      <c r="D108" s="18" t="str">
        <f aca="false">IF($A108="","",Veri_Guncel!D108)</f>
        <v>Mağaza 6A</v>
      </c>
      <c r="E108" s="19" t="n">
        <f aca="false">IF($A108="","",Veri_Guncel!E108)</f>
        <v>45141</v>
      </c>
      <c r="F108" s="19" t="n">
        <f aca="false">IF($A108="","",Veri_Guncel!F108)</f>
        <v>39300</v>
      </c>
      <c r="G108" s="14" t="n">
        <f aca="false">IF(A108="","",IF(COUNTIF(Ayarlar!$A$15:$A$20,C108)&gt;0,1,0))</f>
        <v>1</v>
      </c>
      <c r="H108" s="14" t="n">
        <f aca="false">IF(A108="","",DATEDIF(E108,Ayarlar!$B$3,"y"))</f>
        <v>3</v>
      </c>
      <c r="I108" s="14" t="n">
        <f aca="false">IF(OR(A108="",F108=""),"",DATEDIF(F108,Ayarlar!$B$3,"y"))</f>
        <v>19</v>
      </c>
      <c r="J108" s="14" t="n">
        <f aca="false">IF(A108="","",IF(H108&lt;1,0,MAX(IF(H108&lt;5,14,IF(H108&lt;15,20,26)),IF(AND(I108&lt;&gt;"",OR(I108&lt;=18,I108&gt;=50)),20,0))))</f>
        <v>14</v>
      </c>
      <c r="K108" s="17" t="n">
        <f aca="false">IF(A108="","",EDATE(E108,12*(H108+1)))</f>
        <v>46602</v>
      </c>
      <c r="L108" s="14" t="n">
        <f aca="false">IF(A108="","",K108-Ayarlar!$B$3)</f>
        <v>323</v>
      </c>
      <c r="M108" s="18" t="n">
        <f aca="false">IF(A108="","",Veri_Guncel!H108)</f>
        <v>28</v>
      </c>
      <c r="N108" s="18" t="n">
        <f aca="false">IF(A108="","",IFERROR(INDEX(Veri_Onceki!$H:$H,MATCH(A108,Veri_Onceki!$A:$A,0)),""))</f>
        <v>19</v>
      </c>
      <c r="O108" s="14" t="n">
        <f aca="false">IF(A108="","",IF(AND(H108&gt;=1,EDATE(E108,12*H108)&gt;Ayarlar!$B$4,EDATE(E108,12*H108)&lt;=Ayarlar!$B$3),J108,0))</f>
        <v>14</v>
      </c>
      <c r="P108" s="14" t="n">
        <f aca="false">IF(OR(A108="",N108=""),"",N108+O108-M108)</f>
        <v>5</v>
      </c>
      <c r="Q108" s="16" t="str">
        <f aca="false">IF(A108="","",IF(M108&gt;=Ayarlar!$B$7,"ALARM",IF(M108&gt;=Ayarlar!$B$6,"Planla","")))</f>
        <v>ALARM</v>
      </c>
      <c r="R108" s="14" t="str">
        <f aca="false">IF(A108="","",IF(AND(L108&gt;=0,L108&lt;=Ayarlar!$B$9),"Evet",""))</f>
        <v/>
      </c>
      <c r="S108" s="16" t="str">
        <f aca="false">IF(A108="","",IF(N108="","Yeni personel",IF(P108&lt;0,"Kontrol et","")))</f>
        <v/>
      </c>
      <c r="T108" s="14" t="n">
        <f aca="false">IF(A108="","",IF(AND(G108=1,M108&gt;=Ayarlar!$B$6,OR(Ayarlar!$B$11="Tümü",C108=Ayarlar!$B$11)),M108+ROW()/100000,""))</f>
        <v>28.00108</v>
      </c>
    </row>
    <row r="109" customFormat="false" ht="15" hidden="false" customHeight="false" outlineLevel="0" collapsed="false">
      <c r="A109" s="18" t="str">
        <f aca="false">IF(Veri_Guncel!A109="","",Veri_Guncel!A109)</f>
        <v>S10108</v>
      </c>
      <c r="B109" s="18" t="str">
        <f aca="false">IF($A109="","",Veri_Guncel!B109)</f>
        <v>Oğuz Yılmaz</v>
      </c>
      <c r="C109" s="18" t="str">
        <f aca="false">IF($A109="","",Veri_Guncel!C109)</f>
        <v>Bölge 6</v>
      </c>
      <c r="D109" s="18" t="str">
        <f aca="false">IF($A109="","",Veri_Guncel!D109)</f>
        <v>Mağaza 6A</v>
      </c>
      <c r="E109" s="19" t="n">
        <f aca="false">IF($A109="","",Veri_Guncel!E109)</f>
        <v>40902</v>
      </c>
      <c r="F109" s="19" t="n">
        <f aca="false">IF($A109="","",Veri_Guncel!F109)</f>
        <v>26801</v>
      </c>
      <c r="G109" s="14" t="n">
        <f aca="false">IF(A109="","",IF(COUNTIF(Ayarlar!$A$15:$A$20,C109)&gt;0,1,0))</f>
        <v>1</v>
      </c>
      <c r="H109" s="14" t="n">
        <f aca="false">IF(A109="","",DATEDIF(E109,Ayarlar!$B$3,"y"))</f>
        <v>14</v>
      </c>
      <c r="I109" s="14" t="n">
        <f aca="false">IF(OR(A109="",F109=""),"",DATEDIF(F109,Ayarlar!$B$3,"y"))</f>
        <v>53</v>
      </c>
      <c r="J109" s="14" t="n">
        <f aca="false">IF(A109="","",IF(H109&lt;1,0,MAX(IF(H109&lt;5,14,IF(H109&lt;15,20,26)),IF(AND(I109&lt;&gt;"",OR(I109&lt;=18,I109&gt;=50)),20,0))))</f>
        <v>20</v>
      </c>
      <c r="K109" s="17" t="n">
        <f aca="false">IF(A109="","",EDATE(E109,12*(H109+1)))</f>
        <v>46381</v>
      </c>
      <c r="L109" s="14" t="n">
        <f aca="false">IF(A109="","",K109-Ayarlar!$B$3)</f>
        <v>102</v>
      </c>
      <c r="M109" s="18" t="n">
        <f aca="false">IF(A109="","",Veri_Guncel!H109)</f>
        <v>4</v>
      </c>
      <c r="N109" s="18" t="n">
        <f aca="false">IF(A109="","",IFERROR(INDEX(Veri_Onceki!$H:$H,MATCH(A109,Veri_Onceki!$A:$A,0)),""))</f>
        <v>4</v>
      </c>
      <c r="O109" s="14" t="n">
        <f aca="false">IF(A109="","",IF(AND(H109&gt;=1,EDATE(E109,12*H109)&gt;Ayarlar!$B$4,EDATE(E109,12*H109)&lt;=Ayarlar!$B$3),J109,0))</f>
        <v>0</v>
      </c>
      <c r="P109" s="14" t="n">
        <f aca="false">IF(OR(A109="",N109=""),"",N109+O109-M109)</f>
        <v>0</v>
      </c>
      <c r="Q109" s="16" t="str">
        <f aca="false">IF(A109="","",IF(M109&gt;=Ayarlar!$B$7,"ALARM",IF(M109&gt;=Ayarlar!$B$6,"Planla","")))</f>
        <v/>
      </c>
      <c r="R109" s="14" t="str">
        <f aca="false">IF(A109="","",IF(AND(L109&gt;=0,L109&lt;=Ayarlar!$B$9),"Evet",""))</f>
        <v/>
      </c>
      <c r="S109" s="16" t="str">
        <f aca="false">IF(A109="","",IF(N109="","Yeni personel",IF(P109&lt;0,"Kontrol et","")))</f>
        <v/>
      </c>
      <c r="T109" s="14" t="str">
        <f aca="false">IF(A109="","",IF(AND(G109=1,M109&gt;=Ayarlar!$B$6,OR(Ayarlar!$B$11="Tümü",C109=Ayarlar!$B$11)),M109+ROW()/100000,""))</f>
        <v/>
      </c>
    </row>
    <row r="110" customFormat="false" ht="15" hidden="false" customHeight="false" outlineLevel="0" collapsed="false">
      <c r="A110" s="18" t="str">
        <f aca="false">IF(Veri_Guncel!A110="","",Veri_Guncel!A110)</f>
        <v>S10109</v>
      </c>
      <c r="B110" s="18" t="str">
        <f aca="false">IF($A110="","",Veri_Guncel!B110)</f>
        <v>Melis Özdemir</v>
      </c>
      <c r="C110" s="18" t="str">
        <f aca="false">IF($A110="","",Veri_Guncel!C110)</f>
        <v>Bölge 6</v>
      </c>
      <c r="D110" s="18" t="str">
        <f aca="false">IF($A110="","",Veri_Guncel!D110)</f>
        <v>Mağaza 6A</v>
      </c>
      <c r="E110" s="19" t="n">
        <f aca="false">IF($A110="","",Veri_Guncel!E110)</f>
        <v>41489</v>
      </c>
      <c r="F110" s="19" t="n">
        <f aca="false">IF($A110="","",Veri_Guncel!F110)</f>
        <v>35966</v>
      </c>
      <c r="G110" s="14" t="n">
        <f aca="false">IF(A110="","",IF(COUNTIF(Ayarlar!$A$15:$A$20,C110)&gt;0,1,0))</f>
        <v>1</v>
      </c>
      <c r="H110" s="14" t="n">
        <f aca="false">IF(A110="","",DATEDIF(E110,Ayarlar!$B$3,"y"))</f>
        <v>13</v>
      </c>
      <c r="I110" s="14" t="n">
        <f aca="false">IF(OR(A110="",F110=""),"",DATEDIF(F110,Ayarlar!$B$3,"y"))</f>
        <v>28</v>
      </c>
      <c r="J110" s="14" t="n">
        <f aca="false">IF(A110="","",IF(H110&lt;1,0,MAX(IF(H110&lt;5,14,IF(H110&lt;15,20,26)),IF(AND(I110&lt;&gt;"",OR(I110&lt;=18,I110&gt;=50)),20,0))))</f>
        <v>20</v>
      </c>
      <c r="K110" s="17" t="n">
        <f aca="false">IF(A110="","",EDATE(E110,12*(H110+1)))</f>
        <v>46602</v>
      </c>
      <c r="L110" s="14" t="n">
        <f aca="false">IF(A110="","",K110-Ayarlar!$B$3)</f>
        <v>323</v>
      </c>
      <c r="M110" s="18" t="n">
        <f aca="false">IF(A110="","",Veri_Guncel!H110)</f>
        <v>28</v>
      </c>
      <c r="N110" s="18" t="n">
        <f aca="false">IF(A110="","",IFERROR(INDEX(Veri_Onceki!$H:$H,MATCH(A110,Veri_Onceki!$A:$A,0)),""))</f>
        <v>10</v>
      </c>
      <c r="O110" s="14" t="n">
        <f aca="false">IF(A110="","",IF(AND(H110&gt;=1,EDATE(E110,12*H110)&gt;Ayarlar!$B$4,EDATE(E110,12*H110)&lt;=Ayarlar!$B$3),J110,0))</f>
        <v>20</v>
      </c>
      <c r="P110" s="14" t="n">
        <f aca="false">IF(OR(A110="",N110=""),"",N110+O110-M110)</f>
        <v>2</v>
      </c>
      <c r="Q110" s="16" t="str">
        <f aca="false">IF(A110="","",IF(M110&gt;=Ayarlar!$B$7,"ALARM",IF(M110&gt;=Ayarlar!$B$6,"Planla","")))</f>
        <v>ALARM</v>
      </c>
      <c r="R110" s="14" t="str">
        <f aca="false">IF(A110="","",IF(AND(L110&gt;=0,L110&lt;=Ayarlar!$B$9),"Evet",""))</f>
        <v/>
      </c>
      <c r="S110" s="16" t="str">
        <f aca="false">IF(A110="","",IF(N110="","Yeni personel",IF(P110&lt;0,"Kontrol et","")))</f>
        <v/>
      </c>
      <c r="T110" s="14" t="n">
        <f aca="false">IF(A110="","",IF(AND(G110=1,M110&gt;=Ayarlar!$B$6,OR(Ayarlar!$B$11="Tümü",C110=Ayarlar!$B$11)),M110+ROW()/100000,""))</f>
        <v>28.0011</v>
      </c>
    </row>
    <row r="111" customFormat="false" ht="15" hidden="false" customHeight="false" outlineLevel="0" collapsed="false">
      <c r="A111" s="18" t="str">
        <f aca="false">IF(Veri_Guncel!A111="","",Veri_Guncel!A111)</f>
        <v>S10110</v>
      </c>
      <c r="B111" s="18" t="str">
        <f aca="false">IF($A111="","",Veri_Guncel!B111)</f>
        <v>Burak Doğan</v>
      </c>
      <c r="C111" s="18" t="str">
        <f aca="false">IF($A111="","",Veri_Guncel!C111)</f>
        <v>Bölge 6</v>
      </c>
      <c r="D111" s="18" t="str">
        <f aca="false">IF($A111="","",Veri_Guncel!D111)</f>
        <v>Mağaza 6A</v>
      </c>
      <c r="E111" s="19" t="n">
        <f aca="false">IF($A111="","",Veri_Guncel!E111)</f>
        <v>46164</v>
      </c>
      <c r="F111" s="19" t="n">
        <f aca="false">IF($A111="","",Veri_Guncel!F111)</f>
        <v>33567</v>
      </c>
      <c r="G111" s="14" t="n">
        <f aca="false">IF(A111="","",IF(COUNTIF(Ayarlar!$A$15:$A$20,C111)&gt;0,1,0))</f>
        <v>1</v>
      </c>
      <c r="H111" s="14" t="n">
        <f aca="false">IF(A111="","",DATEDIF(E111,Ayarlar!$B$3,"y"))</f>
        <v>0</v>
      </c>
      <c r="I111" s="14" t="n">
        <f aca="false">IF(OR(A111="",F111=""),"",DATEDIF(F111,Ayarlar!$B$3,"y"))</f>
        <v>34</v>
      </c>
      <c r="J111" s="14" t="n">
        <f aca="false">IF(A111="","",IF(H111&lt;1,0,MAX(IF(H111&lt;5,14,IF(H111&lt;15,20,26)),IF(AND(I111&lt;&gt;"",OR(I111&lt;=18,I111&gt;=50)),20,0))))</f>
        <v>0</v>
      </c>
      <c r="K111" s="17" t="n">
        <f aca="false">IF(A111="","",EDATE(E111,12*(H111+1)))</f>
        <v>46529</v>
      </c>
      <c r="L111" s="14" t="n">
        <f aca="false">IF(A111="","",K111-Ayarlar!$B$3)</f>
        <v>250</v>
      </c>
      <c r="M111" s="18" t="n">
        <f aca="false">IF(A111="","",Veri_Guncel!H111)</f>
        <v>0</v>
      </c>
      <c r="N111" s="18" t="n">
        <f aca="false">IF(A111="","",IFERROR(INDEX(Veri_Onceki!$H:$H,MATCH(A111,Veri_Onceki!$A:$A,0)),""))</f>
        <v>0</v>
      </c>
      <c r="O111" s="14" t="n">
        <f aca="false">IF(A111="","",IF(AND(H111&gt;=1,EDATE(E111,12*H111)&gt;Ayarlar!$B$4,EDATE(E111,12*H111)&lt;=Ayarlar!$B$3),J111,0))</f>
        <v>0</v>
      </c>
      <c r="P111" s="14" t="n">
        <f aca="false">IF(OR(A111="",N111=""),"",N111+O111-M111)</f>
        <v>0</v>
      </c>
      <c r="Q111" s="16" t="str">
        <f aca="false">IF(A111="","",IF(M111&gt;=Ayarlar!$B$7,"ALARM",IF(M111&gt;=Ayarlar!$B$6,"Planla","")))</f>
        <v/>
      </c>
      <c r="R111" s="14" t="str">
        <f aca="false">IF(A111="","",IF(AND(L111&gt;=0,L111&lt;=Ayarlar!$B$9),"Evet",""))</f>
        <v/>
      </c>
      <c r="S111" s="16" t="str">
        <f aca="false">IF(A111="","",IF(N111="","Yeni personel",IF(P111&lt;0,"Kontrol et","")))</f>
        <v/>
      </c>
      <c r="T111" s="14" t="str">
        <f aca="false">IF(A111="","",IF(AND(G111=1,M111&gt;=Ayarlar!$B$6,OR(Ayarlar!$B$11="Tümü",C111=Ayarlar!$B$11)),M111+ROW()/100000,""))</f>
        <v/>
      </c>
    </row>
    <row r="112" customFormat="false" ht="15" hidden="false" customHeight="false" outlineLevel="0" collapsed="false">
      <c r="A112" s="18" t="str">
        <f aca="false">IF(Veri_Guncel!A112="","",Veri_Guncel!A112)</f>
        <v>S10111</v>
      </c>
      <c r="B112" s="18" t="str">
        <f aca="false">IF($A112="","",Veri_Guncel!B112)</f>
        <v>Selin Aslan</v>
      </c>
      <c r="C112" s="18" t="str">
        <f aca="false">IF($A112="","",Veri_Guncel!C112)</f>
        <v>Bölge 6</v>
      </c>
      <c r="D112" s="18" t="str">
        <f aca="false">IF($A112="","",Veri_Guncel!D112)</f>
        <v>Mağaza 6A</v>
      </c>
      <c r="E112" s="19" t="n">
        <f aca="false">IF($A112="","",Veri_Guncel!E112)</f>
        <v>41339</v>
      </c>
      <c r="F112" s="19" t="n">
        <f aca="false">IF($A112="","",Veri_Guncel!F112)</f>
        <v>36110</v>
      </c>
      <c r="G112" s="14" t="n">
        <f aca="false">IF(A112="","",IF(COUNTIF(Ayarlar!$A$15:$A$20,C112)&gt;0,1,0))</f>
        <v>1</v>
      </c>
      <c r="H112" s="14" t="n">
        <f aca="false">IF(A112="","",DATEDIF(E112,Ayarlar!$B$3,"y"))</f>
        <v>13</v>
      </c>
      <c r="I112" s="14" t="n">
        <f aca="false">IF(OR(A112="",F112=""),"",DATEDIF(F112,Ayarlar!$B$3,"y"))</f>
        <v>27</v>
      </c>
      <c r="J112" s="14" t="n">
        <f aca="false">IF(A112="","",IF(H112&lt;1,0,MAX(IF(H112&lt;5,14,IF(H112&lt;15,20,26)),IF(AND(I112&lt;&gt;"",OR(I112&lt;=18,I112&gt;=50)),20,0))))</f>
        <v>20</v>
      </c>
      <c r="K112" s="17" t="n">
        <f aca="false">IF(A112="","",EDATE(E112,12*(H112+1)))</f>
        <v>46452</v>
      </c>
      <c r="L112" s="14" t="n">
        <f aca="false">IF(A112="","",K112-Ayarlar!$B$3)</f>
        <v>173</v>
      </c>
      <c r="M112" s="18" t="n">
        <f aca="false">IF(A112="","",Veri_Guncel!H112)</f>
        <v>15</v>
      </c>
      <c r="N112" s="18" t="n">
        <f aca="false">IF(A112="","",IFERROR(INDEX(Veri_Onceki!$H:$H,MATCH(A112,Veri_Onceki!$A:$A,0)),""))</f>
        <v>15</v>
      </c>
      <c r="O112" s="14" t="n">
        <f aca="false">IF(A112="","",IF(AND(H112&gt;=1,EDATE(E112,12*H112)&gt;Ayarlar!$B$4,EDATE(E112,12*H112)&lt;=Ayarlar!$B$3),J112,0))</f>
        <v>0</v>
      </c>
      <c r="P112" s="14" t="n">
        <f aca="false">IF(OR(A112="",N112=""),"",N112+O112-M112)</f>
        <v>0</v>
      </c>
      <c r="Q112" s="16" t="str">
        <f aca="false">IF(A112="","",IF(M112&gt;=Ayarlar!$B$7,"ALARM",IF(M112&gt;=Ayarlar!$B$6,"Planla","")))</f>
        <v>Planla</v>
      </c>
      <c r="R112" s="14" t="str">
        <f aca="false">IF(A112="","",IF(AND(L112&gt;=0,L112&lt;=Ayarlar!$B$9),"Evet",""))</f>
        <v/>
      </c>
      <c r="S112" s="16" t="str">
        <f aca="false">IF(A112="","",IF(N112="","Yeni personel",IF(P112&lt;0,"Kontrol et","")))</f>
        <v/>
      </c>
      <c r="T112" s="14" t="n">
        <f aca="false">IF(A112="","",IF(AND(G112=1,M112&gt;=Ayarlar!$B$6,OR(Ayarlar!$B$11="Tümü",C112=Ayarlar!$B$11)),M112+ROW()/100000,""))</f>
        <v>15.00112</v>
      </c>
    </row>
    <row r="113" customFormat="false" ht="15" hidden="false" customHeight="false" outlineLevel="0" collapsed="false">
      <c r="A113" s="18" t="str">
        <f aca="false">IF(Veri_Guncel!A113="","",Veri_Guncel!A113)</f>
        <v>S10112</v>
      </c>
      <c r="B113" s="18" t="str">
        <f aca="false">IF($A113="","",Veri_Guncel!B113)</f>
        <v>Deniz Öztürk</v>
      </c>
      <c r="C113" s="18" t="str">
        <f aca="false">IF($A113="","",Veri_Guncel!C113)</f>
        <v>Bölge 6</v>
      </c>
      <c r="D113" s="18" t="str">
        <f aca="false">IF($A113="","",Veri_Guncel!D113)</f>
        <v>Mağaza 6B</v>
      </c>
      <c r="E113" s="19" t="n">
        <f aca="false">IF($A113="","",Veri_Guncel!E113)</f>
        <v>41808</v>
      </c>
      <c r="F113" s="19" t="n">
        <f aca="false">IF($A113="","",Veri_Guncel!F113)</f>
        <v>37989</v>
      </c>
      <c r="G113" s="14" t="n">
        <f aca="false">IF(A113="","",IF(COUNTIF(Ayarlar!$A$15:$A$20,C113)&gt;0,1,0))</f>
        <v>1</v>
      </c>
      <c r="H113" s="14" t="n">
        <f aca="false">IF(A113="","",DATEDIF(E113,Ayarlar!$B$3,"y"))</f>
        <v>12</v>
      </c>
      <c r="I113" s="14" t="n">
        <f aca="false">IF(OR(A113="",F113=""),"",DATEDIF(F113,Ayarlar!$B$3,"y"))</f>
        <v>22</v>
      </c>
      <c r="J113" s="14" t="n">
        <f aca="false">IF(A113="","",IF(H113&lt;1,0,MAX(IF(H113&lt;5,14,IF(H113&lt;15,20,26)),IF(AND(I113&lt;&gt;"",OR(I113&lt;=18,I113&gt;=50)),20,0))))</f>
        <v>20</v>
      </c>
      <c r="K113" s="17" t="n">
        <f aca="false">IF(A113="","",EDATE(E113,12*(H113+1)))</f>
        <v>46556</v>
      </c>
      <c r="L113" s="14" t="n">
        <f aca="false">IF(A113="","",K113-Ayarlar!$B$3)</f>
        <v>277</v>
      </c>
      <c r="M113" s="18" t="n">
        <f aca="false">IF(A113="","",Veri_Guncel!H113)</f>
        <v>19</v>
      </c>
      <c r="N113" s="18" t="n">
        <f aca="false">IF(A113="","",IFERROR(INDEX(Veri_Onceki!$H:$H,MATCH(A113,Veri_Onceki!$A:$A,0)),""))</f>
        <v>19</v>
      </c>
      <c r="O113" s="14" t="n">
        <f aca="false">IF(A113="","",IF(AND(H113&gt;=1,EDATE(E113,12*H113)&gt;Ayarlar!$B$4,EDATE(E113,12*H113)&lt;=Ayarlar!$B$3),J113,0))</f>
        <v>0</v>
      </c>
      <c r="P113" s="14" t="n">
        <f aca="false">IF(OR(A113="",N113=""),"",N113+O113-M113)</f>
        <v>0</v>
      </c>
      <c r="Q113" s="16" t="str">
        <f aca="false">IF(A113="","",IF(M113&gt;=Ayarlar!$B$7,"ALARM",IF(M113&gt;=Ayarlar!$B$6,"Planla","")))</f>
        <v>Planla</v>
      </c>
      <c r="R113" s="14" t="str">
        <f aca="false">IF(A113="","",IF(AND(L113&gt;=0,L113&lt;=Ayarlar!$B$9),"Evet",""))</f>
        <v/>
      </c>
      <c r="S113" s="16" t="str">
        <f aca="false">IF(A113="","",IF(N113="","Yeni personel",IF(P113&lt;0,"Kontrol et","")))</f>
        <v/>
      </c>
      <c r="T113" s="14" t="n">
        <f aca="false">IF(A113="","",IF(AND(G113=1,M113&gt;=Ayarlar!$B$6,OR(Ayarlar!$B$11="Tümü",C113=Ayarlar!$B$11)),M113+ROW()/100000,""))</f>
        <v>19.00113</v>
      </c>
    </row>
    <row r="114" customFormat="false" ht="15" hidden="false" customHeight="false" outlineLevel="0" collapsed="false">
      <c r="A114" s="18" t="str">
        <f aca="false">IF(Veri_Guncel!A114="","",Veri_Guncel!A114)</f>
        <v>S10113</v>
      </c>
      <c r="B114" s="18" t="str">
        <f aca="false">IF($A114="","",Veri_Guncel!B114)</f>
        <v>Umut Polat</v>
      </c>
      <c r="C114" s="18" t="str">
        <f aca="false">IF($A114="","",Veri_Guncel!C114)</f>
        <v>Bölge 6</v>
      </c>
      <c r="D114" s="18" t="str">
        <f aca="false">IF($A114="","",Veri_Guncel!D114)</f>
        <v>Mağaza 6B</v>
      </c>
      <c r="E114" s="19" t="n">
        <f aca="false">IF($A114="","",Veri_Guncel!E114)</f>
        <v>45824</v>
      </c>
      <c r="F114" s="19" t="n">
        <f aca="false">IF($A114="","",Veri_Guncel!F114)</f>
        <v>33143</v>
      </c>
      <c r="G114" s="14" t="n">
        <f aca="false">IF(A114="","",IF(COUNTIF(Ayarlar!$A$15:$A$20,C114)&gt;0,1,0))</f>
        <v>1</v>
      </c>
      <c r="H114" s="14" t="n">
        <f aca="false">IF(A114="","",DATEDIF(E114,Ayarlar!$B$3,"y"))</f>
        <v>1</v>
      </c>
      <c r="I114" s="14" t="n">
        <f aca="false">IF(OR(A114="",F114=""),"",DATEDIF(F114,Ayarlar!$B$3,"y"))</f>
        <v>35</v>
      </c>
      <c r="J114" s="14" t="n">
        <f aca="false">IF(A114="","",IF(H114&lt;1,0,MAX(IF(H114&lt;5,14,IF(H114&lt;15,20,26)),IF(AND(I114&lt;&gt;"",OR(I114&lt;=18,I114&gt;=50)),20,0))))</f>
        <v>14</v>
      </c>
      <c r="K114" s="17" t="n">
        <f aca="false">IF(A114="","",EDATE(E114,12*(H114+1)))</f>
        <v>46554</v>
      </c>
      <c r="L114" s="14" t="n">
        <f aca="false">IF(A114="","",K114-Ayarlar!$B$3)</f>
        <v>275</v>
      </c>
      <c r="M114" s="18" t="n">
        <f aca="false">IF(A114="","",Veri_Guncel!H114)</f>
        <v>6</v>
      </c>
      <c r="N114" s="18" t="n">
        <f aca="false">IF(A114="","",IFERROR(INDEX(Veri_Onceki!$H:$H,MATCH(A114,Veri_Onceki!$A:$A,0)),""))</f>
        <v>6</v>
      </c>
      <c r="O114" s="14" t="n">
        <f aca="false">IF(A114="","",IF(AND(H114&gt;=1,EDATE(E114,12*H114)&gt;Ayarlar!$B$4,EDATE(E114,12*H114)&lt;=Ayarlar!$B$3),J114,0))</f>
        <v>0</v>
      </c>
      <c r="P114" s="14" t="n">
        <f aca="false">IF(OR(A114="",N114=""),"",N114+O114-M114)</f>
        <v>0</v>
      </c>
      <c r="Q114" s="16" t="str">
        <f aca="false">IF(A114="","",IF(M114&gt;=Ayarlar!$B$7,"ALARM",IF(M114&gt;=Ayarlar!$B$6,"Planla","")))</f>
        <v/>
      </c>
      <c r="R114" s="14" t="str">
        <f aca="false">IF(A114="","",IF(AND(L114&gt;=0,L114&lt;=Ayarlar!$B$9),"Evet",""))</f>
        <v/>
      </c>
      <c r="S114" s="16" t="str">
        <f aca="false">IF(A114="","",IF(N114="","Yeni personel",IF(P114&lt;0,"Kontrol et","")))</f>
        <v/>
      </c>
      <c r="T114" s="14" t="str">
        <f aca="false">IF(A114="","",IF(AND(G114=1,M114&gt;=Ayarlar!$B$6,OR(Ayarlar!$B$11="Tümü",C114=Ayarlar!$B$11)),M114+ROW()/100000,""))</f>
        <v/>
      </c>
    </row>
    <row r="115" customFormat="false" ht="15" hidden="false" customHeight="false" outlineLevel="0" collapsed="false">
      <c r="A115" s="18" t="str">
        <f aca="false">IF(Veri_Guncel!A115="","",Veri_Guncel!A115)</f>
        <v>S10114</v>
      </c>
      <c r="B115" s="18" t="str">
        <f aca="false">IF($A115="","",Veri_Guncel!B115)</f>
        <v>Oğuz Polat</v>
      </c>
      <c r="C115" s="18" t="str">
        <f aca="false">IF($A115="","",Veri_Guncel!C115)</f>
        <v>Bölge 6</v>
      </c>
      <c r="D115" s="18" t="str">
        <f aca="false">IF($A115="","",Veri_Guncel!D115)</f>
        <v>Mağaza 6B</v>
      </c>
      <c r="E115" s="19" t="n">
        <f aca="false">IF($A115="","",Veri_Guncel!E115)</f>
        <v>43577</v>
      </c>
      <c r="F115" s="19" t="n">
        <f aca="false">IF($A115="","",Veri_Guncel!F115)</f>
        <v>33775</v>
      </c>
      <c r="G115" s="14" t="n">
        <f aca="false">IF(A115="","",IF(COUNTIF(Ayarlar!$A$15:$A$20,C115)&gt;0,1,0))</f>
        <v>1</v>
      </c>
      <c r="H115" s="14" t="n">
        <f aca="false">IF(A115="","",DATEDIF(E115,Ayarlar!$B$3,"y"))</f>
        <v>7</v>
      </c>
      <c r="I115" s="14" t="n">
        <f aca="false">IF(OR(A115="",F115=""),"",DATEDIF(F115,Ayarlar!$B$3,"y"))</f>
        <v>34</v>
      </c>
      <c r="J115" s="14" t="n">
        <f aca="false">IF(A115="","",IF(H115&lt;1,0,MAX(IF(H115&lt;5,14,IF(H115&lt;15,20,26)),IF(AND(I115&lt;&gt;"",OR(I115&lt;=18,I115&gt;=50)),20,0))))</f>
        <v>20</v>
      </c>
      <c r="K115" s="17" t="n">
        <f aca="false">IF(A115="","",EDATE(E115,12*(H115+1)))</f>
        <v>46499</v>
      </c>
      <c r="L115" s="14" t="n">
        <f aca="false">IF(A115="","",K115-Ayarlar!$B$3)</f>
        <v>220</v>
      </c>
      <c r="M115" s="18" t="n">
        <f aca="false">IF(A115="","",Veri_Guncel!H115)</f>
        <v>17</v>
      </c>
      <c r="N115" s="18" t="n">
        <f aca="false">IF(A115="","",IFERROR(INDEX(Veri_Onceki!$H:$H,MATCH(A115,Veri_Onceki!$A:$A,0)),""))</f>
        <v>17</v>
      </c>
      <c r="O115" s="14" t="n">
        <f aca="false">IF(A115="","",IF(AND(H115&gt;=1,EDATE(E115,12*H115)&gt;Ayarlar!$B$4,EDATE(E115,12*H115)&lt;=Ayarlar!$B$3),J115,0))</f>
        <v>0</v>
      </c>
      <c r="P115" s="14" t="n">
        <f aca="false">IF(OR(A115="",N115=""),"",N115+O115-M115)</f>
        <v>0</v>
      </c>
      <c r="Q115" s="16" t="str">
        <f aca="false">IF(A115="","",IF(M115&gt;=Ayarlar!$B$7,"ALARM",IF(M115&gt;=Ayarlar!$B$6,"Planla","")))</f>
        <v>Planla</v>
      </c>
      <c r="R115" s="14" t="str">
        <f aca="false">IF(A115="","",IF(AND(L115&gt;=0,L115&lt;=Ayarlar!$B$9),"Evet",""))</f>
        <v/>
      </c>
      <c r="S115" s="16" t="str">
        <f aca="false">IF(A115="","",IF(N115="","Yeni personel",IF(P115&lt;0,"Kontrol et","")))</f>
        <v/>
      </c>
      <c r="T115" s="14" t="n">
        <f aca="false">IF(A115="","",IF(AND(G115=1,M115&gt;=Ayarlar!$B$6,OR(Ayarlar!$B$11="Tümü",C115=Ayarlar!$B$11)),M115+ROW()/100000,""))</f>
        <v>17.00115</v>
      </c>
    </row>
    <row r="116" customFormat="false" ht="15" hidden="false" customHeight="false" outlineLevel="0" collapsed="false">
      <c r="A116" s="18" t="str">
        <f aca="false">IF(Veri_Guncel!A116="","",Veri_Guncel!A116)</f>
        <v>S10115</v>
      </c>
      <c r="B116" s="18" t="str">
        <f aca="false">IF($A116="","",Veri_Guncel!B116)</f>
        <v>Tolga Yıldız</v>
      </c>
      <c r="C116" s="18" t="str">
        <f aca="false">IF($A116="","",Veri_Guncel!C116)</f>
        <v>Bölge 6</v>
      </c>
      <c r="D116" s="18" t="str">
        <f aca="false">IF($A116="","",Veri_Guncel!D116)</f>
        <v>Mağaza 6B</v>
      </c>
      <c r="E116" s="19" t="n">
        <f aca="false">IF($A116="","",Veri_Guncel!E116)</f>
        <v>45403</v>
      </c>
      <c r="F116" s="19" t="n">
        <f aca="false">IF($A116="","",Veri_Guncel!F116)</f>
        <v>32255</v>
      </c>
      <c r="G116" s="14" t="n">
        <f aca="false">IF(A116="","",IF(COUNTIF(Ayarlar!$A$15:$A$20,C116)&gt;0,1,0))</f>
        <v>1</v>
      </c>
      <c r="H116" s="14" t="n">
        <f aca="false">IF(A116="","",DATEDIF(E116,Ayarlar!$B$3,"y"))</f>
        <v>2</v>
      </c>
      <c r="I116" s="14" t="n">
        <f aca="false">IF(OR(A116="",F116=""),"",DATEDIF(F116,Ayarlar!$B$3,"y"))</f>
        <v>38</v>
      </c>
      <c r="J116" s="14" t="n">
        <f aca="false">IF(A116="","",IF(H116&lt;1,0,MAX(IF(H116&lt;5,14,IF(H116&lt;15,20,26)),IF(AND(I116&lt;&gt;"",OR(I116&lt;=18,I116&gt;=50)),20,0))))</f>
        <v>14</v>
      </c>
      <c r="K116" s="17" t="n">
        <f aca="false">IF(A116="","",EDATE(E116,12*(H116+1)))</f>
        <v>46498</v>
      </c>
      <c r="L116" s="14" t="n">
        <f aca="false">IF(A116="","",K116-Ayarlar!$B$3)</f>
        <v>219</v>
      </c>
      <c r="M116" s="18" t="n">
        <f aca="false">IF(A116="","",Veri_Guncel!H116)</f>
        <v>4</v>
      </c>
      <c r="N116" s="18" t="n">
        <f aca="false">IF(A116="","",IFERROR(INDEX(Veri_Onceki!$H:$H,MATCH(A116,Veri_Onceki!$A:$A,0)),""))</f>
        <v>4</v>
      </c>
      <c r="O116" s="14" t="n">
        <f aca="false">IF(A116="","",IF(AND(H116&gt;=1,EDATE(E116,12*H116)&gt;Ayarlar!$B$4,EDATE(E116,12*H116)&lt;=Ayarlar!$B$3),J116,0))</f>
        <v>0</v>
      </c>
      <c r="P116" s="14" t="n">
        <f aca="false">IF(OR(A116="",N116=""),"",N116+O116-M116)</f>
        <v>0</v>
      </c>
      <c r="Q116" s="16" t="str">
        <f aca="false">IF(A116="","",IF(M116&gt;=Ayarlar!$B$7,"ALARM",IF(M116&gt;=Ayarlar!$B$6,"Planla","")))</f>
        <v/>
      </c>
      <c r="R116" s="14" t="str">
        <f aca="false">IF(A116="","",IF(AND(L116&gt;=0,L116&lt;=Ayarlar!$B$9),"Evet",""))</f>
        <v/>
      </c>
      <c r="S116" s="16" t="str">
        <f aca="false">IF(A116="","",IF(N116="","Yeni personel",IF(P116&lt;0,"Kontrol et","")))</f>
        <v/>
      </c>
      <c r="T116" s="14" t="str">
        <f aca="false">IF(A116="","",IF(AND(G116=1,M116&gt;=Ayarlar!$B$6,OR(Ayarlar!$B$11="Tümü",C116=Ayarlar!$B$11)),M116+ROW()/100000,""))</f>
        <v/>
      </c>
    </row>
    <row r="117" customFormat="false" ht="15" hidden="false" customHeight="false" outlineLevel="0" collapsed="false">
      <c r="A117" s="18" t="str">
        <f aca="false">IF(Veri_Guncel!A117="","",Veri_Guncel!A117)</f>
        <v>S10116</v>
      </c>
      <c r="B117" s="18" t="str">
        <f aca="false">IF($A117="","",Veri_Guncel!B117)</f>
        <v>Tolga Arslan</v>
      </c>
      <c r="C117" s="18" t="str">
        <f aca="false">IF($A117="","",Veri_Guncel!C117)</f>
        <v>Bölge 6</v>
      </c>
      <c r="D117" s="18" t="str">
        <f aca="false">IF($A117="","",Veri_Guncel!D117)</f>
        <v>Mağaza 6B</v>
      </c>
      <c r="E117" s="19" t="n">
        <f aca="false">IF($A117="","",Veri_Guncel!E117)</f>
        <v>41979</v>
      </c>
      <c r="F117" s="19" t="n">
        <f aca="false">IF($A117="","",Veri_Guncel!F117)</f>
        <v>32369</v>
      </c>
      <c r="G117" s="14" t="n">
        <f aca="false">IF(A117="","",IF(COUNTIF(Ayarlar!$A$15:$A$20,C117)&gt;0,1,0))</f>
        <v>1</v>
      </c>
      <c r="H117" s="14" t="n">
        <f aca="false">IF(A117="","",DATEDIF(E117,Ayarlar!$B$3,"y"))</f>
        <v>11</v>
      </c>
      <c r="I117" s="14" t="n">
        <f aca="false">IF(OR(A117="",F117=""),"",DATEDIF(F117,Ayarlar!$B$3,"y"))</f>
        <v>38</v>
      </c>
      <c r="J117" s="14" t="n">
        <f aca="false">IF(A117="","",IF(H117&lt;1,0,MAX(IF(H117&lt;5,14,IF(H117&lt;15,20,26)),IF(AND(I117&lt;&gt;"",OR(I117&lt;=18,I117&gt;=50)),20,0))))</f>
        <v>20</v>
      </c>
      <c r="K117" s="17" t="n">
        <f aca="false">IF(A117="","",EDATE(E117,12*(H117+1)))</f>
        <v>46362</v>
      </c>
      <c r="L117" s="14" t="n">
        <f aca="false">IF(A117="","",K117-Ayarlar!$B$3)</f>
        <v>83</v>
      </c>
      <c r="M117" s="18" t="n">
        <f aca="false">IF(A117="","",Veri_Guncel!H117)</f>
        <v>17</v>
      </c>
      <c r="N117" s="18" t="n">
        <f aca="false">IF(A117="","",IFERROR(INDEX(Veri_Onceki!$H:$H,MATCH(A117,Veri_Onceki!$A:$A,0)),""))</f>
        <v>17</v>
      </c>
      <c r="O117" s="14" t="n">
        <f aca="false">IF(A117="","",IF(AND(H117&gt;=1,EDATE(E117,12*H117)&gt;Ayarlar!$B$4,EDATE(E117,12*H117)&lt;=Ayarlar!$B$3),J117,0))</f>
        <v>0</v>
      </c>
      <c r="P117" s="14" t="n">
        <f aca="false">IF(OR(A117="",N117=""),"",N117+O117-M117)</f>
        <v>0</v>
      </c>
      <c r="Q117" s="16" t="str">
        <f aca="false">IF(A117="","",IF(M117&gt;=Ayarlar!$B$7,"ALARM",IF(M117&gt;=Ayarlar!$B$6,"Planla","")))</f>
        <v>Planla</v>
      </c>
      <c r="R117" s="14" t="str">
        <f aca="false">IF(A117="","",IF(AND(L117&gt;=0,L117&lt;=Ayarlar!$B$9),"Evet",""))</f>
        <v/>
      </c>
      <c r="S117" s="16" t="str">
        <f aca="false">IF(A117="","",IF(N117="","Yeni personel",IF(P117&lt;0,"Kontrol et","")))</f>
        <v/>
      </c>
      <c r="T117" s="14" t="n">
        <f aca="false">IF(A117="","",IF(AND(G117=1,M117&gt;=Ayarlar!$B$6,OR(Ayarlar!$B$11="Tümü",C117=Ayarlar!$B$11)),M117+ROW()/100000,""))</f>
        <v>17.00117</v>
      </c>
    </row>
    <row r="118" customFormat="false" ht="15" hidden="false" customHeight="false" outlineLevel="0" collapsed="false">
      <c r="A118" s="18" t="str">
        <f aca="false">IF(Veri_Guncel!A118="","",Veri_Guncel!A118)</f>
        <v>S10117</v>
      </c>
      <c r="B118" s="18" t="str">
        <f aca="false">IF($A118="","",Veri_Guncel!B118)</f>
        <v>Gizem Şahin</v>
      </c>
      <c r="C118" s="18" t="str">
        <f aca="false">IF($A118="","",Veri_Guncel!C118)</f>
        <v>Bölge 6</v>
      </c>
      <c r="D118" s="18" t="str">
        <f aca="false">IF($A118="","",Veri_Guncel!D118)</f>
        <v>Mağaza 6B</v>
      </c>
      <c r="E118" s="19" t="n">
        <f aca="false">IF($A118="","",Veri_Guncel!E118)</f>
        <v>43352</v>
      </c>
      <c r="F118" s="19" t="n">
        <f aca="false">IF($A118="","",Veri_Guncel!F118)</f>
        <v>28419</v>
      </c>
      <c r="G118" s="14" t="n">
        <f aca="false">IF(A118="","",IF(COUNTIF(Ayarlar!$A$15:$A$20,C118)&gt;0,1,0))</f>
        <v>1</v>
      </c>
      <c r="H118" s="14" t="n">
        <f aca="false">IF(A118="","",DATEDIF(E118,Ayarlar!$B$3,"y"))</f>
        <v>8</v>
      </c>
      <c r="I118" s="14" t="n">
        <f aca="false">IF(OR(A118="",F118=""),"",DATEDIF(F118,Ayarlar!$B$3,"y"))</f>
        <v>48</v>
      </c>
      <c r="J118" s="14" t="n">
        <f aca="false">IF(A118="","",IF(H118&lt;1,0,MAX(IF(H118&lt;5,14,IF(H118&lt;15,20,26)),IF(AND(I118&lt;&gt;"",OR(I118&lt;=18,I118&gt;=50)),20,0))))</f>
        <v>20</v>
      </c>
      <c r="K118" s="17" t="n">
        <f aca="false">IF(A118="","",EDATE(E118,12*(H118+1)))</f>
        <v>46639</v>
      </c>
      <c r="L118" s="14" t="n">
        <f aca="false">IF(A118="","",K118-Ayarlar!$B$3)</f>
        <v>360</v>
      </c>
      <c r="M118" s="18" t="n">
        <f aca="false">IF(A118="","",Veri_Guncel!H118)</f>
        <v>24</v>
      </c>
      <c r="N118" s="18" t="n">
        <f aca="false">IF(A118="","",IFERROR(INDEX(Veri_Onceki!$H:$H,MATCH(A118,Veri_Onceki!$A:$A,0)),""))</f>
        <v>11</v>
      </c>
      <c r="O118" s="14" t="n">
        <f aca="false">IF(A118="","",IF(AND(H118&gt;=1,EDATE(E118,12*H118)&gt;Ayarlar!$B$4,EDATE(E118,12*H118)&lt;=Ayarlar!$B$3),J118,0))</f>
        <v>20</v>
      </c>
      <c r="P118" s="14" t="n">
        <f aca="false">IF(OR(A118="",N118=""),"",N118+O118-M118)</f>
        <v>7</v>
      </c>
      <c r="Q118" s="16" t="str">
        <f aca="false">IF(A118="","",IF(M118&gt;=Ayarlar!$B$7,"ALARM",IF(M118&gt;=Ayarlar!$B$6,"Planla","")))</f>
        <v>ALARM</v>
      </c>
      <c r="R118" s="14" t="str">
        <f aca="false">IF(A118="","",IF(AND(L118&gt;=0,L118&lt;=Ayarlar!$B$9),"Evet",""))</f>
        <v/>
      </c>
      <c r="S118" s="16" t="str">
        <f aca="false">IF(A118="","",IF(N118="","Yeni personel",IF(P118&lt;0,"Kontrol et","")))</f>
        <v/>
      </c>
      <c r="T118" s="14" t="n">
        <f aca="false">IF(A118="","",IF(AND(G118=1,M118&gt;=Ayarlar!$B$6,OR(Ayarlar!$B$11="Tümü",C118=Ayarlar!$B$11)),M118+ROW()/100000,""))</f>
        <v>24.00118</v>
      </c>
    </row>
    <row r="119" customFormat="false" ht="15" hidden="false" customHeight="false" outlineLevel="0" collapsed="false">
      <c r="A119" s="18" t="str">
        <f aca="false">IF(Veri_Guncel!A119="","",Veri_Guncel!A119)</f>
        <v>S10118</v>
      </c>
      <c r="B119" s="18" t="str">
        <f aca="false">IF($A119="","",Veri_Guncel!B119)</f>
        <v>Ayşe Öztürk</v>
      </c>
      <c r="C119" s="18" t="str">
        <f aca="false">IF($A119="","",Veri_Guncel!C119)</f>
        <v>Bölge 6</v>
      </c>
      <c r="D119" s="18" t="str">
        <f aca="false">IF($A119="","",Veri_Guncel!D119)</f>
        <v>Mağaza 6B</v>
      </c>
      <c r="E119" s="19" t="n">
        <f aca="false">IF($A119="","",Veri_Guncel!E119)</f>
        <v>44107</v>
      </c>
      <c r="F119" s="19" t="n">
        <f aca="false">IF($A119="","",Veri_Guncel!F119)</f>
        <v>31296</v>
      </c>
      <c r="G119" s="14" t="n">
        <f aca="false">IF(A119="","",IF(COUNTIF(Ayarlar!$A$15:$A$20,C119)&gt;0,1,0))</f>
        <v>1</v>
      </c>
      <c r="H119" s="14" t="n">
        <f aca="false">IF(A119="","",DATEDIF(E119,Ayarlar!$B$3,"y"))</f>
        <v>5</v>
      </c>
      <c r="I119" s="14" t="n">
        <f aca="false">IF(OR(A119="",F119=""),"",DATEDIF(F119,Ayarlar!$B$3,"y"))</f>
        <v>41</v>
      </c>
      <c r="J119" s="14" t="n">
        <f aca="false">IF(A119="","",IF(H119&lt;1,0,MAX(IF(H119&lt;5,14,IF(H119&lt;15,20,26)),IF(AND(I119&lt;&gt;"",OR(I119&lt;=18,I119&gt;=50)),20,0))))</f>
        <v>20</v>
      </c>
      <c r="K119" s="17" t="n">
        <f aca="false">IF(A119="","",EDATE(E119,12*(H119+1)))</f>
        <v>46298</v>
      </c>
      <c r="L119" s="14" t="n">
        <f aca="false">IF(A119="","",K119-Ayarlar!$B$3)</f>
        <v>19</v>
      </c>
      <c r="M119" s="18" t="n">
        <f aca="false">IF(A119="","",Veri_Guncel!H119)</f>
        <v>21</v>
      </c>
      <c r="N119" s="18" t="n">
        <f aca="false">IF(A119="","",IFERROR(INDEX(Veri_Onceki!$H:$H,MATCH(A119,Veri_Onceki!$A:$A,0)),""))</f>
        <v>21</v>
      </c>
      <c r="O119" s="14" t="n">
        <f aca="false">IF(A119="","",IF(AND(H119&gt;=1,EDATE(E119,12*H119)&gt;Ayarlar!$B$4,EDATE(E119,12*H119)&lt;=Ayarlar!$B$3),J119,0))</f>
        <v>0</v>
      </c>
      <c r="P119" s="14" t="n">
        <f aca="false">IF(OR(A119="",N119=""),"",N119+O119-M119)</f>
        <v>0</v>
      </c>
      <c r="Q119" s="16" t="str">
        <f aca="false">IF(A119="","",IF(M119&gt;=Ayarlar!$B$7,"ALARM",IF(M119&gt;=Ayarlar!$B$6,"Planla","")))</f>
        <v>ALARM</v>
      </c>
      <c r="R119" s="14" t="str">
        <f aca="false">IF(A119="","",IF(AND(L119&gt;=0,L119&lt;=Ayarlar!$B$9),"Evet",""))</f>
        <v>Evet</v>
      </c>
      <c r="S119" s="16" t="str">
        <f aca="false">IF(A119="","",IF(N119="","Yeni personel",IF(P119&lt;0,"Kontrol et","")))</f>
        <v/>
      </c>
      <c r="T119" s="14" t="n">
        <f aca="false">IF(A119="","",IF(AND(G119=1,M119&gt;=Ayarlar!$B$6,OR(Ayarlar!$B$11="Tümü",C119=Ayarlar!$B$11)),M119+ROW()/100000,""))</f>
        <v>21.00119</v>
      </c>
    </row>
    <row r="120" customFormat="false" ht="15" hidden="false" customHeight="false" outlineLevel="0" collapsed="false">
      <c r="A120" s="18" t="str">
        <f aca="false">IF(Veri_Guncel!A120="","",Veri_Guncel!A120)</f>
        <v>S10119</v>
      </c>
      <c r="B120" s="18" t="str">
        <f aca="false">IF($A120="","",Veri_Guncel!B120)</f>
        <v>Can Kurt</v>
      </c>
      <c r="C120" s="18" t="str">
        <f aca="false">IF($A120="","",Veri_Guncel!C120)</f>
        <v>Bölge 6</v>
      </c>
      <c r="D120" s="18" t="str">
        <f aca="false">IF($A120="","",Veri_Guncel!D120)</f>
        <v>Mağaza 6B</v>
      </c>
      <c r="E120" s="19" t="n">
        <f aca="false">IF($A120="","",Veri_Guncel!E120)</f>
        <v>45640</v>
      </c>
      <c r="F120" s="19" t="n">
        <f aca="false">IF($A120="","",Veri_Guncel!F120)</f>
        <v>35570</v>
      </c>
      <c r="G120" s="14" t="n">
        <f aca="false">IF(A120="","",IF(COUNTIF(Ayarlar!$A$15:$A$20,C120)&gt;0,1,0))</f>
        <v>1</v>
      </c>
      <c r="H120" s="14" t="n">
        <f aca="false">IF(A120="","",DATEDIF(E120,Ayarlar!$B$3,"y"))</f>
        <v>1</v>
      </c>
      <c r="I120" s="14" t="n">
        <f aca="false">IF(OR(A120="",F120=""),"",DATEDIF(F120,Ayarlar!$B$3,"y"))</f>
        <v>29</v>
      </c>
      <c r="J120" s="14" t="n">
        <f aca="false">IF(A120="","",IF(H120&lt;1,0,MAX(IF(H120&lt;5,14,IF(H120&lt;15,20,26)),IF(AND(I120&lt;&gt;"",OR(I120&lt;=18,I120&gt;=50)),20,0))))</f>
        <v>14</v>
      </c>
      <c r="K120" s="17" t="n">
        <f aca="false">IF(A120="","",EDATE(E120,12*(H120+1)))</f>
        <v>46370</v>
      </c>
      <c r="L120" s="14" t="n">
        <f aca="false">IF(A120="","",K120-Ayarlar!$B$3)</f>
        <v>91</v>
      </c>
      <c r="M120" s="18" t="n">
        <f aca="false">IF(A120="","",Veri_Guncel!H120)</f>
        <v>21</v>
      </c>
      <c r="N120" s="18" t="n">
        <f aca="false">IF(A120="","",IFERROR(INDEX(Veri_Onceki!$H:$H,MATCH(A120,Veri_Onceki!$A:$A,0)),""))</f>
        <v>21</v>
      </c>
      <c r="O120" s="14" t="n">
        <f aca="false">IF(A120="","",IF(AND(H120&gt;=1,EDATE(E120,12*H120)&gt;Ayarlar!$B$4,EDATE(E120,12*H120)&lt;=Ayarlar!$B$3),J120,0))</f>
        <v>0</v>
      </c>
      <c r="P120" s="14" t="n">
        <f aca="false">IF(OR(A120="",N120=""),"",N120+O120-M120)</f>
        <v>0</v>
      </c>
      <c r="Q120" s="16" t="str">
        <f aca="false">IF(A120="","",IF(M120&gt;=Ayarlar!$B$7,"ALARM",IF(M120&gt;=Ayarlar!$B$6,"Planla","")))</f>
        <v>ALARM</v>
      </c>
      <c r="R120" s="14" t="str">
        <f aca="false">IF(A120="","",IF(AND(L120&gt;=0,L120&lt;=Ayarlar!$B$9),"Evet",""))</f>
        <v/>
      </c>
      <c r="S120" s="16" t="str">
        <f aca="false">IF(A120="","",IF(N120="","Yeni personel",IF(P120&lt;0,"Kontrol et","")))</f>
        <v/>
      </c>
      <c r="T120" s="14" t="n">
        <f aca="false">IF(A120="","",IF(AND(G120=1,M120&gt;=Ayarlar!$B$6,OR(Ayarlar!$B$11="Tümü",C120=Ayarlar!$B$11)),M120+ROW()/100000,""))</f>
        <v>21.0012</v>
      </c>
    </row>
    <row r="121" customFormat="false" ht="15" hidden="false" customHeight="false" outlineLevel="0" collapsed="false">
      <c r="A121" s="18" t="str">
        <f aca="false">IF(Veri_Guncel!A121="","",Veri_Guncel!A121)</f>
        <v>S10120</v>
      </c>
      <c r="B121" s="18" t="str">
        <f aca="false">IF($A121="","",Veri_Guncel!B121)</f>
        <v>Umut Arslan</v>
      </c>
      <c r="C121" s="18" t="str">
        <f aca="false">IF($A121="","",Veri_Guncel!C121)</f>
        <v>Bölge 6</v>
      </c>
      <c r="D121" s="18" t="str">
        <f aca="false">IF($A121="","",Veri_Guncel!D121)</f>
        <v>Mağaza 6C</v>
      </c>
      <c r="E121" s="19" t="n">
        <f aca="false">IF($A121="","",Veri_Guncel!E121)</f>
        <v>40887</v>
      </c>
      <c r="F121" s="19" t="n">
        <f aca="false">IF($A121="","",Veri_Guncel!F121)</f>
        <v>35253</v>
      </c>
      <c r="G121" s="14" t="n">
        <f aca="false">IF(A121="","",IF(COUNTIF(Ayarlar!$A$15:$A$20,C121)&gt;0,1,0))</f>
        <v>1</v>
      </c>
      <c r="H121" s="14" t="n">
        <f aca="false">IF(A121="","",DATEDIF(E121,Ayarlar!$B$3,"y"))</f>
        <v>14</v>
      </c>
      <c r="I121" s="14" t="n">
        <f aca="false">IF(OR(A121="",F121=""),"",DATEDIF(F121,Ayarlar!$B$3,"y"))</f>
        <v>30</v>
      </c>
      <c r="J121" s="14" t="n">
        <f aca="false">IF(A121="","",IF(H121&lt;1,0,MAX(IF(H121&lt;5,14,IF(H121&lt;15,20,26)),IF(AND(I121&lt;&gt;"",OR(I121&lt;=18,I121&gt;=50)),20,0))))</f>
        <v>20</v>
      </c>
      <c r="K121" s="17" t="n">
        <f aca="false">IF(A121="","",EDATE(E121,12*(H121+1)))</f>
        <v>46366</v>
      </c>
      <c r="L121" s="14" t="n">
        <f aca="false">IF(A121="","",K121-Ayarlar!$B$3)</f>
        <v>87</v>
      </c>
      <c r="M121" s="18" t="n">
        <f aca="false">IF(A121="","",Veri_Guncel!H121)</f>
        <v>19</v>
      </c>
      <c r="N121" s="18" t="n">
        <f aca="false">IF(A121="","",IFERROR(INDEX(Veri_Onceki!$H:$H,MATCH(A121,Veri_Onceki!$A:$A,0)),""))</f>
        <v>21</v>
      </c>
      <c r="O121" s="14" t="n">
        <f aca="false">IF(A121="","",IF(AND(H121&gt;=1,EDATE(E121,12*H121)&gt;Ayarlar!$B$4,EDATE(E121,12*H121)&lt;=Ayarlar!$B$3),J121,0))</f>
        <v>0</v>
      </c>
      <c r="P121" s="14" t="n">
        <f aca="false">IF(OR(A121="",N121=""),"",N121+O121-M121)</f>
        <v>2</v>
      </c>
      <c r="Q121" s="16" t="str">
        <f aca="false">IF(A121="","",IF(M121&gt;=Ayarlar!$B$7,"ALARM",IF(M121&gt;=Ayarlar!$B$6,"Planla","")))</f>
        <v>Planla</v>
      </c>
      <c r="R121" s="14" t="str">
        <f aca="false">IF(A121="","",IF(AND(L121&gt;=0,L121&lt;=Ayarlar!$B$9),"Evet",""))</f>
        <v/>
      </c>
      <c r="S121" s="16" t="str">
        <f aca="false">IF(A121="","",IF(N121="","Yeni personel",IF(P121&lt;0,"Kontrol et","")))</f>
        <v/>
      </c>
      <c r="T121" s="14" t="n">
        <f aca="false">IF(A121="","",IF(AND(G121=1,M121&gt;=Ayarlar!$B$6,OR(Ayarlar!$B$11="Tümü",C121=Ayarlar!$B$11)),M121+ROW()/100000,""))</f>
        <v>19.00121</v>
      </c>
    </row>
    <row r="122" customFormat="false" ht="15" hidden="false" customHeight="false" outlineLevel="0" collapsed="false">
      <c r="A122" s="18" t="str">
        <f aca="false">IF(Veri_Guncel!A122="","",Veri_Guncel!A122)</f>
        <v>S10121</v>
      </c>
      <c r="B122" s="18" t="str">
        <f aca="false">IF($A122="","",Veri_Guncel!B122)</f>
        <v>Selin Aslan</v>
      </c>
      <c r="C122" s="18" t="str">
        <f aca="false">IF($A122="","",Veri_Guncel!C122)</f>
        <v>Bölge 6</v>
      </c>
      <c r="D122" s="18" t="str">
        <f aca="false">IF($A122="","",Veri_Guncel!D122)</f>
        <v>Mağaza 6C</v>
      </c>
      <c r="E122" s="19" t="n">
        <f aca="false">IF($A122="","",Veri_Guncel!E122)</f>
        <v>45148</v>
      </c>
      <c r="F122" s="19" t="n">
        <f aca="false">IF($A122="","",Veri_Guncel!F122)</f>
        <v>31434</v>
      </c>
      <c r="G122" s="14" t="n">
        <f aca="false">IF(A122="","",IF(COUNTIF(Ayarlar!$A$15:$A$20,C122)&gt;0,1,0))</f>
        <v>1</v>
      </c>
      <c r="H122" s="14" t="n">
        <f aca="false">IF(A122="","",DATEDIF(E122,Ayarlar!$B$3,"y"))</f>
        <v>3</v>
      </c>
      <c r="I122" s="14" t="n">
        <f aca="false">IF(OR(A122="",F122=""),"",DATEDIF(F122,Ayarlar!$B$3,"y"))</f>
        <v>40</v>
      </c>
      <c r="J122" s="14" t="n">
        <f aca="false">IF(A122="","",IF(H122&lt;1,0,MAX(IF(H122&lt;5,14,IF(H122&lt;15,20,26)),IF(AND(I122&lt;&gt;"",OR(I122&lt;=18,I122&gt;=50)),20,0))))</f>
        <v>14</v>
      </c>
      <c r="K122" s="17" t="n">
        <f aca="false">IF(A122="","",EDATE(E122,12*(H122+1)))</f>
        <v>46609</v>
      </c>
      <c r="L122" s="14" t="n">
        <f aca="false">IF(A122="","",K122-Ayarlar!$B$3)</f>
        <v>330</v>
      </c>
      <c r="M122" s="18" t="n">
        <f aca="false">IF(A122="","",Veri_Guncel!H122)</f>
        <v>10</v>
      </c>
      <c r="N122" s="18" t="n">
        <f aca="false">IF(A122="","",IFERROR(INDEX(Veri_Onceki!$H:$H,MATCH(A122,Veri_Onceki!$A:$A,0)),""))</f>
        <v>1</v>
      </c>
      <c r="O122" s="14" t="n">
        <f aca="false">IF(A122="","",IF(AND(H122&gt;=1,EDATE(E122,12*H122)&gt;Ayarlar!$B$4,EDATE(E122,12*H122)&lt;=Ayarlar!$B$3),J122,0))</f>
        <v>14</v>
      </c>
      <c r="P122" s="14" t="n">
        <f aca="false">IF(OR(A122="",N122=""),"",N122+O122-M122)</f>
        <v>5</v>
      </c>
      <c r="Q122" s="16" t="str">
        <f aca="false">IF(A122="","",IF(M122&gt;=Ayarlar!$B$7,"ALARM",IF(M122&gt;=Ayarlar!$B$6,"Planla","")))</f>
        <v/>
      </c>
      <c r="R122" s="14" t="str">
        <f aca="false">IF(A122="","",IF(AND(L122&gt;=0,L122&lt;=Ayarlar!$B$9),"Evet",""))</f>
        <v/>
      </c>
      <c r="S122" s="16" t="str">
        <f aca="false">IF(A122="","",IF(N122="","Yeni personel",IF(P122&lt;0,"Kontrol et","")))</f>
        <v/>
      </c>
      <c r="T122" s="14" t="str">
        <f aca="false">IF(A122="","",IF(AND(G122=1,M122&gt;=Ayarlar!$B$6,OR(Ayarlar!$B$11="Tümü",C122=Ayarlar!$B$11)),M122+ROW()/100000,""))</f>
        <v/>
      </c>
    </row>
    <row r="123" customFormat="false" ht="15" hidden="false" customHeight="false" outlineLevel="0" collapsed="false">
      <c r="A123" s="18" t="str">
        <f aca="false">IF(Veri_Guncel!A123="","",Veri_Guncel!A123)</f>
        <v>S10122</v>
      </c>
      <c r="B123" s="18" t="str">
        <f aca="false">IF($A123="","",Veri_Guncel!B123)</f>
        <v>Can Öztürk</v>
      </c>
      <c r="C123" s="18" t="str">
        <f aca="false">IF($A123="","",Veri_Guncel!C123)</f>
        <v>Bölge 6</v>
      </c>
      <c r="D123" s="18" t="str">
        <f aca="false">IF($A123="","",Veri_Guncel!D123)</f>
        <v>Mağaza 6C</v>
      </c>
      <c r="E123" s="19" t="n">
        <f aca="false">IF($A123="","",Veri_Guncel!E123)</f>
        <v>44453</v>
      </c>
      <c r="F123" s="19" t="n">
        <f aca="false">IF($A123="","",Veri_Guncel!F123)</f>
        <v>37995</v>
      </c>
      <c r="G123" s="14" t="n">
        <f aca="false">IF(A123="","",IF(COUNTIF(Ayarlar!$A$15:$A$20,C123)&gt;0,1,0))</f>
        <v>1</v>
      </c>
      <c r="H123" s="14" t="n">
        <f aca="false">IF(A123="","",DATEDIF(E123,Ayarlar!$B$3,"y"))</f>
        <v>5</v>
      </c>
      <c r="I123" s="14" t="n">
        <f aca="false">IF(OR(A123="",F123=""),"",DATEDIF(F123,Ayarlar!$B$3,"y"))</f>
        <v>22</v>
      </c>
      <c r="J123" s="14" t="n">
        <f aca="false">IF(A123="","",IF(H123&lt;1,0,MAX(IF(H123&lt;5,14,IF(H123&lt;15,20,26)),IF(AND(I123&lt;&gt;"",OR(I123&lt;=18,I123&gt;=50)),20,0))))</f>
        <v>20</v>
      </c>
      <c r="K123" s="17" t="n">
        <f aca="false">IF(A123="","",EDATE(E123,12*(H123+1)))</f>
        <v>46644</v>
      </c>
      <c r="L123" s="14" t="n">
        <f aca="false">IF(A123="","",K123-Ayarlar!$B$3)</f>
        <v>365</v>
      </c>
      <c r="M123" s="18" t="n">
        <f aca="false">IF(A123="","",Veri_Guncel!H123)</f>
        <v>19</v>
      </c>
      <c r="N123" s="18" t="n">
        <f aca="false">IF(A123="","",IFERROR(INDEX(Veri_Onceki!$H:$H,MATCH(A123,Veri_Onceki!$A:$A,0)),""))</f>
        <v>4</v>
      </c>
      <c r="O123" s="14" t="n">
        <f aca="false">IF(A123="","",IF(AND(H123&gt;=1,EDATE(E123,12*H123)&gt;Ayarlar!$B$4,EDATE(E123,12*H123)&lt;=Ayarlar!$B$3),J123,0))</f>
        <v>20</v>
      </c>
      <c r="P123" s="14" t="n">
        <f aca="false">IF(OR(A123="",N123=""),"",N123+O123-M123)</f>
        <v>5</v>
      </c>
      <c r="Q123" s="16" t="str">
        <f aca="false">IF(A123="","",IF(M123&gt;=Ayarlar!$B$7,"ALARM",IF(M123&gt;=Ayarlar!$B$6,"Planla","")))</f>
        <v>Planla</v>
      </c>
      <c r="R123" s="14" t="str">
        <f aca="false">IF(A123="","",IF(AND(L123&gt;=0,L123&lt;=Ayarlar!$B$9),"Evet",""))</f>
        <v/>
      </c>
      <c r="S123" s="16" t="str">
        <f aca="false">IF(A123="","",IF(N123="","Yeni personel",IF(P123&lt;0,"Kontrol et","")))</f>
        <v/>
      </c>
      <c r="T123" s="14" t="n">
        <f aca="false">IF(A123="","",IF(AND(G123=1,M123&gt;=Ayarlar!$B$6,OR(Ayarlar!$B$11="Tümü",C123=Ayarlar!$B$11)),M123+ROW()/100000,""))</f>
        <v>19.00123</v>
      </c>
    </row>
    <row r="124" customFormat="false" ht="15" hidden="false" customHeight="false" outlineLevel="0" collapsed="false">
      <c r="A124" s="18" t="str">
        <f aca="false">IF(Veri_Guncel!A124="","",Veri_Guncel!A124)</f>
        <v>S10123</v>
      </c>
      <c r="B124" s="18" t="str">
        <f aca="false">IF($A124="","",Veri_Guncel!B124)</f>
        <v>Can Kılıç</v>
      </c>
      <c r="C124" s="18" t="str">
        <f aca="false">IF($A124="","",Veri_Guncel!C124)</f>
        <v>Bölge 6</v>
      </c>
      <c r="D124" s="18" t="str">
        <f aca="false">IF($A124="","",Veri_Guncel!D124)</f>
        <v>Mağaza 6C</v>
      </c>
      <c r="E124" s="19" t="n">
        <f aca="false">IF($A124="","",Veri_Guncel!E124)</f>
        <v>42411</v>
      </c>
      <c r="F124" s="19" t="n">
        <f aca="false">IF($A124="","",Veri_Guncel!F124)</f>
        <v>31496</v>
      </c>
      <c r="G124" s="14" t="n">
        <f aca="false">IF(A124="","",IF(COUNTIF(Ayarlar!$A$15:$A$20,C124)&gt;0,1,0))</f>
        <v>1</v>
      </c>
      <c r="H124" s="14" t="n">
        <f aca="false">IF(A124="","",DATEDIF(E124,Ayarlar!$B$3,"y"))</f>
        <v>10</v>
      </c>
      <c r="I124" s="14" t="n">
        <f aca="false">IF(OR(A124="",F124=""),"",DATEDIF(F124,Ayarlar!$B$3,"y"))</f>
        <v>40</v>
      </c>
      <c r="J124" s="14" t="n">
        <f aca="false">IF(A124="","",IF(H124&lt;1,0,MAX(IF(H124&lt;5,14,IF(H124&lt;15,20,26)),IF(AND(I124&lt;&gt;"",OR(I124&lt;=18,I124&gt;=50)),20,0))))</f>
        <v>20</v>
      </c>
      <c r="K124" s="17" t="n">
        <f aca="false">IF(A124="","",EDATE(E124,12*(H124+1)))</f>
        <v>46429</v>
      </c>
      <c r="L124" s="14" t="n">
        <f aca="false">IF(A124="","",K124-Ayarlar!$B$3)</f>
        <v>150</v>
      </c>
      <c r="M124" s="18" t="n">
        <f aca="false">IF(A124="","",Veri_Guncel!H124)</f>
        <v>17</v>
      </c>
      <c r="N124" s="18" t="n">
        <f aca="false">IF(A124="","",IFERROR(INDEX(Veri_Onceki!$H:$H,MATCH(A124,Veri_Onceki!$A:$A,0)),""))</f>
        <v>19</v>
      </c>
      <c r="O124" s="14" t="n">
        <f aca="false">IF(A124="","",IF(AND(H124&gt;=1,EDATE(E124,12*H124)&gt;Ayarlar!$B$4,EDATE(E124,12*H124)&lt;=Ayarlar!$B$3),J124,0))</f>
        <v>0</v>
      </c>
      <c r="P124" s="14" t="n">
        <f aca="false">IF(OR(A124="",N124=""),"",N124+O124-M124)</f>
        <v>2</v>
      </c>
      <c r="Q124" s="16" t="str">
        <f aca="false">IF(A124="","",IF(M124&gt;=Ayarlar!$B$7,"ALARM",IF(M124&gt;=Ayarlar!$B$6,"Planla","")))</f>
        <v>Planla</v>
      </c>
      <c r="R124" s="14" t="str">
        <f aca="false">IF(A124="","",IF(AND(L124&gt;=0,L124&lt;=Ayarlar!$B$9),"Evet",""))</f>
        <v/>
      </c>
      <c r="S124" s="16" t="str">
        <f aca="false">IF(A124="","",IF(N124="","Yeni personel",IF(P124&lt;0,"Kontrol et","")))</f>
        <v/>
      </c>
      <c r="T124" s="14" t="n">
        <f aca="false">IF(A124="","",IF(AND(G124=1,M124&gt;=Ayarlar!$B$6,OR(Ayarlar!$B$11="Tümü",C124=Ayarlar!$B$11)),M124+ROW()/100000,""))</f>
        <v>17.00124</v>
      </c>
    </row>
    <row r="125" customFormat="false" ht="15" hidden="false" customHeight="false" outlineLevel="0" collapsed="false">
      <c r="A125" s="18" t="str">
        <f aca="false">IF(Veri_Guncel!A125="","",Veri_Guncel!A125)</f>
        <v>S10124</v>
      </c>
      <c r="B125" s="18" t="str">
        <f aca="false">IF($A125="","",Veri_Guncel!B125)</f>
        <v>Can Koç</v>
      </c>
      <c r="C125" s="18" t="str">
        <f aca="false">IF($A125="","",Veri_Guncel!C125)</f>
        <v>Bölge 6</v>
      </c>
      <c r="D125" s="18" t="str">
        <f aca="false">IF($A125="","",Veri_Guncel!D125)</f>
        <v>Mağaza 6C</v>
      </c>
      <c r="E125" s="19" t="n">
        <f aca="false">IF($A125="","",Veri_Guncel!E125)</f>
        <v>41276</v>
      </c>
      <c r="F125" s="19" t="n">
        <f aca="false">IF($A125="","",Veri_Guncel!F125)</f>
        <v>37549</v>
      </c>
      <c r="G125" s="14" t="n">
        <f aca="false">IF(A125="","",IF(COUNTIF(Ayarlar!$A$15:$A$20,C125)&gt;0,1,0))</f>
        <v>1</v>
      </c>
      <c r="H125" s="14" t="n">
        <f aca="false">IF(A125="","",DATEDIF(E125,Ayarlar!$B$3,"y"))</f>
        <v>13</v>
      </c>
      <c r="I125" s="14" t="n">
        <f aca="false">IF(OR(A125="",F125=""),"",DATEDIF(F125,Ayarlar!$B$3,"y"))</f>
        <v>23</v>
      </c>
      <c r="J125" s="14" t="n">
        <f aca="false">IF(A125="","",IF(H125&lt;1,0,MAX(IF(H125&lt;5,14,IF(H125&lt;15,20,26)),IF(AND(I125&lt;&gt;"",OR(I125&lt;=18,I125&gt;=50)),20,0))))</f>
        <v>20</v>
      </c>
      <c r="K125" s="17" t="n">
        <f aca="false">IF(A125="","",EDATE(E125,12*(H125+1)))</f>
        <v>46389</v>
      </c>
      <c r="L125" s="14" t="n">
        <f aca="false">IF(A125="","",K125-Ayarlar!$B$3)</f>
        <v>110</v>
      </c>
      <c r="M125" s="18" t="n">
        <f aca="false">IF(A125="","",Veri_Guncel!H125)</f>
        <v>4</v>
      </c>
      <c r="N125" s="18" t="n">
        <f aca="false">IF(A125="","",IFERROR(INDEX(Veri_Onceki!$H:$H,MATCH(A125,Veri_Onceki!$A:$A,0)),""))</f>
        <v>9</v>
      </c>
      <c r="O125" s="14" t="n">
        <f aca="false">IF(A125="","",IF(AND(H125&gt;=1,EDATE(E125,12*H125)&gt;Ayarlar!$B$4,EDATE(E125,12*H125)&lt;=Ayarlar!$B$3),J125,0))</f>
        <v>0</v>
      </c>
      <c r="P125" s="14" t="n">
        <f aca="false">IF(OR(A125="",N125=""),"",N125+O125-M125)</f>
        <v>5</v>
      </c>
      <c r="Q125" s="16" t="str">
        <f aca="false">IF(A125="","",IF(M125&gt;=Ayarlar!$B$7,"ALARM",IF(M125&gt;=Ayarlar!$B$6,"Planla","")))</f>
        <v/>
      </c>
      <c r="R125" s="14" t="str">
        <f aca="false">IF(A125="","",IF(AND(L125&gt;=0,L125&lt;=Ayarlar!$B$9),"Evet",""))</f>
        <v/>
      </c>
      <c r="S125" s="16" t="str">
        <f aca="false">IF(A125="","",IF(N125="","Yeni personel",IF(P125&lt;0,"Kontrol et","")))</f>
        <v/>
      </c>
      <c r="T125" s="14" t="str">
        <f aca="false">IF(A125="","",IF(AND(G125=1,M125&gt;=Ayarlar!$B$6,OR(Ayarlar!$B$11="Tümü",C125=Ayarlar!$B$11)),M125+ROW()/100000,""))</f>
        <v/>
      </c>
    </row>
    <row r="126" customFormat="false" ht="15" hidden="false" customHeight="false" outlineLevel="0" collapsed="false">
      <c r="A126" s="18" t="str">
        <f aca="false">IF(Veri_Guncel!A126="","",Veri_Guncel!A126)</f>
        <v>S10125</v>
      </c>
      <c r="B126" s="18" t="str">
        <f aca="false">IF($A126="","",Veri_Guncel!B126)</f>
        <v>Derya Koç</v>
      </c>
      <c r="C126" s="18" t="str">
        <f aca="false">IF($A126="","",Veri_Guncel!C126)</f>
        <v>Bölge 6</v>
      </c>
      <c r="D126" s="18" t="str">
        <f aca="false">IF($A126="","",Veri_Guncel!D126)</f>
        <v>Mağaza 6C</v>
      </c>
      <c r="E126" s="19" t="n">
        <f aca="false">IF($A126="","",Veri_Guncel!E126)</f>
        <v>45061</v>
      </c>
      <c r="F126" s="19" t="n">
        <f aca="false">IF($A126="","",Veri_Guncel!F126)</f>
        <v>27093</v>
      </c>
      <c r="G126" s="14" t="n">
        <f aca="false">IF(A126="","",IF(COUNTIF(Ayarlar!$A$15:$A$20,C126)&gt;0,1,0))</f>
        <v>1</v>
      </c>
      <c r="H126" s="14" t="n">
        <f aca="false">IF(A126="","",DATEDIF(E126,Ayarlar!$B$3,"y"))</f>
        <v>3</v>
      </c>
      <c r="I126" s="14" t="n">
        <f aca="false">IF(OR(A126="",F126=""),"",DATEDIF(F126,Ayarlar!$B$3,"y"))</f>
        <v>52</v>
      </c>
      <c r="J126" s="14" t="n">
        <f aca="false">IF(A126="","",IF(H126&lt;1,0,MAX(IF(H126&lt;5,14,IF(H126&lt;15,20,26)),IF(AND(I126&lt;&gt;"",OR(I126&lt;=18,I126&gt;=50)),20,0))))</f>
        <v>20</v>
      </c>
      <c r="K126" s="17" t="n">
        <f aca="false">IF(A126="","",EDATE(E126,12*(H126+1)))</f>
        <v>46522</v>
      </c>
      <c r="L126" s="14" t="n">
        <f aca="false">IF(A126="","",K126-Ayarlar!$B$3)</f>
        <v>243</v>
      </c>
      <c r="M126" s="18" t="n">
        <f aca="false">IF(A126="","",Veri_Guncel!H126)</f>
        <v>4</v>
      </c>
      <c r="N126" s="18" t="n">
        <f aca="false">IF(A126="","",IFERROR(INDEX(Veri_Onceki!$H:$H,MATCH(A126,Veri_Onceki!$A:$A,0)),""))</f>
        <v>7</v>
      </c>
      <c r="O126" s="14" t="n">
        <f aca="false">IF(A126="","",IF(AND(H126&gt;=1,EDATE(E126,12*H126)&gt;Ayarlar!$B$4,EDATE(E126,12*H126)&lt;=Ayarlar!$B$3),J126,0))</f>
        <v>0</v>
      </c>
      <c r="P126" s="14" t="n">
        <f aca="false">IF(OR(A126="",N126=""),"",N126+O126-M126)</f>
        <v>3</v>
      </c>
      <c r="Q126" s="16" t="str">
        <f aca="false">IF(A126="","",IF(M126&gt;=Ayarlar!$B$7,"ALARM",IF(M126&gt;=Ayarlar!$B$6,"Planla","")))</f>
        <v/>
      </c>
      <c r="R126" s="14" t="str">
        <f aca="false">IF(A126="","",IF(AND(L126&gt;=0,L126&lt;=Ayarlar!$B$9),"Evet",""))</f>
        <v/>
      </c>
      <c r="S126" s="16" t="str">
        <f aca="false">IF(A126="","",IF(N126="","Yeni personel",IF(P126&lt;0,"Kontrol et","")))</f>
        <v/>
      </c>
      <c r="T126" s="14" t="str">
        <f aca="false">IF(A126="","",IF(AND(G126=1,M126&gt;=Ayarlar!$B$6,OR(Ayarlar!$B$11="Tümü",C126=Ayarlar!$B$11)),M126+ROW()/100000,""))</f>
        <v/>
      </c>
    </row>
    <row r="127" customFormat="false" ht="15" hidden="false" customHeight="false" outlineLevel="0" collapsed="false">
      <c r="A127" s="18" t="str">
        <f aca="false">IF(Veri_Guncel!A127="","",Veri_Guncel!A127)</f>
        <v>S10126</v>
      </c>
      <c r="B127" s="18" t="str">
        <f aca="false">IF($A127="","",Veri_Guncel!B127)</f>
        <v>Umut Aydın</v>
      </c>
      <c r="C127" s="18" t="str">
        <f aca="false">IF($A127="","",Veri_Guncel!C127)</f>
        <v>Bölge 6</v>
      </c>
      <c r="D127" s="18" t="str">
        <f aca="false">IF($A127="","",Veri_Guncel!D127)</f>
        <v>Mağaza 6D</v>
      </c>
      <c r="E127" s="19" t="n">
        <f aca="false">IF($A127="","",Veri_Guncel!E127)</f>
        <v>42577</v>
      </c>
      <c r="F127" s="19" t="n">
        <f aca="false">IF($A127="","",Veri_Guncel!F127)</f>
        <v>35220</v>
      </c>
      <c r="G127" s="14" t="n">
        <f aca="false">IF(A127="","",IF(COUNTIF(Ayarlar!$A$15:$A$20,C127)&gt;0,1,0))</f>
        <v>1</v>
      </c>
      <c r="H127" s="14" t="n">
        <f aca="false">IF(A127="","",DATEDIF(E127,Ayarlar!$B$3,"y"))</f>
        <v>10</v>
      </c>
      <c r="I127" s="14" t="n">
        <f aca="false">IF(OR(A127="",F127=""),"",DATEDIF(F127,Ayarlar!$B$3,"y"))</f>
        <v>30</v>
      </c>
      <c r="J127" s="14" t="n">
        <f aca="false">IF(A127="","",IF(H127&lt;1,0,MAX(IF(H127&lt;5,14,IF(H127&lt;15,20,26)),IF(AND(I127&lt;&gt;"",OR(I127&lt;=18,I127&gt;=50)),20,0))))</f>
        <v>20</v>
      </c>
      <c r="K127" s="17" t="n">
        <f aca="false">IF(A127="","",EDATE(E127,12*(H127+1)))</f>
        <v>46594</v>
      </c>
      <c r="L127" s="14" t="n">
        <f aca="false">IF(A127="","",K127-Ayarlar!$B$3)</f>
        <v>315</v>
      </c>
      <c r="M127" s="18" t="n">
        <f aca="false">IF(A127="","",Veri_Guncel!H127)</f>
        <v>19</v>
      </c>
      <c r="N127" s="18" t="n">
        <f aca="false">IF(A127="","",IFERROR(INDEX(Veri_Onceki!$H:$H,MATCH(A127,Veri_Onceki!$A:$A,0)),""))</f>
        <v>19</v>
      </c>
      <c r="O127" s="14" t="n">
        <f aca="false">IF(A127="","",IF(AND(H127&gt;=1,EDATE(E127,12*H127)&gt;Ayarlar!$B$4,EDATE(E127,12*H127)&lt;=Ayarlar!$B$3),J127,0))</f>
        <v>0</v>
      </c>
      <c r="P127" s="14" t="n">
        <f aca="false">IF(OR(A127="",N127=""),"",N127+O127-M127)</f>
        <v>0</v>
      </c>
      <c r="Q127" s="16" t="str">
        <f aca="false">IF(A127="","",IF(M127&gt;=Ayarlar!$B$7,"ALARM",IF(M127&gt;=Ayarlar!$B$6,"Planla","")))</f>
        <v>Planla</v>
      </c>
      <c r="R127" s="14" t="str">
        <f aca="false">IF(A127="","",IF(AND(L127&gt;=0,L127&lt;=Ayarlar!$B$9),"Evet",""))</f>
        <v/>
      </c>
      <c r="S127" s="16" t="str">
        <f aca="false">IF(A127="","",IF(N127="","Yeni personel",IF(P127&lt;0,"Kontrol et","")))</f>
        <v/>
      </c>
      <c r="T127" s="14" t="n">
        <f aca="false">IF(A127="","",IF(AND(G127=1,M127&gt;=Ayarlar!$B$6,OR(Ayarlar!$B$11="Tümü",C127=Ayarlar!$B$11)),M127+ROW()/100000,""))</f>
        <v>19.00127</v>
      </c>
    </row>
    <row r="128" customFormat="false" ht="15" hidden="false" customHeight="false" outlineLevel="0" collapsed="false">
      <c r="A128" s="18" t="str">
        <f aca="false">IF(Veri_Guncel!A128="","",Veri_Guncel!A128)</f>
        <v>S10127</v>
      </c>
      <c r="B128" s="18" t="str">
        <f aca="false">IF($A128="","",Veri_Guncel!B128)</f>
        <v>Gizem Kılıç</v>
      </c>
      <c r="C128" s="18" t="str">
        <f aca="false">IF($A128="","",Veri_Guncel!C128)</f>
        <v>Bölge 6</v>
      </c>
      <c r="D128" s="18" t="str">
        <f aca="false">IF($A128="","",Veri_Guncel!D128)</f>
        <v>Mağaza 6D</v>
      </c>
      <c r="E128" s="19" t="n">
        <f aca="false">IF($A128="","",Veri_Guncel!E128)</f>
        <v>42404</v>
      </c>
      <c r="F128" s="19" t="n">
        <f aca="false">IF($A128="","",Veri_Guncel!F128)</f>
        <v>33973</v>
      </c>
      <c r="G128" s="14" t="n">
        <f aca="false">IF(A128="","",IF(COUNTIF(Ayarlar!$A$15:$A$20,C128)&gt;0,1,0))</f>
        <v>1</v>
      </c>
      <c r="H128" s="14" t="n">
        <f aca="false">IF(A128="","",DATEDIF(E128,Ayarlar!$B$3,"y"))</f>
        <v>10</v>
      </c>
      <c r="I128" s="14" t="n">
        <f aca="false">IF(OR(A128="",F128=""),"",DATEDIF(F128,Ayarlar!$B$3,"y"))</f>
        <v>33</v>
      </c>
      <c r="J128" s="14" t="n">
        <f aca="false">IF(A128="","",IF(H128&lt;1,0,MAX(IF(H128&lt;5,14,IF(H128&lt;15,20,26)),IF(AND(I128&lt;&gt;"",OR(I128&lt;=18,I128&gt;=50)),20,0))))</f>
        <v>20</v>
      </c>
      <c r="K128" s="17" t="n">
        <f aca="false">IF(A128="","",EDATE(E128,12*(H128+1)))</f>
        <v>46422</v>
      </c>
      <c r="L128" s="14" t="n">
        <f aca="false">IF(A128="","",K128-Ayarlar!$B$3)</f>
        <v>143</v>
      </c>
      <c r="M128" s="18" t="n">
        <f aca="false">IF(A128="","",Veri_Guncel!H128)</f>
        <v>12</v>
      </c>
      <c r="N128" s="18" t="n">
        <f aca="false">IF(A128="","",IFERROR(INDEX(Veri_Onceki!$H:$H,MATCH(A128,Veri_Onceki!$A:$A,0)),""))</f>
        <v>14</v>
      </c>
      <c r="O128" s="14" t="n">
        <f aca="false">IF(A128="","",IF(AND(H128&gt;=1,EDATE(E128,12*H128)&gt;Ayarlar!$B$4,EDATE(E128,12*H128)&lt;=Ayarlar!$B$3),J128,0))</f>
        <v>0</v>
      </c>
      <c r="P128" s="14" t="n">
        <f aca="false">IF(OR(A128="",N128=""),"",N128+O128-M128)</f>
        <v>2</v>
      </c>
      <c r="Q128" s="16" t="str">
        <f aca="false">IF(A128="","",IF(M128&gt;=Ayarlar!$B$7,"ALARM",IF(M128&gt;=Ayarlar!$B$6,"Planla","")))</f>
        <v/>
      </c>
      <c r="R128" s="14" t="str">
        <f aca="false">IF(A128="","",IF(AND(L128&gt;=0,L128&lt;=Ayarlar!$B$9),"Evet",""))</f>
        <v/>
      </c>
      <c r="S128" s="16" t="str">
        <f aca="false">IF(A128="","",IF(N128="","Yeni personel",IF(P128&lt;0,"Kontrol et","")))</f>
        <v/>
      </c>
      <c r="T128" s="14" t="str">
        <f aca="false">IF(A128="","",IF(AND(G128=1,M128&gt;=Ayarlar!$B$6,OR(Ayarlar!$B$11="Tümü",C128=Ayarlar!$B$11)),M128+ROW()/100000,""))</f>
        <v/>
      </c>
    </row>
    <row r="129" customFormat="false" ht="15" hidden="false" customHeight="false" outlineLevel="0" collapsed="false">
      <c r="A129" s="18" t="str">
        <f aca="false">IF(Veri_Guncel!A129="","",Veri_Guncel!A129)</f>
        <v>S10128</v>
      </c>
      <c r="B129" s="18" t="str">
        <f aca="false">IF($A129="","",Veri_Guncel!B129)</f>
        <v>Melis Kaya</v>
      </c>
      <c r="C129" s="18" t="str">
        <f aca="false">IF($A129="","",Veri_Guncel!C129)</f>
        <v>Bölge 6</v>
      </c>
      <c r="D129" s="18" t="str">
        <f aca="false">IF($A129="","",Veri_Guncel!D129)</f>
        <v>Mağaza 6D</v>
      </c>
      <c r="E129" s="19" t="n">
        <f aca="false">IF($A129="","",Veri_Guncel!E129)</f>
        <v>45276</v>
      </c>
      <c r="F129" s="19" t="n">
        <f aca="false">IF($A129="","",Veri_Guncel!F129)</f>
        <v>32565</v>
      </c>
      <c r="G129" s="14" t="n">
        <f aca="false">IF(A129="","",IF(COUNTIF(Ayarlar!$A$15:$A$20,C129)&gt;0,1,0))</f>
        <v>1</v>
      </c>
      <c r="H129" s="14" t="n">
        <f aca="false">IF(A129="","",DATEDIF(E129,Ayarlar!$B$3,"y"))</f>
        <v>2</v>
      </c>
      <c r="I129" s="14" t="n">
        <f aca="false">IF(OR(A129="",F129=""),"",DATEDIF(F129,Ayarlar!$B$3,"y"))</f>
        <v>37</v>
      </c>
      <c r="J129" s="14" t="n">
        <f aca="false">IF(A129="","",IF(H129&lt;1,0,MAX(IF(H129&lt;5,14,IF(H129&lt;15,20,26)),IF(AND(I129&lt;&gt;"",OR(I129&lt;=18,I129&gt;=50)),20,0))))</f>
        <v>14</v>
      </c>
      <c r="K129" s="17" t="n">
        <f aca="false">IF(A129="","",EDATE(E129,12*(H129+1)))</f>
        <v>46372</v>
      </c>
      <c r="L129" s="14" t="n">
        <f aca="false">IF(A129="","",K129-Ayarlar!$B$3)</f>
        <v>93</v>
      </c>
      <c r="M129" s="18" t="n">
        <f aca="false">IF(A129="","",Veri_Guncel!H129)</f>
        <v>21</v>
      </c>
      <c r="N129" s="18" t="n">
        <f aca="false">IF(A129="","",IFERROR(INDEX(Veri_Onceki!$H:$H,MATCH(A129,Veri_Onceki!$A:$A,0)),""))</f>
        <v>28</v>
      </c>
      <c r="O129" s="14" t="n">
        <f aca="false">IF(A129="","",IF(AND(H129&gt;=1,EDATE(E129,12*H129)&gt;Ayarlar!$B$4,EDATE(E129,12*H129)&lt;=Ayarlar!$B$3),J129,0))</f>
        <v>0</v>
      </c>
      <c r="P129" s="14" t="n">
        <f aca="false">IF(OR(A129="",N129=""),"",N129+O129-M129)</f>
        <v>7</v>
      </c>
      <c r="Q129" s="16" t="str">
        <f aca="false">IF(A129="","",IF(M129&gt;=Ayarlar!$B$7,"ALARM",IF(M129&gt;=Ayarlar!$B$6,"Planla","")))</f>
        <v>ALARM</v>
      </c>
      <c r="R129" s="14" t="str">
        <f aca="false">IF(A129="","",IF(AND(L129&gt;=0,L129&lt;=Ayarlar!$B$9),"Evet",""))</f>
        <v/>
      </c>
      <c r="S129" s="16" t="str">
        <f aca="false">IF(A129="","",IF(N129="","Yeni personel",IF(P129&lt;0,"Kontrol et","")))</f>
        <v/>
      </c>
      <c r="T129" s="14" t="n">
        <f aca="false">IF(A129="","",IF(AND(G129=1,M129&gt;=Ayarlar!$B$6,OR(Ayarlar!$B$11="Tümü",C129=Ayarlar!$B$11)),M129+ROW()/100000,""))</f>
        <v>21.00129</v>
      </c>
    </row>
    <row r="130" customFormat="false" ht="15" hidden="false" customHeight="false" outlineLevel="0" collapsed="false">
      <c r="A130" s="18" t="str">
        <f aca="false">IF(Veri_Guncel!A130="","",Veri_Guncel!A130)</f>
        <v>S10129</v>
      </c>
      <c r="B130" s="18" t="str">
        <f aca="false">IF($A130="","",Veri_Guncel!B130)</f>
        <v>Emre Özdemir</v>
      </c>
      <c r="C130" s="18" t="str">
        <f aca="false">IF($A130="","",Veri_Guncel!C130)</f>
        <v>Bölge 6</v>
      </c>
      <c r="D130" s="18" t="str">
        <f aca="false">IF($A130="","",Veri_Guncel!D130)</f>
        <v>Mağaza 6D</v>
      </c>
      <c r="E130" s="19" t="n">
        <f aca="false">IF($A130="","",Veri_Guncel!E130)</f>
        <v>43536</v>
      </c>
      <c r="F130" s="19" t="n">
        <f aca="false">IF($A130="","",Veri_Guncel!F130)</f>
        <v>38567</v>
      </c>
      <c r="G130" s="14" t="n">
        <f aca="false">IF(A130="","",IF(COUNTIF(Ayarlar!$A$15:$A$20,C130)&gt;0,1,0))</f>
        <v>1</v>
      </c>
      <c r="H130" s="14" t="n">
        <f aca="false">IF(A130="","",DATEDIF(E130,Ayarlar!$B$3,"y"))</f>
        <v>7</v>
      </c>
      <c r="I130" s="14" t="n">
        <f aca="false">IF(OR(A130="",F130=""),"",DATEDIF(F130,Ayarlar!$B$3,"y"))</f>
        <v>21</v>
      </c>
      <c r="J130" s="14" t="n">
        <f aca="false">IF(A130="","",IF(H130&lt;1,0,MAX(IF(H130&lt;5,14,IF(H130&lt;15,20,26)),IF(AND(I130&lt;&gt;"",OR(I130&lt;=18,I130&gt;=50)),20,0))))</f>
        <v>20</v>
      </c>
      <c r="K130" s="17" t="n">
        <f aca="false">IF(A130="","",EDATE(E130,12*(H130+1)))</f>
        <v>46458</v>
      </c>
      <c r="L130" s="14" t="n">
        <f aca="false">IF(A130="","",K130-Ayarlar!$B$3)</f>
        <v>179</v>
      </c>
      <c r="M130" s="18" t="n">
        <f aca="false">IF(A130="","",Veri_Guncel!H130)</f>
        <v>10</v>
      </c>
      <c r="N130" s="18" t="n">
        <f aca="false">IF(A130="","",IFERROR(INDEX(Veri_Onceki!$H:$H,MATCH(A130,Veri_Onceki!$A:$A,0)),""))</f>
        <v>12</v>
      </c>
      <c r="O130" s="14" t="n">
        <f aca="false">IF(A130="","",IF(AND(H130&gt;=1,EDATE(E130,12*H130)&gt;Ayarlar!$B$4,EDATE(E130,12*H130)&lt;=Ayarlar!$B$3),J130,0))</f>
        <v>0</v>
      </c>
      <c r="P130" s="14" t="n">
        <f aca="false">IF(OR(A130="",N130=""),"",N130+O130-M130)</f>
        <v>2</v>
      </c>
      <c r="Q130" s="16" t="str">
        <f aca="false">IF(A130="","",IF(M130&gt;=Ayarlar!$B$7,"ALARM",IF(M130&gt;=Ayarlar!$B$6,"Planla","")))</f>
        <v/>
      </c>
      <c r="R130" s="14" t="str">
        <f aca="false">IF(A130="","",IF(AND(L130&gt;=0,L130&lt;=Ayarlar!$B$9),"Evet",""))</f>
        <v/>
      </c>
      <c r="S130" s="16" t="str">
        <f aca="false">IF(A130="","",IF(N130="","Yeni personel",IF(P130&lt;0,"Kontrol et","")))</f>
        <v/>
      </c>
      <c r="T130" s="14" t="str">
        <f aca="false">IF(A130="","",IF(AND(G130=1,M130&gt;=Ayarlar!$B$6,OR(Ayarlar!$B$11="Tümü",C130=Ayarlar!$B$11)),M130+ROW()/100000,""))</f>
        <v/>
      </c>
    </row>
    <row r="131" customFormat="false" ht="15" hidden="false" customHeight="false" outlineLevel="0" collapsed="false">
      <c r="A131" s="18" t="str">
        <f aca="false">IF(Veri_Guncel!A131="","",Veri_Guncel!A131)</f>
        <v>S10130</v>
      </c>
      <c r="B131" s="18" t="str">
        <f aca="false">IF($A131="","",Veri_Guncel!B131)</f>
        <v>Serkan Kaya</v>
      </c>
      <c r="C131" s="18" t="str">
        <f aca="false">IF($A131="","",Veri_Guncel!C131)</f>
        <v>Bölge 6</v>
      </c>
      <c r="D131" s="18" t="str">
        <f aca="false">IF($A131="","",Veri_Guncel!D131)</f>
        <v>Mağaza 6D</v>
      </c>
      <c r="E131" s="19" t="n">
        <f aca="false">IF($A131="","",Veri_Guncel!E131)</f>
        <v>45128</v>
      </c>
      <c r="F131" s="19" t="n">
        <f aca="false">IF($A131="","",Veri_Guncel!F131)</f>
        <v>36763</v>
      </c>
      <c r="G131" s="14" t="n">
        <f aca="false">IF(A131="","",IF(COUNTIF(Ayarlar!$A$15:$A$20,C131)&gt;0,1,0))</f>
        <v>1</v>
      </c>
      <c r="H131" s="14" t="n">
        <f aca="false">IF(A131="","",DATEDIF(E131,Ayarlar!$B$3,"y"))</f>
        <v>3</v>
      </c>
      <c r="I131" s="14" t="n">
        <f aca="false">IF(OR(A131="",F131=""),"",DATEDIF(F131,Ayarlar!$B$3,"y"))</f>
        <v>26</v>
      </c>
      <c r="J131" s="14" t="n">
        <f aca="false">IF(A131="","",IF(H131&lt;1,0,MAX(IF(H131&lt;5,14,IF(H131&lt;15,20,26)),IF(AND(I131&lt;&gt;"",OR(I131&lt;=18,I131&gt;=50)),20,0))))</f>
        <v>14</v>
      </c>
      <c r="K131" s="17" t="n">
        <f aca="false">IF(A131="","",EDATE(E131,12*(H131+1)))</f>
        <v>46589</v>
      </c>
      <c r="L131" s="14" t="n">
        <f aca="false">IF(A131="","",K131-Ayarlar!$B$3)</f>
        <v>310</v>
      </c>
      <c r="M131" s="18" t="n">
        <f aca="false">IF(A131="","",Veri_Guncel!H131)</f>
        <v>8</v>
      </c>
      <c r="N131" s="18" t="n">
        <f aca="false">IF(A131="","",IFERROR(INDEX(Veri_Onceki!$H:$H,MATCH(A131,Veri_Onceki!$A:$A,0)),""))</f>
        <v>10</v>
      </c>
      <c r="O131" s="14" t="n">
        <f aca="false">IF(A131="","",IF(AND(H131&gt;=1,EDATE(E131,12*H131)&gt;Ayarlar!$B$4,EDATE(E131,12*H131)&lt;=Ayarlar!$B$3),J131,0))</f>
        <v>0</v>
      </c>
      <c r="P131" s="14" t="n">
        <f aca="false">IF(OR(A131="",N131=""),"",N131+O131-M131)</f>
        <v>2</v>
      </c>
      <c r="Q131" s="16" t="str">
        <f aca="false">IF(A131="","",IF(M131&gt;=Ayarlar!$B$7,"ALARM",IF(M131&gt;=Ayarlar!$B$6,"Planla","")))</f>
        <v/>
      </c>
      <c r="R131" s="14" t="str">
        <f aca="false">IF(A131="","",IF(AND(L131&gt;=0,L131&lt;=Ayarlar!$B$9),"Evet",""))</f>
        <v/>
      </c>
      <c r="S131" s="16" t="str">
        <f aca="false">IF(A131="","",IF(N131="","Yeni personel",IF(P131&lt;0,"Kontrol et","")))</f>
        <v/>
      </c>
      <c r="T131" s="14" t="str">
        <f aca="false">IF(A131="","",IF(AND(G131=1,M131&gt;=Ayarlar!$B$6,OR(Ayarlar!$B$11="Tümü",C131=Ayarlar!$B$11)),M131+ROW()/100000,""))</f>
        <v/>
      </c>
    </row>
    <row r="132" customFormat="false" ht="15" hidden="false" customHeight="false" outlineLevel="0" collapsed="false">
      <c r="A132" s="18" t="str">
        <f aca="false">IF(Veri_Guncel!A132="","",Veri_Guncel!A132)</f>
        <v>S10131</v>
      </c>
      <c r="B132" s="18" t="str">
        <f aca="false">IF($A132="","",Veri_Guncel!B132)</f>
        <v>Selin Öztürk</v>
      </c>
      <c r="C132" s="18" t="str">
        <f aca="false">IF($A132="","",Veri_Guncel!C132)</f>
        <v>Bölge 6</v>
      </c>
      <c r="D132" s="18" t="str">
        <f aca="false">IF($A132="","",Veri_Guncel!D132)</f>
        <v>Mağaza 6D</v>
      </c>
      <c r="E132" s="19" t="n">
        <f aca="false">IF($A132="","",Veri_Guncel!E132)</f>
        <v>45403</v>
      </c>
      <c r="F132" s="19" t="n">
        <f aca="false">IF($A132="","",Veri_Guncel!F132)</f>
        <v>27751</v>
      </c>
      <c r="G132" s="14" t="n">
        <f aca="false">IF(A132="","",IF(COUNTIF(Ayarlar!$A$15:$A$20,C132)&gt;0,1,0))</f>
        <v>1</v>
      </c>
      <c r="H132" s="14" t="n">
        <f aca="false">IF(A132="","",DATEDIF(E132,Ayarlar!$B$3,"y"))</f>
        <v>2</v>
      </c>
      <c r="I132" s="14" t="n">
        <f aca="false">IF(OR(A132="",F132=""),"",DATEDIF(F132,Ayarlar!$B$3,"y"))</f>
        <v>50</v>
      </c>
      <c r="J132" s="14" t="n">
        <f aca="false">IF(A132="","",IF(H132&lt;1,0,MAX(IF(H132&lt;5,14,IF(H132&lt;15,20,26)),IF(AND(I132&lt;&gt;"",OR(I132&lt;=18,I132&gt;=50)),20,0))))</f>
        <v>20</v>
      </c>
      <c r="K132" s="17" t="n">
        <f aca="false">IF(A132="","",EDATE(E132,12*(H132+1)))</f>
        <v>46498</v>
      </c>
      <c r="L132" s="14" t="n">
        <f aca="false">IF(A132="","",K132-Ayarlar!$B$3)</f>
        <v>219</v>
      </c>
      <c r="M132" s="18" t="n">
        <f aca="false">IF(A132="","",Veri_Guncel!H132)</f>
        <v>17</v>
      </c>
      <c r="N132" s="18" t="n">
        <f aca="false">IF(A132="","",IFERROR(INDEX(Veri_Onceki!$H:$H,MATCH(A132,Veri_Onceki!$A:$A,0)),""))</f>
        <v>24</v>
      </c>
      <c r="O132" s="14" t="n">
        <f aca="false">IF(A132="","",IF(AND(H132&gt;=1,EDATE(E132,12*H132)&gt;Ayarlar!$B$4,EDATE(E132,12*H132)&lt;=Ayarlar!$B$3),J132,0))</f>
        <v>0</v>
      </c>
      <c r="P132" s="14" t="n">
        <f aca="false">IF(OR(A132="",N132=""),"",N132+O132-M132)</f>
        <v>7</v>
      </c>
      <c r="Q132" s="16" t="str">
        <f aca="false">IF(A132="","",IF(M132&gt;=Ayarlar!$B$7,"ALARM",IF(M132&gt;=Ayarlar!$B$6,"Planla","")))</f>
        <v>Planla</v>
      </c>
      <c r="R132" s="14" t="str">
        <f aca="false">IF(A132="","",IF(AND(L132&gt;=0,L132&lt;=Ayarlar!$B$9),"Evet",""))</f>
        <v/>
      </c>
      <c r="S132" s="16" t="str">
        <f aca="false">IF(A132="","",IF(N132="","Yeni personel",IF(P132&lt;0,"Kontrol et","")))</f>
        <v/>
      </c>
      <c r="T132" s="14" t="n">
        <f aca="false">IF(A132="","",IF(AND(G132=1,M132&gt;=Ayarlar!$B$6,OR(Ayarlar!$B$11="Tümü",C132=Ayarlar!$B$11)),M132+ROW()/100000,""))</f>
        <v>17.00132</v>
      </c>
    </row>
    <row r="133" customFormat="false" ht="15" hidden="false" customHeight="false" outlineLevel="0" collapsed="false">
      <c r="A133" s="18" t="str">
        <f aca="false">IF(Veri_Guncel!A133="","",Veri_Guncel!A133)</f>
        <v>S10132</v>
      </c>
      <c r="B133" s="18" t="str">
        <f aca="false">IF($A133="","",Veri_Guncel!B133)</f>
        <v>Oğuz Kurt</v>
      </c>
      <c r="C133" s="18" t="str">
        <f aca="false">IF($A133="","",Veri_Guncel!C133)</f>
        <v>Bölge 6</v>
      </c>
      <c r="D133" s="18" t="str">
        <f aca="false">IF($A133="","",Veri_Guncel!D133)</f>
        <v>Mağaza 6D</v>
      </c>
      <c r="E133" s="19" t="n">
        <f aca="false">IF($A133="","",Veri_Guncel!E133)</f>
        <v>46151</v>
      </c>
      <c r="F133" s="19" t="n">
        <f aca="false">IF($A133="","",Veri_Guncel!F133)</f>
        <v>39271</v>
      </c>
      <c r="G133" s="14" t="n">
        <f aca="false">IF(A133="","",IF(COUNTIF(Ayarlar!$A$15:$A$20,C133)&gt;0,1,0))</f>
        <v>1</v>
      </c>
      <c r="H133" s="14" t="n">
        <f aca="false">IF(A133="","",DATEDIF(E133,Ayarlar!$B$3,"y"))</f>
        <v>0</v>
      </c>
      <c r="I133" s="14" t="n">
        <f aca="false">IF(OR(A133="",F133=""),"",DATEDIF(F133,Ayarlar!$B$3,"y"))</f>
        <v>19</v>
      </c>
      <c r="J133" s="14" t="n">
        <f aca="false">IF(A133="","",IF(H133&lt;1,0,MAX(IF(H133&lt;5,14,IF(H133&lt;15,20,26)),IF(AND(I133&lt;&gt;"",OR(I133&lt;=18,I133&gt;=50)),20,0))))</f>
        <v>0</v>
      </c>
      <c r="K133" s="17" t="n">
        <f aca="false">IF(A133="","",EDATE(E133,12*(H133+1)))</f>
        <v>46516</v>
      </c>
      <c r="L133" s="14" t="n">
        <f aca="false">IF(A133="","",K133-Ayarlar!$B$3)</f>
        <v>237</v>
      </c>
      <c r="M133" s="18" t="n">
        <f aca="false">IF(A133="","",Veri_Guncel!H133)</f>
        <v>0</v>
      </c>
      <c r="N133" s="18" t="n">
        <f aca="false">IF(A133="","",IFERROR(INDEX(Veri_Onceki!$H:$H,MATCH(A133,Veri_Onceki!$A:$A,0)),""))</f>
        <v>2</v>
      </c>
      <c r="O133" s="14" t="n">
        <f aca="false">IF(A133="","",IF(AND(H133&gt;=1,EDATE(E133,12*H133)&gt;Ayarlar!$B$4,EDATE(E133,12*H133)&lt;=Ayarlar!$B$3),J133,0))</f>
        <v>0</v>
      </c>
      <c r="P133" s="14" t="n">
        <f aca="false">IF(OR(A133="",N133=""),"",N133+O133-M133)</f>
        <v>2</v>
      </c>
      <c r="Q133" s="16" t="str">
        <f aca="false">IF(A133="","",IF(M133&gt;=Ayarlar!$B$7,"ALARM",IF(M133&gt;=Ayarlar!$B$6,"Planla","")))</f>
        <v/>
      </c>
      <c r="R133" s="14" t="str">
        <f aca="false">IF(A133="","",IF(AND(L133&gt;=0,L133&lt;=Ayarlar!$B$9),"Evet",""))</f>
        <v/>
      </c>
      <c r="S133" s="16" t="str">
        <f aca="false">IF(A133="","",IF(N133="","Yeni personel",IF(P133&lt;0,"Kontrol et","")))</f>
        <v/>
      </c>
      <c r="T133" s="14" t="str">
        <f aca="false">IF(A133="","",IF(AND(G133=1,M133&gt;=Ayarlar!$B$6,OR(Ayarlar!$B$11="Tümü",C133=Ayarlar!$B$11)),M133+ROW()/100000,""))</f>
        <v/>
      </c>
    </row>
    <row r="134" customFormat="false" ht="15" hidden="false" customHeight="false" outlineLevel="0" collapsed="false">
      <c r="A134" s="18" t="str">
        <f aca="false">IF(Veri_Guncel!A134="","",Veri_Guncel!A134)</f>
        <v>S10133</v>
      </c>
      <c r="B134" s="18" t="str">
        <f aca="false">IF($A134="","",Veri_Guncel!B134)</f>
        <v>Mert Doğan</v>
      </c>
      <c r="C134" s="18" t="str">
        <f aca="false">IF($A134="","",Veri_Guncel!C134)</f>
        <v>Bölge 6</v>
      </c>
      <c r="D134" s="18" t="str">
        <f aca="false">IF($A134="","",Veri_Guncel!D134)</f>
        <v>Mağaza 6D</v>
      </c>
      <c r="E134" s="19" t="n">
        <f aca="false">IF($A134="","",Veri_Guncel!E134)</f>
        <v>45103</v>
      </c>
      <c r="F134" s="19" t="n">
        <f aca="false">IF($A134="","",Veri_Guncel!F134)</f>
        <v>30845</v>
      </c>
      <c r="G134" s="14" t="n">
        <f aca="false">IF(A134="","",IF(COUNTIF(Ayarlar!$A$15:$A$20,C134)&gt;0,1,0))</f>
        <v>1</v>
      </c>
      <c r="H134" s="14" t="n">
        <f aca="false">IF(A134="","",DATEDIF(E134,Ayarlar!$B$3,"y"))</f>
        <v>3</v>
      </c>
      <c r="I134" s="14" t="n">
        <f aca="false">IF(OR(A134="",F134=""),"",DATEDIF(F134,Ayarlar!$B$3,"y"))</f>
        <v>42</v>
      </c>
      <c r="J134" s="14" t="n">
        <f aca="false">IF(A134="","",IF(H134&lt;1,0,MAX(IF(H134&lt;5,14,IF(H134&lt;15,20,26)),IF(AND(I134&lt;&gt;"",OR(I134&lt;=18,I134&gt;=50)),20,0))))</f>
        <v>14</v>
      </c>
      <c r="K134" s="17" t="n">
        <f aca="false">IF(A134="","",EDATE(E134,12*(H134+1)))</f>
        <v>46564</v>
      </c>
      <c r="L134" s="14" t="n">
        <f aca="false">IF(A134="","",K134-Ayarlar!$B$3)</f>
        <v>285</v>
      </c>
      <c r="M134" s="18" t="n">
        <f aca="false">IF(A134="","",Veri_Guncel!H134)</f>
        <v>28</v>
      </c>
      <c r="N134" s="18" t="n">
        <f aca="false">IF(A134="","",IFERROR(INDEX(Veri_Onceki!$H:$H,MATCH(A134,Veri_Onceki!$A:$A,0)),""))</f>
        <v>33</v>
      </c>
      <c r="O134" s="14" t="n">
        <f aca="false">IF(A134="","",IF(AND(H134&gt;=1,EDATE(E134,12*H134)&gt;Ayarlar!$B$4,EDATE(E134,12*H134)&lt;=Ayarlar!$B$3),J134,0))</f>
        <v>0</v>
      </c>
      <c r="P134" s="14" t="n">
        <f aca="false">IF(OR(A134="",N134=""),"",N134+O134-M134)</f>
        <v>5</v>
      </c>
      <c r="Q134" s="16" t="str">
        <f aca="false">IF(A134="","",IF(M134&gt;=Ayarlar!$B$7,"ALARM",IF(M134&gt;=Ayarlar!$B$6,"Planla","")))</f>
        <v>ALARM</v>
      </c>
      <c r="R134" s="14" t="str">
        <f aca="false">IF(A134="","",IF(AND(L134&gt;=0,L134&lt;=Ayarlar!$B$9),"Evet",""))</f>
        <v/>
      </c>
      <c r="S134" s="16" t="str">
        <f aca="false">IF(A134="","",IF(N134="","Yeni personel",IF(P134&lt;0,"Kontrol et","")))</f>
        <v/>
      </c>
      <c r="T134" s="14" t="n">
        <f aca="false">IF(A134="","",IF(AND(G134=1,M134&gt;=Ayarlar!$B$6,OR(Ayarlar!$B$11="Tümü",C134=Ayarlar!$B$11)),M134+ROW()/100000,""))</f>
        <v>28.00134</v>
      </c>
    </row>
    <row r="135" customFormat="false" ht="15" hidden="false" customHeight="false" outlineLevel="0" collapsed="false">
      <c r="A135" s="18" t="str">
        <f aca="false">IF(Veri_Guncel!A135="","",Veri_Guncel!A135)</f>
        <v>S10134</v>
      </c>
      <c r="B135" s="18" t="str">
        <f aca="false">IF($A135="","",Veri_Guncel!B135)</f>
        <v>Ece Kurt</v>
      </c>
      <c r="C135" s="18" t="str">
        <f aca="false">IF($A135="","",Veri_Guncel!C135)</f>
        <v>Bölge 7</v>
      </c>
      <c r="D135" s="18" t="str">
        <f aca="false">IF($A135="","",Veri_Guncel!D135)</f>
        <v>Mağaza 7A</v>
      </c>
      <c r="E135" s="19" t="n">
        <f aca="false">IF($A135="","",Veri_Guncel!E135)</f>
        <v>41397</v>
      </c>
      <c r="F135" s="19" t="n">
        <f aca="false">IF($A135="","",Veri_Guncel!F135)</f>
        <v>29088</v>
      </c>
      <c r="G135" s="14" t="n">
        <f aca="false">IF(A135="","",IF(COUNTIF(Ayarlar!$A$15:$A$20,C135)&gt;0,1,0))</f>
        <v>0</v>
      </c>
      <c r="H135" s="14" t="n">
        <f aca="false">IF(A135="","",DATEDIF(E135,Ayarlar!$B$3,"y"))</f>
        <v>13</v>
      </c>
      <c r="I135" s="14" t="n">
        <f aca="false">IF(OR(A135="",F135=""),"",DATEDIF(F135,Ayarlar!$B$3,"y"))</f>
        <v>47</v>
      </c>
      <c r="J135" s="14" t="n">
        <f aca="false">IF(A135="","",IF(H135&lt;1,0,MAX(IF(H135&lt;5,14,IF(H135&lt;15,20,26)),IF(AND(I135&lt;&gt;"",OR(I135&lt;=18,I135&gt;=50)),20,0))))</f>
        <v>20</v>
      </c>
      <c r="K135" s="17" t="n">
        <f aca="false">IF(A135="","",EDATE(E135,12*(H135+1)))</f>
        <v>46510</v>
      </c>
      <c r="L135" s="14" t="n">
        <f aca="false">IF(A135="","",K135-Ayarlar!$B$3)</f>
        <v>231</v>
      </c>
      <c r="M135" s="18" t="n">
        <f aca="false">IF(A135="","",Veri_Guncel!H135)</f>
        <v>14</v>
      </c>
      <c r="N135" s="18" t="n">
        <f aca="false">IF(A135="","",IFERROR(INDEX(Veri_Onceki!$H:$H,MATCH(A135,Veri_Onceki!$A:$A,0)),""))</f>
        <v>21</v>
      </c>
      <c r="O135" s="14" t="n">
        <f aca="false">IF(A135="","",IF(AND(H135&gt;=1,EDATE(E135,12*H135)&gt;Ayarlar!$B$4,EDATE(E135,12*H135)&lt;=Ayarlar!$B$3),J135,0))</f>
        <v>0</v>
      </c>
      <c r="P135" s="14" t="n">
        <f aca="false">IF(OR(A135="",N135=""),"",N135+O135-M135)</f>
        <v>7</v>
      </c>
      <c r="Q135" s="16" t="str">
        <f aca="false">IF(A135="","",IF(M135&gt;=Ayarlar!$B$7,"ALARM",IF(M135&gt;=Ayarlar!$B$6,"Planla","")))</f>
        <v>Planla</v>
      </c>
      <c r="R135" s="14" t="str">
        <f aca="false">IF(A135="","",IF(AND(L135&gt;=0,L135&lt;=Ayarlar!$B$9),"Evet",""))</f>
        <v/>
      </c>
      <c r="S135" s="16" t="str">
        <f aca="false">IF(A135="","",IF(N135="","Yeni personel",IF(P135&lt;0,"Kontrol et","")))</f>
        <v/>
      </c>
      <c r="T135" s="14" t="str">
        <f aca="false">IF(A135="","",IF(AND(G135=1,M135&gt;=Ayarlar!$B$6,OR(Ayarlar!$B$11="Tümü",C135=Ayarlar!$B$11)),M135+ROW()/100000,""))</f>
        <v/>
      </c>
    </row>
    <row r="136" customFormat="false" ht="15" hidden="false" customHeight="false" outlineLevel="0" collapsed="false">
      <c r="A136" s="18" t="str">
        <f aca="false">IF(Veri_Guncel!A136="","",Veri_Guncel!A136)</f>
        <v>S10135</v>
      </c>
      <c r="B136" s="18" t="str">
        <f aca="false">IF($A136="","",Veri_Guncel!B136)</f>
        <v>Elif Yıldız</v>
      </c>
      <c r="C136" s="18" t="str">
        <f aca="false">IF($A136="","",Veri_Guncel!C136)</f>
        <v>Bölge 7</v>
      </c>
      <c r="D136" s="18" t="str">
        <f aca="false">IF($A136="","",Veri_Guncel!D136)</f>
        <v>Mağaza 7A</v>
      </c>
      <c r="E136" s="19" t="n">
        <f aca="false">IF($A136="","",Veri_Guncel!E136)</f>
        <v>44385</v>
      </c>
      <c r="F136" s="19" t="n">
        <f aca="false">IF($A136="","",Veri_Guncel!F136)</f>
        <v>38475</v>
      </c>
      <c r="G136" s="14" t="n">
        <f aca="false">IF(A136="","",IF(COUNTIF(Ayarlar!$A$15:$A$20,C136)&gt;0,1,0))</f>
        <v>0</v>
      </c>
      <c r="H136" s="14" t="n">
        <f aca="false">IF(A136="","",DATEDIF(E136,Ayarlar!$B$3,"y"))</f>
        <v>5</v>
      </c>
      <c r="I136" s="14" t="n">
        <f aca="false">IF(OR(A136="",F136=""),"",DATEDIF(F136,Ayarlar!$B$3,"y"))</f>
        <v>21</v>
      </c>
      <c r="J136" s="14" t="n">
        <f aca="false">IF(A136="","",IF(H136&lt;1,0,MAX(IF(H136&lt;5,14,IF(H136&lt;15,20,26)),IF(AND(I136&lt;&gt;"",OR(I136&lt;=18,I136&gt;=50)),20,0))))</f>
        <v>20</v>
      </c>
      <c r="K136" s="17" t="n">
        <f aca="false">IF(A136="","",EDATE(E136,12*(H136+1)))</f>
        <v>46576</v>
      </c>
      <c r="L136" s="14" t="n">
        <f aca="false">IF(A136="","",K136-Ayarlar!$B$3)</f>
        <v>297</v>
      </c>
      <c r="M136" s="18" t="n">
        <f aca="false">IF(A136="","",Veri_Guncel!H136)</f>
        <v>24</v>
      </c>
      <c r="N136" s="18" t="n">
        <f aca="false">IF(A136="","",IFERROR(INDEX(Veri_Onceki!$H:$H,MATCH(A136,Veri_Onceki!$A:$A,0)),""))</f>
        <v>24</v>
      </c>
      <c r="O136" s="14" t="n">
        <f aca="false">IF(A136="","",IF(AND(H136&gt;=1,EDATE(E136,12*H136)&gt;Ayarlar!$B$4,EDATE(E136,12*H136)&lt;=Ayarlar!$B$3),J136,0))</f>
        <v>0</v>
      </c>
      <c r="P136" s="14" t="n">
        <f aca="false">IF(OR(A136="",N136=""),"",N136+O136-M136)</f>
        <v>0</v>
      </c>
      <c r="Q136" s="16" t="str">
        <f aca="false">IF(A136="","",IF(M136&gt;=Ayarlar!$B$7,"ALARM",IF(M136&gt;=Ayarlar!$B$6,"Planla","")))</f>
        <v>ALARM</v>
      </c>
      <c r="R136" s="14" t="str">
        <f aca="false">IF(A136="","",IF(AND(L136&gt;=0,L136&lt;=Ayarlar!$B$9),"Evet",""))</f>
        <v/>
      </c>
      <c r="S136" s="16" t="str">
        <f aca="false">IF(A136="","",IF(N136="","Yeni personel",IF(P136&lt;0,"Kontrol et","")))</f>
        <v/>
      </c>
      <c r="T136" s="14" t="str">
        <f aca="false">IF(A136="","",IF(AND(G136=1,M136&gt;=Ayarlar!$B$6,OR(Ayarlar!$B$11="Tümü",C136=Ayarlar!$B$11)),M136+ROW()/100000,""))</f>
        <v/>
      </c>
    </row>
    <row r="137" customFormat="false" ht="15" hidden="false" customHeight="false" outlineLevel="0" collapsed="false">
      <c r="A137" s="18" t="str">
        <f aca="false">IF(Veri_Guncel!A137="","",Veri_Guncel!A137)</f>
        <v>S10136</v>
      </c>
      <c r="B137" s="18" t="str">
        <f aca="false">IF($A137="","",Veri_Guncel!B137)</f>
        <v>Melis Polat</v>
      </c>
      <c r="C137" s="18" t="str">
        <f aca="false">IF($A137="","",Veri_Guncel!C137)</f>
        <v>Bölge 7</v>
      </c>
      <c r="D137" s="18" t="str">
        <f aca="false">IF($A137="","",Veri_Guncel!D137)</f>
        <v>Mağaza 7A</v>
      </c>
      <c r="E137" s="19" t="n">
        <f aca="false">IF($A137="","",Veri_Guncel!E137)</f>
        <v>41376</v>
      </c>
      <c r="F137" s="19" t="n">
        <f aca="false">IF($A137="","",Veri_Guncel!F137)</f>
        <v>35691</v>
      </c>
      <c r="G137" s="14" t="n">
        <f aca="false">IF(A137="","",IF(COUNTIF(Ayarlar!$A$15:$A$20,C137)&gt;0,1,0))</f>
        <v>0</v>
      </c>
      <c r="H137" s="14" t="n">
        <f aca="false">IF(A137="","",DATEDIF(E137,Ayarlar!$B$3,"y"))</f>
        <v>13</v>
      </c>
      <c r="I137" s="14" t="n">
        <f aca="false">IF(OR(A137="",F137=""),"",DATEDIF(F137,Ayarlar!$B$3,"y"))</f>
        <v>28</v>
      </c>
      <c r="J137" s="14" t="n">
        <f aca="false">IF(A137="","",IF(H137&lt;1,0,MAX(IF(H137&lt;5,14,IF(H137&lt;15,20,26)),IF(AND(I137&lt;&gt;"",OR(I137&lt;=18,I137&gt;=50)),20,0))))</f>
        <v>20</v>
      </c>
      <c r="K137" s="17" t="n">
        <f aca="false">IF(A137="","",EDATE(E137,12*(H137+1)))</f>
        <v>46489</v>
      </c>
      <c r="L137" s="14" t="n">
        <f aca="false">IF(A137="","",K137-Ayarlar!$B$3)</f>
        <v>210</v>
      </c>
      <c r="M137" s="18" t="n">
        <f aca="false">IF(A137="","",Veri_Guncel!H137)</f>
        <v>15</v>
      </c>
      <c r="N137" s="18" t="n">
        <f aca="false">IF(A137="","",IFERROR(INDEX(Veri_Onceki!$H:$H,MATCH(A137,Veri_Onceki!$A:$A,0)),""))</f>
        <v>15</v>
      </c>
      <c r="O137" s="14" t="n">
        <f aca="false">IF(A137="","",IF(AND(H137&gt;=1,EDATE(E137,12*H137)&gt;Ayarlar!$B$4,EDATE(E137,12*H137)&lt;=Ayarlar!$B$3),J137,0))</f>
        <v>0</v>
      </c>
      <c r="P137" s="14" t="n">
        <f aca="false">IF(OR(A137="",N137=""),"",N137+O137-M137)</f>
        <v>0</v>
      </c>
      <c r="Q137" s="16" t="str">
        <f aca="false">IF(A137="","",IF(M137&gt;=Ayarlar!$B$7,"ALARM",IF(M137&gt;=Ayarlar!$B$6,"Planla","")))</f>
        <v>Planla</v>
      </c>
      <c r="R137" s="14" t="str">
        <f aca="false">IF(A137="","",IF(AND(L137&gt;=0,L137&lt;=Ayarlar!$B$9),"Evet",""))</f>
        <v/>
      </c>
      <c r="S137" s="16" t="str">
        <f aca="false">IF(A137="","",IF(N137="","Yeni personel",IF(P137&lt;0,"Kontrol et","")))</f>
        <v/>
      </c>
      <c r="T137" s="14" t="str">
        <f aca="false">IF(A137="","",IF(AND(G137=1,M137&gt;=Ayarlar!$B$6,OR(Ayarlar!$B$11="Tümü",C137=Ayarlar!$B$11)),M137+ROW()/100000,""))</f>
        <v/>
      </c>
    </row>
    <row r="138" customFormat="false" ht="15" hidden="false" customHeight="false" outlineLevel="0" collapsed="false">
      <c r="A138" s="18" t="str">
        <f aca="false">IF(Veri_Guncel!A138="","",Veri_Guncel!A138)</f>
        <v>S10137</v>
      </c>
      <c r="B138" s="18" t="str">
        <f aca="false">IF($A138="","",Veri_Guncel!B138)</f>
        <v>Melis Polat</v>
      </c>
      <c r="C138" s="18" t="str">
        <f aca="false">IF($A138="","",Veri_Guncel!C138)</f>
        <v>Bölge 7</v>
      </c>
      <c r="D138" s="18" t="str">
        <f aca="false">IF($A138="","",Veri_Guncel!D138)</f>
        <v>Mağaza 7A</v>
      </c>
      <c r="E138" s="19" t="n">
        <f aca="false">IF($A138="","",Veri_Guncel!E138)</f>
        <v>41907</v>
      </c>
      <c r="F138" s="19" t="n">
        <f aca="false">IF($A138="","",Veri_Guncel!F138)</f>
        <v>29643</v>
      </c>
      <c r="G138" s="14" t="n">
        <f aca="false">IF(A138="","",IF(COUNTIF(Ayarlar!$A$15:$A$20,C138)&gt;0,1,0))</f>
        <v>0</v>
      </c>
      <c r="H138" s="14" t="n">
        <f aca="false">IF(A138="","",DATEDIF(E138,Ayarlar!$B$3,"y"))</f>
        <v>11</v>
      </c>
      <c r="I138" s="14" t="n">
        <f aca="false">IF(OR(A138="",F138=""),"",DATEDIF(F138,Ayarlar!$B$3,"y"))</f>
        <v>45</v>
      </c>
      <c r="J138" s="14" t="n">
        <f aca="false">IF(A138="","",IF(H138&lt;1,0,MAX(IF(H138&lt;5,14,IF(H138&lt;15,20,26)),IF(AND(I138&lt;&gt;"",OR(I138&lt;=18,I138&gt;=50)),20,0))))</f>
        <v>20</v>
      </c>
      <c r="K138" s="17" t="n">
        <f aca="false">IF(A138="","",EDATE(E138,12*(H138+1)))</f>
        <v>46290</v>
      </c>
      <c r="L138" s="14" t="n">
        <f aca="false">IF(A138="","",K138-Ayarlar!$B$3)</f>
        <v>11</v>
      </c>
      <c r="M138" s="18" t="n">
        <f aca="false">IF(A138="","",Veri_Guncel!H138)</f>
        <v>17</v>
      </c>
      <c r="N138" s="18" t="n">
        <f aca="false">IF(A138="","",IFERROR(INDEX(Veri_Onceki!$H:$H,MATCH(A138,Veri_Onceki!$A:$A,0)),""))</f>
        <v>24</v>
      </c>
      <c r="O138" s="14" t="n">
        <f aca="false">IF(A138="","",IF(AND(H138&gt;=1,EDATE(E138,12*H138)&gt;Ayarlar!$B$4,EDATE(E138,12*H138)&lt;=Ayarlar!$B$3),J138,0))</f>
        <v>0</v>
      </c>
      <c r="P138" s="14" t="n">
        <f aca="false">IF(OR(A138="",N138=""),"",N138+O138-M138)</f>
        <v>7</v>
      </c>
      <c r="Q138" s="16" t="str">
        <f aca="false">IF(A138="","",IF(M138&gt;=Ayarlar!$B$7,"ALARM",IF(M138&gt;=Ayarlar!$B$6,"Planla","")))</f>
        <v>Planla</v>
      </c>
      <c r="R138" s="14" t="str">
        <f aca="false">IF(A138="","",IF(AND(L138&gt;=0,L138&lt;=Ayarlar!$B$9),"Evet",""))</f>
        <v>Evet</v>
      </c>
      <c r="S138" s="16" t="str">
        <f aca="false">IF(A138="","",IF(N138="","Yeni personel",IF(P138&lt;0,"Kontrol et","")))</f>
        <v/>
      </c>
      <c r="T138" s="14" t="str">
        <f aca="false">IF(A138="","",IF(AND(G138=1,M138&gt;=Ayarlar!$B$6,OR(Ayarlar!$B$11="Tümü",C138=Ayarlar!$B$11)),M138+ROW()/100000,""))</f>
        <v/>
      </c>
    </row>
    <row r="139" customFormat="false" ht="15" hidden="false" customHeight="false" outlineLevel="0" collapsed="false">
      <c r="A139" s="18" t="str">
        <f aca="false">IF(Veri_Guncel!A139="","",Veri_Guncel!A139)</f>
        <v>S10138</v>
      </c>
      <c r="B139" s="18" t="str">
        <f aca="false">IF($A139="","",Veri_Guncel!B139)</f>
        <v>Deniz Yılmaz</v>
      </c>
      <c r="C139" s="18" t="str">
        <f aca="false">IF($A139="","",Veri_Guncel!C139)</f>
        <v>Bölge 7</v>
      </c>
      <c r="D139" s="18" t="str">
        <f aca="false">IF($A139="","",Veri_Guncel!D139)</f>
        <v>Mağaza 7A</v>
      </c>
      <c r="E139" s="19" t="n">
        <f aca="false">IF($A139="","",Veri_Guncel!E139)</f>
        <v>42942</v>
      </c>
      <c r="F139" s="19" t="n">
        <f aca="false">IF($A139="","",Veri_Guncel!F139)</f>
        <v>31511</v>
      </c>
      <c r="G139" s="14" t="n">
        <f aca="false">IF(A139="","",IF(COUNTIF(Ayarlar!$A$15:$A$20,C139)&gt;0,1,0))</f>
        <v>0</v>
      </c>
      <c r="H139" s="14" t="n">
        <f aca="false">IF(A139="","",DATEDIF(E139,Ayarlar!$B$3,"y"))</f>
        <v>9</v>
      </c>
      <c r="I139" s="14" t="n">
        <f aca="false">IF(OR(A139="",F139=""),"",DATEDIF(F139,Ayarlar!$B$3,"y"))</f>
        <v>40</v>
      </c>
      <c r="J139" s="14" t="n">
        <f aca="false">IF(A139="","",IF(H139&lt;1,0,MAX(IF(H139&lt;5,14,IF(H139&lt;15,20,26)),IF(AND(I139&lt;&gt;"",OR(I139&lt;=18,I139&gt;=50)),20,0))))</f>
        <v>20</v>
      </c>
      <c r="K139" s="17" t="n">
        <f aca="false">IF(A139="","",EDATE(E139,12*(H139+1)))</f>
        <v>46594</v>
      </c>
      <c r="L139" s="14" t="n">
        <f aca="false">IF(A139="","",K139-Ayarlar!$B$3)</f>
        <v>315</v>
      </c>
      <c r="M139" s="18" t="n">
        <f aca="false">IF(A139="","",Veri_Guncel!H139)</f>
        <v>28</v>
      </c>
      <c r="N139" s="18" t="n">
        <f aca="false">IF(A139="","",IFERROR(INDEX(Veri_Onceki!$H:$H,MATCH(A139,Veri_Onceki!$A:$A,0)),""))</f>
        <v>31</v>
      </c>
      <c r="O139" s="14" t="n">
        <f aca="false">IF(A139="","",IF(AND(H139&gt;=1,EDATE(E139,12*H139)&gt;Ayarlar!$B$4,EDATE(E139,12*H139)&lt;=Ayarlar!$B$3),J139,0))</f>
        <v>0</v>
      </c>
      <c r="P139" s="14" t="n">
        <f aca="false">IF(OR(A139="",N139=""),"",N139+O139-M139)</f>
        <v>3</v>
      </c>
      <c r="Q139" s="16" t="str">
        <f aca="false">IF(A139="","",IF(M139&gt;=Ayarlar!$B$7,"ALARM",IF(M139&gt;=Ayarlar!$B$6,"Planla","")))</f>
        <v>ALARM</v>
      </c>
      <c r="R139" s="14" t="str">
        <f aca="false">IF(A139="","",IF(AND(L139&gt;=0,L139&lt;=Ayarlar!$B$9),"Evet",""))</f>
        <v/>
      </c>
      <c r="S139" s="16" t="str">
        <f aca="false">IF(A139="","",IF(N139="","Yeni personel",IF(P139&lt;0,"Kontrol et","")))</f>
        <v/>
      </c>
      <c r="T139" s="14" t="str">
        <f aca="false">IF(A139="","",IF(AND(G139=1,M139&gt;=Ayarlar!$B$6,OR(Ayarlar!$B$11="Tümü",C139=Ayarlar!$B$11)),M139+ROW()/100000,""))</f>
        <v/>
      </c>
    </row>
    <row r="140" customFormat="false" ht="15" hidden="false" customHeight="false" outlineLevel="0" collapsed="false">
      <c r="A140" s="18" t="str">
        <f aca="false">IF(Veri_Guncel!A140="","",Veri_Guncel!A140)</f>
        <v>S10139</v>
      </c>
      <c r="B140" s="18" t="str">
        <f aca="false">IF($A140="","",Veri_Guncel!B140)</f>
        <v>Deniz Şahin</v>
      </c>
      <c r="C140" s="18" t="str">
        <f aca="false">IF($A140="","",Veri_Guncel!C140)</f>
        <v>Bölge 7</v>
      </c>
      <c r="D140" s="18" t="str">
        <f aca="false">IF($A140="","",Veri_Guncel!D140)</f>
        <v>Mağaza 7B</v>
      </c>
      <c r="E140" s="19" t="n">
        <f aca="false">IF($A140="","",Veri_Guncel!E140)</f>
        <v>42746</v>
      </c>
      <c r="F140" s="19" t="n">
        <f aca="false">IF($A140="","",Veri_Guncel!F140)</f>
        <v>35726</v>
      </c>
      <c r="G140" s="14" t="n">
        <f aca="false">IF(A140="","",IF(COUNTIF(Ayarlar!$A$15:$A$20,C140)&gt;0,1,0))</f>
        <v>0</v>
      </c>
      <c r="H140" s="14" t="n">
        <f aca="false">IF(A140="","",DATEDIF(E140,Ayarlar!$B$3,"y"))</f>
        <v>9</v>
      </c>
      <c r="I140" s="14" t="n">
        <f aca="false">IF(OR(A140="",F140=""),"",DATEDIF(F140,Ayarlar!$B$3,"y"))</f>
        <v>28</v>
      </c>
      <c r="J140" s="14" t="n">
        <f aca="false">IF(A140="","",IF(H140&lt;1,0,MAX(IF(H140&lt;5,14,IF(H140&lt;15,20,26)),IF(AND(I140&lt;&gt;"",OR(I140&lt;=18,I140&gt;=50)),20,0))))</f>
        <v>20</v>
      </c>
      <c r="K140" s="17" t="n">
        <f aca="false">IF(A140="","",EDATE(E140,12*(H140+1)))</f>
        <v>46398</v>
      </c>
      <c r="L140" s="14" t="n">
        <f aca="false">IF(A140="","",K140-Ayarlar!$B$3)</f>
        <v>119</v>
      </c>
      <c r="M140" s="18" t="n">
        <f aca="false">IF(A140="","",Veri_Guncel!H140)</f>
        <v>21</v>
      </c>
      <c r="N140" s="18" t="n">
        <f aca="false">IF(A140="","",IFERROR(INDEX(Veri_Onceki!$H:$H,MATCH(A140,Veri_Onceki!$A:$A,0)),""))</f>
        <v>21</v>
      </c>
      <c r="O140" s="14" t="n">
        <f aca="false">IF(A140="","",IF(AND(H140&gt;=1,EDATE(E140,12*H140)&gt;Ayarlar!$B$4,EDATE(E140,12*H140)&lt;=Ayarlar!$B$3),J140,0))</f>
        <v>0</v>
      </c>
      <c r="P140" s="14" t="n">
        <f aca="false">IF(OR(A140="",N140=""),"",N140+O140-M140)</f>
        <v>0</v>
      </c>
      <c r="Q140" s="16" t="str">
        <f aca="false">IF(A140="","",IF(M140&gt;=Ayarlar!$B$7,"ALARM",IF(M140&gt;=Ayarlar!$B$6,"Planla","")))</f>
        <v>ALARM</v>
      </c>
      <c r="R140" s="14" t="str">
        <f aca="false">IF(A140="","",IF(AND(L140&gt;=0,L140&lt;=Ayarlar!$B$9),"Evet",""))</f>
        <v/>
      </c>
      <c r="S140" s="16" t="str">
        <f aca="false">IF(A140="","",IF(N140="","Yeni personel",IF(P140&lt;0,"Kontrol et","")))</f>
        <v/>
      </c>
      <c r="T140" s="14" t="str">
        <f aca="false">IF(A140="","",IF(AND(G140=1,M140&gt;=Ayarlar!$B$6,OR(Ayarlar!$B$11="Tümü",C140=Ayarlar!$B$11)),M140+ROW()/100000,""))</f>
        <v/>
      </c>
    </row>
    <row r="141" customFormat="false" ht="15" hidden="false" customHeight="false" outlineLevel="0" collapsed="false">
      <c r="A141" s="18" t="str">
        <f aca="false">IF(Veri_Guncel!A141="","",Veri_Guncel!A141)</f>
        <v>S10140</v>
      </c>
      <c r="B141" s="18" t="str">
        <f aca="false">IF($A141="","",Veri_Guncel!B141)</f>
        <v>Mehmet Öztürk</v>
      </c>
      <c r="C141" s="18" t="str">
        <f aca="false">IF($A141="","",Veri_Guncel!C141)</f>
        <v>Bölge 7</v>
      </c>
      <c r="D141" s="18" t="str">
        <f aca="false">IF($A141="","",Veri_Guncel!D141)</f>
        <v>Mağaza 7B</v>
      </c>
      <c r="E141" s="19" t="n">
        <f aca="false">IF($A141="","",Veri_Guncel!E141)</f>
        <v>45073</v>
      </c>
      <c r="F141" s="19" t="n">
        <f aca="false">IF($A141="","",Veri_Guncel!F141)</f>
        <v>28407</v>
      </c>
      <c r="G141" s="14" t="n">
        <f aca="false">IF(A141="","",IF(COUNTIF(Ayarlar!$A$15:$A$20,C141)&gt;0,1,0))</f>
        <v>0</v>
      </c>
      <c r="H141" s="14" t="n">
        <f aca="false">IF(A141="","",DATEDIF(E141,Ayarlar!$B$3,"y"))</f>
        <v>3</v>
      </c>
      <c r="I141" s="14" t="n">
        <f aca="false">IF(OR(A141="",F141=""),"",DATEDIF(F141,Ayarlar!$B$3,"y"))</f>
        <v>48</v>
      </c>
      <c r="J141" s="14" t="n">
        <f aca="false">IF(A141="","",IF(H141&lt;1,0,MAX(IF(H141&lt;5,14,IF(H141&lt;15,20,26)),IF(AND(I141&lt;&gt;"",OR(I141&lt;=18,I141&gt;=50)),20,0))))</f>
        <v>14</v>
      </c>
      <c r="K141" s="17" t="n">
        <f aca="false">IF(A141="","",EDATE(E141,12*(H141+1)))</f>
        <v>46534</v>
      </c>
      <c r="L141" s="14" t="n">
        <f aca="false">IF(A141="","",K141-Ayarlar!$B$3)</f>
        <v>255</v>
      </c>
      <c r="M141" s="18" t="n">
        <f aca="false">IF(A141="","",Veri_Guncel!H141)</f>
        <v>24</v>
      </c>
      <c r="N141" s="18" t="n">
        <f aca="false">IF(A141="","",IFERROR(INDEX(Veri_Onceki!$H:$H,MATCH(A141,Veri_Onceki!$A:$A,0)),""))</f>
        <v>27</v>
      </c>
      <c r="O141" s="14" t="n">
        <f aca="false">IF(A141="","",IF(AND(H141&gt;=1,EDATE(E141,12*H141)&gt;Ayarlar!$B$4,EDATE(E141,12*H141)&lt;=Ayarlar!$B$3),J141,0))</f>
        <v>0</v>
      </c>
      <c r="P141" s="14" t="n">
        <f aca="false">IF(OR(A141="",N141=""),"",N141+O141-M141)</f>
        <v>3</v>
      </c>
      <c r="Q141" s="16" t="str">
        <f aca="false">IF(A141="","",IF(M141&gt;=Ayarlar!$B$7,"ALARM",IF(M141&gt;=Ayarlar!$B$6,"Planla","")))</f>
        <v>ALARM</v>
      </c>
      <c r="R141" s="14" t="str">
        <f aca="false">IF(A141="","",IF(AND(L141&gt;=0,L141&lt;=Ayarlar!$B$9),"Evet",""))</f>
        <v/>
      </c>
      <c r="S141" s="16" t="str">
        <f aca="false">IF(A141="","",IF(N141="","Yeni personel",IF(P141&lt;0,"Kontrol et","")))</f>
        <v/>
      </c>
      <c r="T141" s="14" t="str">
        <f aca="false">IF(A141="","",IF(AND(G141=1,M141&gt;=Ayarlar!$B$6,OR(Ayarlar!$B$11="Tümü",C141=Ayarlar!$B$11)),M141+ROW()/100000,""))</f>
        <v/>
      </c>
    </row>
    <row r="142" customFormat="false" ht="15" hidden="false" customHeight="false" outlineLevel="0" collapsed="false">
      <c r="A142" s="18" t="str">
        <f aca="false">IF(Veri_Guncel!A142="","",Veri_Guncel!A142)</f>
        <v>S10141</v>
      </c>
      <c r="B142" s="18" t="str">
        <f aca="false">IF($A142="","",Veri_Guncel!B142)</f>
        <v>Cem Arslan</v>
      </c>
      <c r="C142" s="18" t="str">
        <f aca="false">IF($A142="","",Veri_Guncel!C142)</f>
        <v>Bölge 7</v>
      </c>
      <c r="D142" s="18" t="str">
        <f aca="false">IF($A142="","",Veri_Guncel!D142)</f>
        <v>Mağaza 7B</v>
      </c>
      <c r="E142" s="19" t="n">
        <f aca="false">IF($A142="","",Veri_Guncel!E142)</f>
        <v>46217</v>
      </c>
      <c r="F142" s="19" t="n">
        <f aca="false">IF($A142="","",Veri_Guncel!F142)</f>
        <v>34346</v>
      </c>
      <c r="G142" s="14" t="n">
        <f aca="false">IF(A142="","",IF(COUNTIF(Ayarlar!$A$15:$A$20,C142)&gt;0,1,0))</f>
        <v>0</v>
      </c>
      <c r="H142" s="14" t="n">
        <f aca="false">IF(A142="","",DATEDIF(E142,Ayarlar!$B$3,"y"))</f>
        <v>0</v>
      </c>
      <c r="I142" s="14" t="n">
        <f aca="false">IF(OR(A142="",F142=""),"",DATEDIF(F142,Ayarlar!$B$3,"y"))</f>
        <v>32</v>
      </c>
      <c r="J142" s="14" t="n">
        <f aca="false">IF(A142="","",IF(H142&lt;1,0,MAX(IF(H142&lt;5,14,IF(H142&lt;15,20,26)),IF(AND(I142&lt;&gt;"",OR(I142&lt;=18,I142&gt;=50)),20,0))))</f>
        <v>0</v>
      </c>
      <c r="K142" s="17" t="n">
        <f aca="false">IF(A142="","",EDATE(E142,12*(H142+1)))</f>
        <v>46582</v>
      </c>
      <c r="L142" s="14" t="n">
        <f aca="false">IF(A142="","",K142-Ayarlar!$B$3)</f>
        <v>303</v>
      </c>
      <c r="M142" s="18" t="n">
        <f aca="false">IF(A142="","",Veri_Guncel!H142)</f>
        <v>0</v>
      </c>
      <c r="N142" s="18" t="n">
        <f aca="false">IF(A142="","",IFERROR(INDEX(Veri_Onceki!$H:$H,MATCH(A142,Veri_Onceki!$A:$A,0)),""))</f>
        <v>0</v>
      </c>
      <c r="O142" s="14" t="n">
        <f aca="false">IF(A142="","",IF(AND(H142&gt;=1,EDATE(E142,12*H142)&gt;Ayarlar!$B$4,EDATE(E142,12*H142)&lt;=Ayarlar!$B$3),J142,0))</f>
        <v>0</v>
      </c>
      <c r="P142" s="14" t="n">
        <f aca="false">IF(OR(A142="",N142=""),"",N142+O142-M142)</f>
        <v>0</v>
      </c>
      <c r="Q142" s="16" t="str">
        <f aca="false">IF(A142="","",IF(M142&gt;=Ayarlar!$B$7,"ALARM",IF(M142&gt;=Ayarlar!$B$6,"Planla","")))</f>
        <v/>
      </c>
      <c r="R142" s="14" t="str">
        <f aca="false">IF(A142="","",IF(AND(L142&gt;=0,L142&lt;=Ayarlar!$B$9),"Evet",""))</f>
        <v/>
      </c>
      <c r="S142" s="16" t="str">
        <f aca="false">IF(A142="","",IF(N142="","Yeni personel",IF(P142&lt;0,"Kontrol et","")))</f>
        <v/>
      </c>
      <c r="T142" s="14" t="str">
        <f aca="false">IF(A142="","",IF(AND(G142=1,M142&gt;=Ayarlar!$B$6,OR(Ayarlar!$B$11="Tümü",C142=Ayarlar!$B$11)),M142+ROW()/100000,""))</f>
        <v/>
      </c>
    </row>
    <row r="143" customFormat="false" ht="15" hidden="false" customHeight="false" outlineLevel="0" collapsed="false">
      <c r="A143" s="18" t="str">
        <f aca="false">IF(Veri_Guncel!A143="","",Veri_Guncel!A143)</f>
        <v>S10142</v>
      </c>
      <c r="B143" s="18" t="str">
        <f aca="false">IF($A143="","",Veri_Guncel!B143)</f>
        <v>Derya Koç</v>
      </c>
      <c r="C143" s="18" t="str">
        <f aca="false">IF($A143="","",Veri_Guncel!C143)</f>
        <v>Bölge 7</v>
      </c>
      <c r="D143" s="18" t="str">
        <f aca="false">IF($A143="","",Veri_Guncel!D143)</f>
        <v>Mağaza 7B</v>
      </c>
      <c r="E143" s="19" t="n">
        <f aca="false">IF($A143="","",Veri_Guncel!E143)</f>
        <v>40561</v>
      </c>
      <c r="F143" s="19" t="n">
        <f aca="false">IF($A143="","",Veri_Guncel!F143)</f>
        <v>29236</v>
      </c>
      <c r="G143" s="14" t="n">
        <f aca="false">IF(A143="","",IF(COUNTIF(Ayarlar!$A$15:$A$20,C143)&gt;0,1,0))</f>
        <v>0</v>
      </c>
      <c r="H143" s="14" t="n">
        <f aca="false">IF(A143="","",DATEDIF(E143,Ayarlar!$B$3,"y"))</f>
        <v>15</v>
      </c>
      <c r="I143" s="14" t="n">
        <f aca="false">IF(OR(A143="",F143=""),"",DATEDIF(F143,Ayarlar!$B$3,"y"))</f>
        <v>46</v>
      </c>
      <c r="J143" s="14" t="n">
        <f aca="false">IF(A143="","",IF(H143&lt;1,0,MAX(IF(H143&lt;5,14,IF(H143&lt;15,20,26)),IF(AND(I143&lt;&gt;"",OR(I143&lt;=18,I143&gt;=50)),20,0))))</f>
        <v>26</v>
      </c>
      <c r="K143" s="17" t="n">
        <f aca="false">IF(A143="","",EDATE(E143,12*(H143+1)))</f>
        <v>46405</v>
      </c>
      <c r="L143" s="14" t="n">
        <f aca="false">IF(A143="","",K143-Ayarlar!$B$3)</f>
        <v>126</v>
      </c>
      <c r="M143" s="18" t="n">
        <f aca="false">IF(A143="","",Veri_Guncel!H143)</f>
        <v>15</v>
      </c>
      <c r="N143" s="18" t="n">
        <f aca="false">IF(A143="","",IFERROR(INDEX(Veri_Onceki!$H:$H,MATCH(A143,Veri_Onceki!$A:$A,0)),""))</f>
        <v>18</v>
      </c>
      <c r="O143" s="14" t="n">
        <f aca="false">IF(A143="","",IF(AND(H143&gt;=1,EDATE(E143,12*H143)&gt;Ayarlar!$B$4,EDATE(E143,12*H143)&lt;=Ayarlar!$B$3),J143,0))</f>
        <v>0</v>
      </c>
      <c r="P143" s="14" t="n">
        <f aca="false">IF(OR(A143="",N143=""),"",N143+O143-M143)</f>
        <v>3</v>
      </c>
      <c r="Q143" s="16" t="str">
        <f aca="false">IF(A143="","",IF(M143&gt;=Ayarlar!$B$7,"ALARM",IF(M143&gt;=Ayarlar!$B$6,"Planla","")))</f>
        <v>Planla</v>
      </c>
      <c r="R143" s="14" t="str">
        <f aca="false">IF(A143="","",IF(AND(L143&gt;=0,L143&lt;=Ayarlar!$B$9),"Evet",""))</f>
        <v/>
      </c>
      <c r="S143" s="16" t="str">
        <f aca="false">IF(A143="","",IF(N143="","Yeni personel",IF(P143&lt;0,"Kontrol et","")))</f>
        <v/>
      </c>
      <c r="T143" s="14" t="str">
        <f aca="false">IF(A143="","",IF(AND(G143=1,M143&gt;=Ayarlar!$B$6,OR(Ayarlar!$B$11="Tümü",C143=Ayarlar!$B$11)),M143+ROW()/100000,""))</f>
        <v/>
      </c>
    </row>
    <row r="144" customFormat="false" ht="15" hidden="false" customHeight="false" outlineLevel="0" collapsed="false">
      <c r="A144" s="18" t="str">
        <f aca="false">IF(Veri_Guncel!A144="","",Veri_Guncel!A144)</f>
        <v>S10143</v>
      </c>
      <c r="B144" s="18" t="str">
        <f aca="false">IF($A144="","",Veri_Guncel!B144)</f>
        <v>Gizem Kaya</v>
      </c>
      <c r="C144" s="18" t="str">
        <f aca="false">IF($A144="","",Veri_Guncel!C144)</f>
        <v>Bölge 7</v>
      </c>
      <c r="D144" s="18" t="str">
        <f aca="false">IF($A144="","",Veri_Guncel!D144)</f>
        <v>Mağaza 7B</v>
      </c>
      <c r="E144" s="19" t="n">
        <f aca="false">IF($A144="","",Veri_Guncel!E144)</f>
        <v>44545</v>
      </c>
      <c r="F144" s="19" t="n">
        <f aca="false">IF($A144="","",Veri_Guncel!F144)</f>
        <v>28426</v>
      </c>
      <c r="G144" s="14" t="n">
        <f aca="false">IF(A144="","",IF(COUNTIF(Ayarlar!$A$15:$A$20,C144)&gt;0,1,0))</f>
        <v>0</v>
      </c>
      <c r="H144" s="14" t="n">
        <f aca="false">IF(A144="","",DATEDIF(E144,Ayarlar!$B$3,"y"))</f>
        <v>4</v>
      </c>
      <c r="I144" s="14" t="n">
        <f aca="false">IF(OR(A144="",F144=""),"",DATEDIF(F144,Ayarlar!$B$3,"y"))</f>
        <v>48</v>
      </c>
      <c r="J144" s="14" t="n">
        <f aca="false">IF(A144="","",IF(H144&lt;1,0,MAX(IF(H144&lt;5,14,IF(H144&lt;15,20,26)),IF(AND(I144&lt;&gt;"",OR(I144&lt;=18,I144&gt;=50)),20,0))))</f>
        <v>14</v>
      </c>
      <c r="K144" s="17" t="n">
        <f aca="false">IF(A144="","",EDATE(E144,12*(H144+1)))</f>
        <v>46371</v>
      </c>
      <c r="L144" s="14" t="n">
        <f aca="false">IF(A144="","",K144-Ayarlar!$B$3)</f>
        <v>92</v>
      </c>
      <c r="M144" s="18" t="n">
        <f aca="false">IF(A144="","",Veri_Guncel!H144)</f>
        <v>8</v>
      </c>
      <c r="N144" s="18" t="n">
        <f aca="false">IF(A144="","",IFERROR(INDEX(Veri_Onceki!$H:$H,MATCH(A144,Veri_Onceki!$A:$A,0)),""))</f>
        <v>11</v>
      </c>
      <c r="O144" s="14" t="n">
        <f aca="false">IF(A144="","",IF(AND(H144&gt;=1,EDATE(E144,12*H144)&gt;Ayarlar!$B$4,EDATE(E144,12*H144)&lt;=Ayarlar!$B$3),J144,0))</f>
        <v>0</v>
      </c>
      <c r="P144" s="14" t="n">
        <f aca="false">IF(OR(A144="",N144=""),"",N144+O144-M144)</f>
        <v>3</v>
      </c>
      <c r="Q144" s="16" t="str">
        <f aca="false">IF(A144="","",IF(M144&gt;=Ayarlar!$B$7,"ALARM",IF(M144&gt;=Ayarlar!$B$6,"Planla","")))</f>
        <v/>
      </c>
      <c r="R144" s="14" t="str">
        <f aca="false">IF(A144="","",IF(AND(L144&gt;=0,L144&lt;=Ayarlar!$B$9),"Evet",""))</f>
        <v/>
      </c>
      <c r="S144" s="16" t="str">
        <f aca="false">IF(A144="","",IF(N144="","Yeni personel",IF(P144&lt;0,"Kontrol et","")))</f>
        <v/>
      </c>
      <c r="T144" s="14" t="str">
        <f aca="false">IF(A144="","",IF(AND(G144=1,M144&gt;=Ayarlar!$B$6,OR(Ayarlar!$B$11="Tümü",C144=Ayarlar!$B$11)),M144+ROW()/100000,""))</f>
        <v/>
      </c>
    </row>
    <row r="145" customFormat="false" ht="15" hidden="false" customHeight="false" outlineLevel="0" collapsed="false">
      <c r="A145" s="18" t="str">
        <f aca="false">IF(Veri_Guncel!A145="","",Veri_Guncel!A145)</f>
        <v>S10144</v>
      </c>
      <c r="B145" s="18" t="str">
        <f aca="false">IF($A145="","",Veri_Guncel!B145)</f>
        <v>Elif Yıldız</v>
      </c>
      <c r="C145" s="18" t="str">
        <f aca="false">IF($A145="","",Veri_Guncel!C145)</f>
        <v>Bölge 7</v>
      </c>
      <c r="D145" s="18" t="str">
        <f aca="false">IF($A145="","",Veri_Guncel!D145)</f>
        <v>Mağaza 7B</v>
      </c>
      <c r="E145" s="19" t="n">
        <f aca="false">IF($A145="","",Veri_Guncel!E145)</f>
        <v>43810</v>
      </c>
      <c r="F145" s="19" t="n">
        <f aca="false">IF($A145="","",Veri_Guncel!F145)</f>
        <v>33321</v>
      </c>
      <c r="G145" s="14" t="n">
        <f aca="false">IF(A145="","",IF(COUNTIF(Ayarlar!$A$15:$A$20,C145)&gt;0,1,0))</f>
        <v>0</v>
      </c>
      <c r="H145" s="14" t="n">
        <f aca="false">IF(A145="","",DATEDIF(E145,Ayarlar!$B$3,"y"))</f>
        <v>6</v>
      </c>
      <c r="I145" s="14" t="n">
        <f aca="false">IF(OR(A145="",F145=""),"",DATEDIF(F145,Ayarlar!$B$3,"y"))</f>
        <v>35</v>
      </c>
      <c r="J145" s="14" t="n">
        <f aca="false">IF(A145="","",IF(H145&lt;1,0,MAX(IF(H145&lt;5,14,IF(H145&lt;15,20,26)),IF(AND(I145&lt;&gt;"",OR(I145&lt;=18,I145&gt;=50)),20,0))))</f>
        <v>20</v>
      </c>
      <c r="K145" s="17" t="n">
        <f aca="false">IF(A145="","",EDATE(E145,12*(H145+1)))</f>
        <v>46367</v>
      </c>
      <c r="L145" s="14" t="n">
        <f aca="false">IF(A145="","",K145-Ayarlar!$B$3)</f>
        <v>88</v>
      </c>
      <c r="M145" s="18" t="n">
        <f aca="false">IF(A145="","",Veri_Guncel!H145)</f>
        <v>0</v>
      </c>
      <c r="N145" s="18" t="n">
        <f aca="false">IF(A145="","",IFERROR(INDEX(Veri_Onceki!$H:$H,MATCH(A145,Veri_Onceki!$A:$A,0)),""))</f>
        <v>7</v>
      </c>
      <c r="O145" s="14" t="n">
        <f aca="false">IF(A145="","",IF(AND(H145&gt;=1,EDATE(E145,12*H145)&gt;Ayarlar!$B$4,EDATE(E145,12*H145)&lt;=Ayarlar!$B$3),J145,0))</f>
        <v>0</v>
      </c>
      <c r="P145" s="14" t="n">
        <f aca="false">IF(OR(A145="",N145=""),"",N145+O145-M145)</f>
        <v>7</v>
      </c>
      <c r="Q145" s="16" t="str">
        <f aca="false">IF(A145="","",IF(M145&gt;=Ayarlar!$B$7,"ALARM",IF(M145&gt;=Ayarlar!$B$6,"Planla","")))</f>
        <v/>
      </c>
      <c r="R145" s="14" t="str">
        <f aca="false">IF(A145="","",IF(AND(L145&gt;=0,L145&lt;=Ayarlar!$B$9),"Evet",""))</f>
        <v/>
      </c>
      <c r="S145" s="16" t="str">
        <f aca="false">IF(A145="","",IF(N145="","Yeni personel",IF(P145&lt;0,"Kontrol et","")))</f>
        <v/>
      </c>
      <c r="T145" s="14" t="str">
        <f aca="false">IF(A145="","",IF(AND(G145=1,M145&gt;=Ayarlar!$B$6,OR(Ayarlar!$B$11="Tümü",C145=Ayarlar!$B$11)),M145+ROW()/100000,""))</f>
        <v/>
      </c>
    </row>
    <row r="146" customFormat="false" ht="15" hidden="false" customHeight="false" outlineLevel="0" collapsed="false">
      <c r="A146" s="18" t="str">
        <f aca="false">IF(Veri_Guncel!A146="","",Veri_Guncel!A146)</f>
        <v>S10145</v>
      </c>
      <c r="B146" s="18" t="str">
        <f aca="false">IF($A146="","",Veri_Guncel!B146)</f>
        <v>Burak Yılmaz</v>
      </c>
      <c r="C146" s="18" t="str">
        <f aca="false">IF($A146="","",Veri_Guncel!C146)</f>
        <v>Bölge 7</v>
      </c>
      <c r="D146" s="18" t="str">
        <f aca="false">IF($A146="","",Veri_Guncel!D146)</f>
        <v>Mağaza 7C</v>
      </c>
      <c r="E146" s="19" t="n">
        <f aca="false">IF($A146="","",Veri_Guncel!E146)</f>
        <v>43736</v>
      </c>
      <c r="F146" s="19" t="n">
        <f aca="false">IF($A146="","",Veri_Guncel!F146)</f>
        <v>30152</v>
      </c>
      <c r="G146" s="14" t="n">
        <f aca="false">IF(A146="","",IF(COUNTIF(Ayarlar!$A$15:$A$20,C146)&gt;0,1,0))</f>
        <v>0</v>
      </c>
      <c r="H146" s="14" t="n">
        <f aca="false">IF(A146="","",DATEDIF(E146,Ayarlar!$B$3,"y"))</f>
        <v>6</v>
      </c>
      <c r="I146" s="14" t="n">
        <f aca="false">IF(OR(A146="",F146=""),"",DATEDIF(F146,Ayarlar!$B$3,"y"))</f>
        <v>44</v>
      </c>
      <c r="J146" s="14" t="n">
        <f aca="false">IF(A146="","",IF(H146&lt;1,0,MAX(IF(H146&lt;5,14,IF(H146&lt;15,20,26)),IF(AND(I146&lt;&gt;"",OR(I146&lt;=18,I146&gt;=50)),20,0))))</f>
        <v>20</v>
      </c>
      <c r="K146" s="17" t="n">
        <f aca="false">IF(A146="","",EDATE(E146,12*(H146+1)))</f>
        <v>46293</v>
      </c>
      <c r="L146" s="14" t="n">
        <f aca="false">IF(A146="","",K146-Ayarlar!$B$3)</f>
        <v>14</v>
      </c>
      <c r="M146" s="18" t="n">
        <f aca="false">IF(A146="","",Veri_Guncel!H146)</f>
        <v>15</v>
      </c>
      <c r="N146" s="18" t="n">
        <f aca="false">IF(A146="","",IFERROR(INDEX(Veri_Onceki!$H:$H,MATCH(A146,Veri_Onceki!$A:$A,0)),""))</f>
        <v>15</v>
      </c>
      <c r="O146" s="14" t="n">
        <f aca="false">IF(A146="","",IF(AND(H146&gt;=1,EDATE(E146,12*H146)&gt;Ayarlar!$B$4,EDATE(E146,12*H146)&lt;=Ayarlar!$B$3),J146,0))</f>
        <v>0</v>
      </c>
      <c r="P146" s="14" t="n">
        <f aca="false">IF(OR(A146="",N146=""),"",N146+O146-M146)</f>
        <v>0</v>
      </c>
      <c r="Q146" s="16" t="str">
        <f aca="false">IF(A146="","",IF(M146&gt;=Ayarlar!$B$7,"ALARM",IF(M146&gt;=Ayarlar!$B$6,"Planla","")))</f>
        <v>Planla</v>
      </c>
      <c r="R146" s="14" t="str">
        <f aca="false">IF(A146="","",IF(AND(L146&gt;=0,L146&lt;=Ayarlar!$B$9),"Evet",""))</f>
        <v>Evet</v>
      </c>
      <c r="S146" s="16" t="str">
        <f aca="false">IF(A146="","",IF(N146="","Yeni personel",IF(P146&lt;0,"Kontrol et","")))</f>
        <v/>
      </c>
      <c r="T146" s="14" t="str">
        <f aca="false">IF(A146="","",IF(AND(G146=1,M146&gt;=Ayarlar!$B$6,OR(Ayarlar!$B$11="Tümü",C146=Ayarlar!$B$11)),M146+ROW()/100000,""))</f>
        <v/>
      </c>
    </row>
    <row r="147" customFormat="false" ht="15" hidden="false" customHeight="false" outlineLevel="0" collapsed="false">
      <c r="A147" s="18" t="str">
        <f aca="false">IF(Veri_Guncel!A147="","",Veri_Guncel!A147)</f>
        <v>S10146</v>
      </c>
      <c r="B147" s="18" t="str">
        <f aca="false">IF($A147="","",Veri_Guncel!B147)</f>
        <v>Cem Polat</v>
      </c>
      <c r="C147" s="18" t="str">
        <f aca="false">IF($A147="","",Veri_Guncel!C147)</f>
        <v>Bölge 7</v>
      </c>
      <c r="D147" s="18" t="str">
        <f aca="false">IF($A147="","",Veri_Guncel!D147)</f>
        <v>Mağaza 7C</v>
      </c>
      <c r="E147" s="19" t="n">
        <f aca="false">IF($A147="","",Veri_Guncel!E147)</f>
        <v>41408</v>
      </c>
      <c r="F147" s="19" t="n">
        <f aca="false">IF($A147="","",Veri_Guncel!F147)</f>
        <v>28380</v>
      </c>
      <c r="G147" s="14" t="n">
        <f aca="false">IF(A147="","",IF(COUNTIF(Ayarlar!$A$15:$A$20,C147)&gt;0,1,0))</f>
        <v>0</v>
      </c>
      <c r="H147" s="14" t="n">
        <f aca="false">IF(A147="","",DATEDIF(E147,Ayarlar!$B$3,"y"))</f>
        <v>13</v>
      </c>
      <c r="I147" s="14" t="n">
        <f aca="false">IF(OR(A147="",F147=""),"",DATEDIF(F147,Ayarlar!$B$3,"y"))</f>
        <v>49</v>
      </c>
      <c r="J147" s="14" t="n">
        <f aca="false">IF(A147="","",IF(H147&lt;1,0,MAX(IF(H147&lt;5,14,IF(H147&lt;15,20,26)),IF(AND(I147&lt;&gt;"",OR(I147&lt;=18,I147&gt;=50)),20,0))))</f>
        <v>20</v>
      </c>
      <c r="K147" s="17" t="n">
        <f aca="false">IF(A147="","",EDATE(E147,12*(H147+1)))</f>
        <v>46521</v>
      </c>
      <c r="L147" s="14" t="n">
        <f aca="false">IF(A147="","",K147-Ayarlar!$B$3)</f>
        <v>242</v>
      </c>
      <c r="M147" s="18" t="n">
        <f aca="false">IF(A147="","",Veri_Guncel!H147)</f>
        <v>12</v>
      </c>
      <c r="N147" s="18" t="n">
        <f aca="false">IF(A147="","",IFERROR(INDEX(Veri_Onceki!$H:$H,MATCH(A147,Veri_Onceki!$A:$A,0)),""))</f>
        <v>15</v>
      </c>
      <c r="O147" s="14" t="n">
        <f aca="false">IF(A147="","",IF(AND(H147&gt;=1,EDATE(E147,12*H147)&gt;Ayarlar!$B$4,EDATE(E147,12*H147)&lt;=Ayarlar!$B$3),J147,0))</f>
        <v>0</v>
      </c>
      <c r="P147" s="14" t="n">
        <f aca="false">IF(OR(A147="",N147=""),"",N147+O147-M147)</f>
        <v>3</v>
      </c>
      <c r="Q147" s="16" t="str">
        <f aca="false">IF(A147="","",IF(M147&gt;=Ayarlar!$B$7,"ALARM",IF(M147&gt;=Ayarlar!$B$6,"Planla","")))</f>
        <v/>
      </c>
      <c r="R147" s="14" t="str">
        <f aca="false">IF(A147="","",IF(AND(L147&gt;=0,L147&lt;=Ayarlar!$B$9),"Evet",""))</f>
        <v/>
      </c>
      <c r="S147" s="16" t="str">
        <f aca="false">IF(A147="","",IF(N147="","Yeni personel",IF(P147&lt;0,"Kontrol et","")))</f>
        <v/>
      </c>
      <c r="T147" s="14" t="str">
        <f aca="false">IF(A147="","",IF(AND(G147=1,M147&gt;=Ayarlar!$B$6,OR(Ayarlar!$B$11="Tümü",C147=Ayarlar!$B$11)),M147+ROW()/100000,""))</f>
        <v/>
      </c>
    </row>
    <row r="148" customFormat="false" ht="15" hidden="false" customHeight="false" outlineLevel="0" collapsed="false">
      <c r="A148" s="18" t="str">
        <f aca="false">IF(Veri_Guncel!A148="","",Veri_Guncel!A148)</f>
        <v>S10147</v>
      </c>
      <c r="B148" s="18" t="str">
        <f aca="false">IF($A148="","",Veri_Guncel!B148)</f>
        <v>Ece Aydın</v>
      </c>
      <c r="C148" s="18" t="str">
        <f aca="false">IF($A148="","",Veri_Guncel!C148)</f>
        <v>Bölge 7</v>
      </c>
      <c r="D148" s="18" t="str">
        <f aca="false">IF($A148="","",Veri_Guncel!D148)</f>
        <v>Mağaza 7C</v>
      </c>
      <c r="E148" s="19" t="n">
        <f aca="false">IF($A148="","",Veri_Guncel!E148)</f>
        <v>43512</v>
      </c>
      <c r="F148" s="19" t="n">
        <f aca="false">IF($A148="","",Veri_Guncel!F148)</f>
        <v>34077</v>
      </c>
      <c r="G148" s="14" t="n">
        <f aca="false">IF(A148="","",IF(COUNTIF(Ayarlar!$A$15:$A$20,C148)&gt;0,1,0))</f>
        <v>0</v>
      </c>
      <c r="H148" s="14" t="n">
        <f aca="false">IF(A148="","",DATEDIF(E148,Ayarlar!$B$3,"y"))</f>
        <v>7</v>
      </c>
      <c r="I148" s="14" t="n">
        <f aca="false">IF(OR(A148="",F148=""),"",DATEDIF(F148,Ayarlar!$B$3,"y"))</f>
        <v>33</v>
      </c>
      <c r="J148" s="14" t="n">
        <f aca="false">IF(A148="","",IF(H148&lt;1,0,MAX(IF(H148&lt;5,14,IF(H148&lt;15,20,26)),IF(AND(I148&lt;&gt;"",OR(I148&lt;=18,I148&gt;=50)),20,0))))</f>
        <v>20</v>
      </c>
      <c r="K148" s="17" t="n">
        <f aca="false">IF(A148="","",EDATE(E148,12*(H148+1)))</f>
        <v>46434</v>
      </c>
      <c r="L148" s="14" t="n">
        <f aca="false">IF(A148="","",K148-Ayarlar!$B$3)</f>
        <v>155</v>
      </c>
      <c r="M148" s="18" t="n">
        <f aca="false">IF(A148="","",Veri_Guncel!H148)</f>
        <v>19</v>
      </c>
      <c r="N148" s="18" t="n">
        <f aca="false">IF(A148="","",IFERROR(INDEX(Veri_Onceki!$H:$H,MATCH(A148,Veri_Onceki!$A:$A,0)),""))</f>
        <v>19</v>
      </c>
      <c r="O148" s="14" t="n">
        <f aca="false">IF(A148="","",IF(AND(H148&gt;=1,EDATE(E148,12*H148)&gt;Ayarlar!$B$4,EDATE(E148,12*H148)&lt;=Ayarlar!$B$3),J148,0))</f>
        <v>0</v>
      </c>
      <c r="P148" s="14" t="n">
        <f aca="false">IF(OR(A148="",N148=""),"",N148+O148-M148)</f>
        <v>0</v>
      </c>
      <c r="Q148" s="16" t="str">
        <f aca="false">IF(A148="","",IF(M148&gt;=Ayarlar!$B$7,"ALARM",IF(M148&gt;=Ayarlar!$B$6,"Planla","")))</f>
        <v>Planla</v>
      </c>
      <c r="R148" s="14" t="str">
        <f aca="false">IF(A148="","",IF(AND(L148&gt;=0,L148&lt;=Ayarlar!$B$9),"Evet",""))</f>
        <v/>
      </c>
      <c r="S148" s="16" t="str">
        <f aca="false">IF(A148="","",IF(N148="","Yeni personel",IF(P148&lt;0,"Kontrol et","")))</f>
        <v/>
      </c>
      <c r="T148" s="14" t="str">
        <f aca="false">IF(A148="","",IF(AND(G148=1,M148&gt;=Ayarlar!$B$6,OR(Ayarlar!$B$11="Tümü",C148=Ayarlar!$B$11)),M148+ROW()/100000,""))</f>
        <v/>
      </c>
    </row>
    <row r="149" customFormat="false" ht="15" hidden="false" customHeight="false" outlineLevel="0" collapsed="false">
      <c r="A149" s="18" t="str">
        <f aca="false">IF(Veri_Guncel!A149="","",Veri_Guncel!A149)</f>
        <v>S10148</v>
      </c>
      <c r="B149" s="18" t="str">
        <f aca="false">IF($A149="","",Veri_Guncel!B149)</f>
        <v>Gizem Koç</v>
      </c>
      <c r="C149" s="18" t="str">
        <f aca="false">IF($A149="","",Veri_Guncel!C149)</f>
        <v>Bölge 7</v>
      </c>
      <c r="D149" s="18" t="str">
        <f aca="false">IF($A149="","",Veri_Guncel!D149)</f>
        <v>Mağaza 7C</v>
      </c>
      <c r="E149" s="19" t="n">
        <f aca="false">IF($A149="","",Veri_Guncel!E149)</f>
        <v>40628</v>
      </c>
      <c r="F149" s="19" t="n">
        <f aca="false">IF($A149="","",Veri_Guncel!F149)</f>
        <v>37611</v>
      </c>
      <c r="G149" s="14" t="n">
        <f aca="false">IF(A149="","",IF(COUNTIF(Ayarlar!$A$15:$A$20,C149)&gt;0,1,0))</f>
        <v>0</v>
      </c>
      <c r="H149" s="14" t="n">
        <f aca="false">IF(A149="","",DATEDIF(E149,Ayarlar!$B$3,"y"))</f>
        <v>15</v>
      </c>
      <c r="I149" s="14" t="n">
        <f aca="false">IF(OR(A149="",F149=""),"",DATEDIF(F149,Ayarlar!$B$3,"y"))</f>
        <v>23</v>
      </c>
      <c r="J149" s="14" t="n">
        <f aca="false">IF(A149="","",IF(H149&lt;1,0,MAX(IF(H149&lt;5,14,IF(H149&lt;15,20,26)),IF(AND(I149&lt;&gt;"",OR(I149&lt;=18,I149&gt;=50)),20,0))))</f>
        <v>26</v>
      </c>
      <c r="K149" s="17" t="n">
        <f aca="false">IF(A149="","",EDATE(E149,12*(H149+1)))</f>
        <v>46472</v>
      </c>
      <c r="L149" s="14" t="n">
        <f aca="false">IF(A149="","",K149-Ayarlar!$B$3)</f>
        <v>193</v>
      </c>
      <c r="M149" s="18" t="n">
        <f aca="false">IF(A149="","",Veri_Guncel!H149)</f>
        <v>19</v>
      </c>
      <c r="N149" s="18" t="n">
        <f aca="false">IF(A149="","",IFERROR(INDEX(Veri_Onceki!$H:$H,MATCH(A149,Veri_Onceki!$A:$A,0)),""))</f>
        <v>21</v>
      </c>
      <c r="O149" s="14" t="n">
        <f aca="false">IF(A149="","",IF(AND(H149&gt;=1,EDATE(E149,12*H149)&gt;Ayarlar!$B$4,EDATE(E149,12*H149)&lt;=Ayarlar!$B$3),J149,0))</f>
        <v>0</v>
      </c>
      <c r="P149" s="14" t="n">
        <f aca="false">IF(OR(A149="",N149=""),"",N149+O149-M149)</f>
        <v>2</v>
      </c>
      <c r="Q149" s="16" t="str">
        <f aca="false">IF(A149="","",IF(M149&gt;=Ayarlar!$B$7,"ALARM",IF(M149&gt;=Ayarlar!$B$6,"Planla","")))</f>
        <v>Planla</v>
      </c>
      <c r="R149" s="14" t="str">
        <f aca="false">IF(A149="","",IF(AND(L149&gt;=0,L149&lt;=Ayarlar!$B$9),"Evet",""))</f>
        <v/>
      </c>
      <c r="S149" s="16" t="str">
        <f aca="false">IF(A149="","",IF(N149="","Yeni personel",IF(P149&lt;0,"Kontrol et","")))</f>
        <v/>
      </c>
      <c r="T149" s="14" t="str">
        <f aca="false">IF(A149="","",IF(AND(G149=1,M149&gt;=Ayarlar!$B$6,OR(Ayarlar!$B$11="Tümü",C149=Ayarlar!$B$11)),M149+ROW()/100000,""))</f>
        <v/>
      </c>
    </row>
    <row r="150" customFormat="false" ht="15" hidden="false" customHeight="false" outlineLevel="0" collapsed="false">
      <c r="A150" s="18" t="str">
        <f aca="false">IF(Veri_Guncel!A150="","",Veri_Guncel!A150)</f>
        <v>S10149</v>
      </c>
      <c r="B150" s="18" t="str">
        <f aca="false">IF($A150="","",Veri_Guncel!B150)</f>
        <v>Elif Yıldız</v>
      </c>
      <c r="C150" s="18" t="str">
        <f aca="false">IF($A150="","",Veri_Guncel!C150)</f>
        <v>Bölge 7</v>
      </c>
      <c r="D150" s="18" t="str">
        <f aca="false">IF($A150="","",Veri_Guncel!D150)</f>
        <v>Mağaza 7C</v>
      </c>
      <c r="E150" s="19" t="n">
        <f aca="false">IF($A150="","",Veri_Guncel!E150)</f>
        <v>42386</v>
      </c>
      <c r="F150" s="19" t="n">
        <f aca="false">IF($A150="","",Veri_Guncel!F150)</f>
        <v>26520</v>
      </c>
      <c r="G150" s="14" t="n">
        <f aca="false">IF(A150="","",IF(COUNTIF(Ayarlar!$A$15:$A$20,C150)&gt;0,1,0))</f>
        <v>0</v>
      </c>
      <c r="H150" s="14" t="n">
        <f aca="false">IF(A150="","",DATEDIF(E150,Ayarlar!$B$3,"y"))</f>
        <v>10</v>
      </c>
      <c r="I150" s="14" t="n">
        <f aca="false">IF(OR(A150="",F150=""),"",DATEDIF(F150,Ayarlar!$B$3,"y"))</f>
        <v>54</v>
      </c>
      <c r="J150" s="14" t="n">
        <f aca="false">IF(A150="","",IF(H150&lt;1,0,MAX(IF(H150&lt;5,14,IF(H150&lt;15,20,26)),IF(AND(I150&lt;&gt;"",OR(I150&lt;=18,I150&gt;=50)),20,0))))</f>
        <v>20</v>
      </c>
      <c r="K150" s="17" t="n">
        <f aca="false">IF(A150="","",EDATE(E150,12*(H150+1)))</f>
        <v>46404</v>
      </c>
      <c r="L150" s="14" t="n">
        <f aca="false">IF(A150="","",K150-Ayarlar!$B$3)</f>
        <v>125</v>
      </c>
      <c r="M150" s="18" t="n">
        <f aca="false">IF(A150="","",Veri_Guncel!H150)</f>
        <v>2</v>
      </c>
      <c r="N150" s="18" t="n">
        <f aca="false">IF(A150="","",IFERROR(INDEX(Veri_Onceki!$H:$H,MATCH(A150,Veri_Onceki!$A:$A,0)),""))</f>
        <v>2</v>
      </c>
      <c r="O150" s="14" t="n">
        <f aca="false">IF(A150="","",IF(AND(H150&gt;=1,EDATE(E150,12*H150)&gt;Ayarlar!$B$4,EDATE(E150,12*H150)&lt;=Ayarlar!$B$3),J150,0))</f>
        <v>0</v>
      </c>
      <c r="P150" s="14" t="n">
        <f aca="false">IF(OR(A150="",N150=""),"",N150+O150-M150)</f>
        <v>0</v>
      </c>
      <c r="Q150" s="16" t="str">
        <f aca="false">IF(A150="","",IF(M150&gt;=Ayarlar!$B$7,"ALARM",IF(M150&gt;=Ayarlar!$B$6,"Planla","")))</f>
        <v/>
      </c>
      <c r="R150" s="14" t="str">
        <f aca="false">IF(A150="","",IF(AND(L150&gt;=0,L150&lt;=Ayarlar!$B$9),"Evet",""))</f>
        <v/>
      </c>
      <c r="S150" s="16" t="str">
        <f aca="false">IF(A150="","",IF(N150="","Yeni personel",IF(P150&lt;0,"Kontrol et","")))</f>
        <v/>
      </c>
      <c r="T150" s="14" t="str">
        <f aca="false">IF(A150="","",IF(AND(G150=1,M150&gt;=Ayarlar!$B$6,OR(Ayarlar!$B$11="Tümü",C150=Ayarlar!$B$11)),M150+ROW()/100000,""))</f>
        <v/>
      </c>
    </row>
    <row r="151" customFormat="false" ht="15" hidden="false" customHeight="false" outlineLevel="0" collapsed="false">
      <c r="A151" s="18" t="str">
        <f aca="false">IF(Veri_Guncel!A151="","",Veri_Guncel!A151)</f>
        <v>S10150</v>
      </c>
      <c r="B151" s="18" t="str">
        <f aca="false">IF($A151="","",Veri_Guncel!B151)</f>
        <v>Deniz Aydın</v>
      </c>
      <c r="C151" s="18" t="str">
        <f aca="false">IF($A151="","",Veri_Guncel!C151)</f>
        <v>Bölge 7</v>
      </c>
      <c r="D151" s="18" t="str">
        <f aca="false">IF($A151="","",Veri_Guncel!D151)</f>
        <v>Mağaza 7D</v>
      </c>
      <c r="E151" s="19" t="n">
        <f aca="false">IF($A151="","",Veri_Guncel!E151)</f>
        <v>40989</v>
      </c>
      <c r="F151" s="19" t="n">
        <f aca="false">IF($A151="","",Veri_Guncel!F151)</f>
        <v>31645</v>
      </c>
      <c r="G151" s="14" t="n">
        <f aca="false">IF(A151="","",IF(COUNTIF(Ayarlar!$A$15:$A$20,C151)&gt;0,1,0))</f>
        <v>0</v>
      </c>
      <c r="H151" s="14" t="n">
        <f aca="false">IF(A151="","",DATEDIF(E151,Ayarlar!$B$3,"y"))</f>
        <v>14</v>
      </c>
      <c r="I151" s="14" t="n">
        <f aca="false">IF(OR(A151="",F151=""),"",DATEDIF(F151,Ayarlar!$B$3,"y"))</f>
        <v>40</v>
      </c>
      <c r="J151" s="14" t="n">
        <f aca="false">IF(A151="","",IF(H151&lt;1,0,MAX(IF(H151&lt;5,14,IF(H151&lt;15,20,26)),IF(AND(I151&lt;&gt;"",OR(I151&lt;=18,I151&gt;=50)),20,0))))</f>
        <v>20</v>
      </c>
      <c r="K151" s="17" t="n">
        <f aca="false">IF(A151="","",EDATE(E151,12*(H151+1)))</f>
        <v>46467</v>
      </c>
      <c r="L151" s="14" t="n">
        <f aca="false">IF(A151="","",K151-Ayarlar!$B$3)</f>
        <v>188</v>
      </c>
      <c r="M151" s="18" t="n">
        <f aca="false">IF(A151="","",Veri_Guncel!H151)</f>
        <v>19</v>
      </c>
      <c r="N151" s="18" t="n">
        <f aca="false">IF(A151="","",IFERROR(INDEX(Veri_Onceki!$H:$H,MATCH(A151,Veri_Onceki!$A:$A,0)),""))</f>
        <v>19</v>
      </c>
      <c r="O151" s="14" t="n">
        <f aca="false">IF(A151="","",IF(AND(H151&gt;=1,EDATE(E151,12*H151)&gt;Ayarlar!$B$4,EDATE(E151,12*H151)&lt;=Ayarlar!$B$3),J151,0))</f>
        <v>0</v>
      </c>
      <c r="P151" s="14" t="n">
        <f aca="false">IF(OR(A151="",N151=""),"",N151+O151-M151)</f>
        <v>0</v>
      </c>
      <c r="Q151" s="16" t="str">
        <f aca="false">IF(A151="","",IF(M151&gt;=Ayarlar!$B$7,"ALARM",IF(M151&gt;=Ayarlar!$B$6,"Planla","")))</f>
        <v>Planla</v>
      </c>
      <c r="R151" s="14" t="str">
        <f aca="false">IF(A151="","",IF(AND(L151&gt;=0,L151&lt;=Ayarlar!$B$9),"Evet",""))</f>
        <v/>
      </c>
      <c r="S151" s="16" t="str">
        <f aca="false">IF(A151="","",IF(N151="","Yeni personel",IF(P151&lt;0,"Kontrol et","")))</f>
        <v/>
      </c>
      <c r="T151" s="14" t="str">
        <f aca="false">IF(A151="","",IF(AND(G151=1,M151&gt;=Ayarlar!$B$6,OR(Ayarlar!$B$11="Tümü",C151=Ayarlar!$B$11)),M151+ROW()/100000,""))</f>
        <v/>
      </c>
    </row>
    <row r="152" customFormat="false" ht="15" hidden="false" customHeight="false" outlineLevel="0" collapsed="false">
      <c r="A152" s="18" t="str">
        <f aca="false">IF(Veri_Guncel!A152="","",Veri_Guncel!A152)</f>
        <v>S10151</v>
      </c>
      <c r="B152" s="18" t="str">
        <f aca="false">IF($A152="","",Veri_Guncel!B152)</f>
        <v>Onur Doğan</v>
      </c>
      <c r="C152" s="18" t="str">
        <f aca="false">IF($A152="","",Veri_Guncel!C152)</f>
        <v>Bölge 7</v>
      </c>
      <c r="D152" s="18" t="str">
        <f aca="false">IF($A152="","",Veri_Guncel!D152)</f>
        <v>Mağaza 7D</v>
      </c>
      <c r="E152" s="19" t="n">
        <f aca="false">IF($A152="","",Veri_Guncel!E152)</f>
        <v>44784</v>
      </c>
      <c r="F152" s="19" t="n">
        <f aca="false">IF($A152="","",Veri_Guncel!F152)</f>
        <v>27458</v>
      </c>
      <c r="G152" s="14" t="n">
        <f aca="false">IF(A152="","",IF(COUNTIF(Ayarlar!$A$15:$A$20,C152)&gt;0,1,0))</f>
        <v>0</v>
      </c>
      <c r="H152" s="14" t="n">
        <f aca="false">IF(A152="","",DATEDIF(E152,Ayarlar!$B$3,"y"))</f>
        <v>4</v>
      </c>
      <c r="I152" s="14" t="n">
        <f aca="false">IF(OR(A152="",F152=""),"",DATEDIF(F152,Ayarlar!$B$3,"y"))</f>
        <v>51</v>
      </c>
      <c r="J152" s="14" t="n">
        <f aca="false">IF(A152="","",IF(H152&lt;1,0,MAX(IF(H152&lt;5,14,IF(H152&lt;15,20,26)),IF(AND(I152&lt;&gt;"",OR(I152&lt;=18,I152&gt;=50)),20,0))))</f>
        <v>20</v>
      </c>
      <c r="K152" s="17" t="n">
        <f aca="false">IF(A152="","",EDATE(E152,12*(H152+1)))</f>
        <v>46610</v>
      </c>
      <c r="L152" s="14" t="n">
        <f aca="false">IF(A152="","",K152-Ayarlar!$B$3)</f>
        <v>331</v>
      </c>
      <c r="M152" s="18" t="n">
        <f aca="false">IF(A152="","",Veri_Guncel!H152)</f>
        <v>19</v>
      </c>
      <c r="N152" s="18" t="n">
        <f aca="false">IF(A152="","",IFERROR(INDEX(Veri_Onceki!$H:$H,MATCH(A152,Veri_Onceki!$A:$A,0)),""))</f>
        <v>0</v>
      </c>
      <c r="O152" s="14" t="n">
        <f aca="false">IF(A152="","",IF(AND(H152&gt;=1,EDATE(E152,12*H152)&gt;Ayarlar!$B$4,EDATE(E152,12*H152)&lt;=Ayarlar!$B$3),J152,0))</f>
        <v>20</v>
      </c>
      <c r="P152" s="14" t="n">
        <f aca="false">IF(OR(A152="",N152=""),"",N152+O152-M152)</f>
        <v>1</v>
      </c>
      <c r="Q152" s="16" t="str">
        <f aca="false">IF(A152="","",IF(M152&gt;=Ayarlar!$B$7,"ALARM",IF(M152&gt;=Ayarlar!$B$6,"Planla","")))</f>
        <v>Planla</v>
      </c>
      <c r="R152" s="14" t="str">
        <f aca="false">IF(A152="","",IF(AND(L152&gt;=0,L152&lt;=Ayarlar!$B$9),"Evet",""))</f>
        <v/>
      </c>
      <c r="S152" s="16" t="str">
        <f aca="false">IF(A152="","",IF(N152="","Yeni personel",IF(P152&lt;0,"Kontrol et","")))</f>
        <v/>
      </c>
      <c r="T152" s="14" t="str">
        <f aca="false">IF(A152="","",IF(AND(G152=1,M152&gt;=Ayarlar!$B$6,OR(Ayarlar!$B$11="Tümü",C152=Ayarlar!$B$11)),M152+ROW()/100000,""))</f>
        <v/>
      </c>
    </row>
    <row r="153" customFormat="false" ht="15" hidden="false" customHeight="false" outlineLevel="0" collapsed="false">
      <c r="A153" s="18" t="str">
        <f aca="false">IF(Veri_Guncel!A153="","",Veri_Guncel!A153)</f>
        <v>S10152</v>
      </c>
      <c r="B153" s="18" t="str">
        <f aca="false">IF($A153="","",Veri_Guncel!B153)</f>
        <v>Deniz Yıldız</v>
      </c>
      <c r="C153" s="18" t="str">
        <f aca="false">IF($A153="","",Veri_Guncel!C153)</f>
        <v>Bölge 7</v>
      </c>
      <c r="D153" s="18" t="str">
        <f aca="false">IF($A153="","",Veri_Guncel!D153)</f>
        <v>Mağaza 7D</v>
      </c>
      <c r="E153" s="19" t="n">
        <f aca="false">IF($A153="","",Veri_Guncel!E153)</f>
        <v>45605</v>
      </c>
      <c r="F153" s="19" t="n">
        <f aca="false">IF($A153="","",Veri_Guncel!F153)</f>
        <v>33402</v>
      </c>
      <c r="G153" s="14" t="n">
        <f aca="false">IF(A153="","",IF(COUNTIF(Ayarlar!$A$15:$A$20,C153)&gt;0,1,0))</f>
        <v>0</v>
      </c>
      <c r="H153" s="14" t="n">
        <f aca="false">IF(A153="","",DATEDIF(E153,Ayarlar!$B$3,"y"))</f>
        <v>1</v>
      </c>
      <c r="I153" s="14" t="n">
        <f aca="false">IF(OR(A153="",F153=""),"",DATEDIF(F153,Ayarlar!$B$3,"y"))</f>
        <v>35</v>
      </c>
      <c r="J153" s="14" t="n">
        <f aca="false">IF(A153="","",IF(H153&lt;1,0,MAX(IF(H153&lt;5,14,IF(H153&lt;15,20,26)),IF(AND(I153&lt;&gt;"",OR(I153&lt;=18,I153&gt;=50)),20,0))))</f>
        <v>14</v>
      </c>
      <c r="K153" s="17" t="n">
        <f aca="false">IF(A153="","",EDATE(E153,12*(H153+1)))</f>
        <v>46335</v>
      </c>
      <c r="L153" s="14" t="n">
        <f aca="false">IF(A153="","",K153-Ayarlar!$B$3)</f>
        <v>56</v>
      </c>
      <c r="M153" s="18" t="n">
        <f aca="false">IF(A153="","",Veri_Guncel!H153)</f>
        <v>10</v>
      </c>
      <c r="N153" s="18" t="n">
        <f aca="false">IF(A153="","",IFERROR(INDEX(Veri_Onceki!$H:$H,MATCH(A153,Veri_Onceki!$A:$A,0)),""))</f>
        <v>15</v>
      </c>
      <c r="O153" s="14" t="n">
        <f aca="false">IF(A153="","",IF(AND(H153&gt;=1,EDATE(E153,12*H153)&gt;Ayarlar!$B$4,EDATE(E153,12*H153)&lt;=Ayarlar!$B$3),J153,0))</f>
        <v>0</v>
      </c>
      <c r="P153" s="14" t="n">
        <f aca="false">IF(OR(A153="",N153=""),"",N153+O153-M153)</f>
        <v>5</v>
      </c>
      <c r="Q153" s="16" t="str">
        <f aca="false">IF(A153="","",IF(M153&gt;=Ayarlar!$B$7,"ALARM",IF(M153&gt;=Ayarlar!$B$6,"Planla","")))</f>
        <v/>
      </c>
      <c r="R153" s="14" t="str">
        <f aca="false">IF(A153="","",IF(AND(L153&gt;=0,L153&lt;=Ayarlar!$B$9),"Evet",""))</f>
        <v>Evet</v>
      </c>
      <c r="S153" s="16" t="str">
        <f aca="false">IF(A153="","",IF(N153="","Yeni personel",IF(P153&lt;0,"Kontrol et","")))</f>
        <v/>
      </c>
      <c r="T153" s="14" t="str">
        <f aca="false">IF(A153="","",IF(AND(G153=1,M153&gt;=Ayarlar!$B$6,OR(Ayarlar!$B$11="Tümü",C153=Ayarlar!$B$11)),M153+ROW()/100000,""))</f>
        <v/>
      </c>
    </row>
    <row r="154" customFormat="false" ht="15" hidden="false" customHeight="false" outlineLevel="0" collapsed="false">
      <c r="A154" s="18" t="str">
        <f aca="false">IF(Veri_Guncel!A154="","",Veri_Guncel!A154)</f>
        <v>S10153</v>
      </c>
      <c r="B154" s="18" t="str">
        <f aca="false">IF($A154="","",Veri_Guncel!B154)</f>
        <v>Gizem Kurt</v>
      </c>
      <c r="C154" s="18" t="str">
        <f aca="false">IF($A154="","",Veri_Guncel!C154)</f>
        <v>Bölge 7</v>
      </c>
      <c r="D154" s="18" t="str">
        <f aca="false">IF($A154="","",Veri_Guncel!D154)</f>
        <v>Mağaza 7D</v>
      </c>
      <c r="E154" s="19" t="n">
        <f aca="false">IF($A154="","",Veri_Guncel!E154)</f>
        <v>44441</v>
      </c>
      <c r="F154" s="19" t="n">
        <f aca="false">IF($A154="","",Veri_Guncel!F154)</f>
        <v>32615</v>
      </c>
      <c r="G154" s="14" t="n">
        <f aca="false">IF(A154="","",IF(COUNTIF(Ayarlar!$A$15:$A$20,C154)&gt;0,1,0))</f>
        <v>0</v>
      </c>
      <c r="H154" s="14" t="n">
        <f aca="false">IF(A154="","",DATEDIF(E154,Ayarlar!$B$3,"y"))</f>
        <v>5</v>
      </c>
      <c r="I154" s="14" t="n">
        <f aca="false">IF(OR(A154="",F154=""),"",DATEDIF(F154,Ayarlar!$B$3,"y"))</f>
        <v>37</v>
      </c>
      <c r="J154" s="14" t="n">
        <f aca="false">IF(A154="","",IF(H154&lt;1,0,MAX(IF(H154&lt;5,14,IF(H154&lt;15,20,26)),IF(AND(I154&lt;&gt;"",OR(I154&lt;=18,I154&gt;=50)),20,0))))</f>
        <v>20</v>
      </c>
      <c r="K154" s="17" t="n">
        <f aca="false">IF(A154="","",EDATE(E154,12*(H154+1)))</f>
        <v>46632</v>
      </c>
      <c r="L154" s="14" t="n">
        <f aca="false">IF(A154="","",K154-Ayarlar!$B$3)</f>
        <v>353</v>
      </c>
      <c r="M154" s="18" t="n">
        <f aca="false">IF(A154="","",Veri_Guncel!H154)</f>
        <v>8</v>
      </c>
      <c r="N154" s="18" t="n">
        <f aca="false">IF(A154="","",IFERROR(INDEX(Veri_Onceki!$H:$H,MATCH(A154,Veri_Onceki!$A:$A,0)),""))</f>
        <v>0</v>
      </c>
      <c r="O154" s="14" t="n">
        <f aca="false">IF(A154="","",IF(AND(H154&gt;=1,EDATE(E154,12*H154)&gt;Ayarlar!$B$4,EDATE(E154,12*H154)&lt;=Ayarlar!$B$3),J154,0))</f>
        <v>20</v>
      </c>
      <c r="P154" s="14" t="n">
        <f aca="false">IF(OR(A154="",N154=""),"",N154+O154-M154)</f>
        <v>12</v>
      </c>
      <c r="Q154" s="16" t="str">
        <f aca="false">IF(A154="","",IF(M154&gt;=Ayarlar!$B$7,"ALARM",IF(M154&gt;=Ayarlar!$B$6,"Planla","")))</f>
        <v/>
      </c>
      <c r="R154" s="14" t="str">
        <f aca="false">IF(A154="","",IF(AND(L154&gt;=0,L154&lt;=Ayarlar!$B$9),"Evet",""))</f>
        <v/>
      </c>
      <c r="S154" s="16" t="str">
        <f aca="false">IF(A154="","",IF(N154="","Yeni personel",IF(P154&lt;0,"Kontrol et","")))</f>
        <v/>
      </c>
      <c r="T154" s="14" t="str">
        <f aca="false">IF(A154="","",IF(AND(G154=1,M154&gt;=Ayarlar!$B$6,OR(Ayarlar!$B$11="Tümü",C154=Ayarlar!$B$11)),M154+ROW()/100000,""))</f>
        <v/>
      </c>
    </row>
    <row r="155" customFormat="false" ht="15" hidden="false" customHeight="false" outlineLevel="0" collapsed="false">
      <c r="A155" s="18" t="str">
        <f aca="false">IF(Veri_Guncel!A155="","",Veri_Guncel!A155)</f>
        <v>S10154</v>
      </c>
      <c r="B155" s="18" t="str">
        <f aca="false">IF($A155="","",Veri_Guncel!B155)</f>
        <v>Ayşe Kaya</v>
      </c>
      <c r="C155" s="18" t="str">
        <f aca="false">IF($A155="","",Veri_Guncel!C155)</f>
        <v>Bölge 7</v>
      </c>
      <c r="D155" s="18" t="str">
        <f aca="false">IF($A155="","",Veri_Guncel!D155)</f>
        <v>Mağaza 7D</v>
      </c>
      <c r="E155" s="19" t="n">
        <f aca="false">IF($A155="","",Veri_Guncel!E155)</f>
        <v>43424</v>
      </c>
      <c r="F155" s="19" t="n">
        <f aca="false">IF($A155="","",Veri_Guncel!F155)</f>
        <v>33760</v>
      </c>
      <c r="G155" s="14" t="n">
        <f aca="false">IF(A155="","",IF(COUNTIF(Ayarlar!$A$15:$A$20,C155)&gt;0,1,0))</f>
        <v>0</v>
      </c>
      <c r="H155" s="14" t="n">
        <f aca="false">IF(A155="","",DATEDIF(E155,Ayarlar!$B$3,"y"))</f>
        <v>7</v>
      </c>
      <c r="I155" s="14" t="n">
        <f aca="false">IF(OR(A155="",F155=""),"",DATEDIF(F155,Ayarlar!$B$3,"y"))</f>
        <v>34</v>
      </c>
      <c r="J155" s="14" t="n">
        <f aca="false">IF(A155="","",IF(H155&lt;1,0,MAX(IF(H155&lt;5,14,IF(H155&lt;15,20,26)),IF(AND(I155&lt;&gt;"",OR(I155&lt;=18,I155&gt;=50)),20,0))))</f>
        <v>20</v>
      </c>
      <c r="K155" s="17" t="n">
        <f aca="false">IF(A155="","",EDATE(E155,12*(H155+1)))</f>
        <v>46346</v>
      </c>
      <c r="L155" s="14" t="n">
        <f aca="false">IF(A155="","",K155-Ayarlar!$B$3)</f>
        <v>67</v>
      </c>
      <c r="M155" s="18" t="n">
        <f aca="false">IF(A155="","",Veri_Guncel!H155)</f>
        <v>15</v>
      </c>
      <c r="N155" s="18" t="n">
        <f aca="false">IF(A155="","",IFERROR(INDEX(Veri_Onceki!$H:$H,MATCH(A155,Veri_Onceki!$A:$A,0)),""))</f>
        <v>15</v>
      </c>
      <c r="O155" s="14" t="n">
        <f aca="false">IF(A155="","",IF(AND(H155&gt;=1,EDATE(E155,12*H155)&gt;Ayarlar!$B$4,EDATE(E155,12*H155)&lt;=Ayarlar!$B$3),J155,0))</f>
        <v>0</v>
      </c>
      <c r="P155" s="14" t="n">
        <f aca="false">IF(OR(A155="",N155=""),"",N155+O155-M155)</f>
        <v>0</v>
      </c>
      <c r="Q155" s="16" t="str">
        <f aca="false">IF(A155="","",IF(M155&gt;=Ayarlar!$B$7,"ALARM",IF(M155&gt;=Ayarlar!$B$6,"Planla","")))</f>
        <v>Planla</v>
      </c>
      <c r="R155" s="14" t="str">
        <f aca="false">IF(A155="","",IF(AND(L155&gt;=0,L155&lt;=Ayarlar!$B$9),"Evet",""))</f>
        <v/>
      </c>
      <c r="S155" s="16" t="str">
        <f aca="false">IF(A155="","",IF(N155="","Yeni personel",IF(P155&lt;0,"Kontrol et","")))</f>
        <v/>
      </c>
      <c r="T155" s="14" t="str">
        <f aca="false">IF(A155="","",IF(AND(G155=1,M155&gt;=Ayarlar!$B$6,OR(Ayarlar!$B$11="Tümü",C155=Ayarlar!$B$11)),M155+ROW()/100000,""))</f>
        <v/>
      </c>
    </row>
    <row r="156" customFormat="false" ht="15" hidden="false" customHeight="false" outlineLevel="0" collapsed="false">
      <c r="A156" s="18" t="str">
        <f aca="false">IF(Veri_Guncel!A156="","",Veri_Guncel!A156)</f>
        <v>S10155</v>
      </c>
      <c r="B156" s="18" t="str">
        <f aca="false">IF($A156="","",Veri_Guncel!B156)</f>
        <v>Buse Çelik</v>
      </c>
      <c r="C156" s="18" t="str">
        <f aca="false">IF($A156="","",Veri_Guncel!C156)</f>
        <v>Bölge 7</v>
      </c>
      <c r="D156" s="18" t="str">
        <f aca="false">IF($A156="","",Veri_Guncel!D156)</f>
        <v>Mağaza 7D</v>
      </c>
      <c r="E156" s="19" t="n">
        <f aca="false">IF($A156="","",Veri_Guncel!E156)</f>
        <v>41127</v>
      </c>
      <c r="F156" s="19" t="n">
        <f aca="false">IF($A156="","",Veri_Guncel!F156)</f>
        <v>37939</v>
      </c>
      <c r="G156" s="14" t="n">
        <f aca="false">IF(A156="","",IF(COUNTIF(Ayarlar!$A$15:$A$20,C156)&gt;0,1,0))</f>
        <v>0</v>
      </c>
      <c r="H156" s="14" t="n">
        <f aca="false">IF(A156="","",DATEDIF(E156,Ayarlar!$B$3,"y"))</f>
        <v>14</v>
      </c>
      <c r="I156" s="14" t="n">
        <f aca="false">IF(OR(A156="",F156=""),"",DATEDIF(F156,Ayarlar!$B$3,"y"))</f>
        <v>22</v>
      </c>
      <c r="J156" s="14" t="n">
        <f aca="false">IF(A156="","",IF(H156&lt;1,0,MAX(IF(H156&lt;5,14,IF(H156&lt;15,20,26)),IF(AND(I156&lt;&gt;"",OR(I156&lt;=18,I156&gt;=50)),20,0))))</f>
        <v>20</v>
      </c>
      <c r="K156" s="17" t="n">
        <f aca="false">IF(A156="","",EDATE(E156,12*(H156+1)))</f>
        <v>46605</v>
      </c>
      <c r="L156" s="14" t="n">
        <f aca="false">IF(A156="","",K156-Ayarlar!$B$3)</f>
        <v>326</v>
      </c>
      <c r="M156" s="18" t="n">
        <f aca="false">IF(A156="","",Veri_Guncel!H156)</f>
        <v>14</v>
      </c>
      <c r="N156" s="18" t="n">
        <f aca="false">IF(A156="","",IFERROR(INDEX(Veri_Onceki!$H:$H,MATCH(A156,Veri_Onceki!$A:$A,0)),""))</f>
        <v>0</v>
      </c>
      <c r="O156" s="14" t="n">
        <f aca="false">IF(A156="","",IF(AND(H156&gt;=1,EDATE(E156,12*H156)&gt;Ayarlar!$B$4,EDATE(E156,12*H156)&lt;=Ayarlar!$B$3),J156,0))</f>
        <v>20</v>
      </c>
      <c r="P156" s="14" t="n">
        <f aca="false">IF(OR(A156="",N156=""),"",N156+O156-M156)</f>
        <v>6</v>
      </c>
      <c r="Q156" s="16" t="str">
        <f aca="false">IF(A156="","",IF(M156&gt;=Ayarlar!$B$7,"ALARM",IF(M156&gt;=Ayarlar!$B$6,"Planla","")))</f>
        <v>Planla</v>
      </c>
      <c r="R156" s="14" t="str">
        <f aca="false">IF(A156="","",IF(AND(L156&gt;=0,L156&lt;=Ayarlar!$B$9),"Evet",""))</f>
        <v/>
      </c>
      <c r="S156" s="16" t="str">
        <f aca="false">IF(A156="","",IF(N156="","Yeni personel",IF(P156&lt;0,"Kontrol et","")))</f>
        <v/>
      </c>
      <c r="T156" s="14" t="str">
        <f aca="false">IF(A156="","",IF(AND(G156=1,M156&gt;=Ayarlar!$B$6,OR(Ayarlar!$B$11="Tümü",C156=Ayarlar!$B$11)),M156+ROW()/100000,""))</f>
        <v/>
      </c>
    </row>
    <row r="157" customFormat="false" ht="15" hidden="false" customHeight="false" outlineLevel="0" collapsed="false">
      <c r="A157" s="18" t="str">
        <f aca="false">IF(Veri_Guncel!A157="","",Veri_Guncel!A157)</f>
        <v>S10156</v>
      </c>
      <c r="B157" s="18" t="str">
        <f aca="false">IF($A157="","",Veri_Guncel!B157)</f>
        <v>Buse Kaya</v>
      </c>
      <c r="C157" s="18" t="str">
        <f aca="false">IF($A157="","",Veri_Guncel!C157)</f>
        <v>Bölge 7</v>
      </c>
      <c r="D157" s="18" t="str">
        <f aca="false">IF($A157="","",Veri_Guncel!D157)</f>
        <v>Mağaza 7D</v>
      </c>
      <c r="E157" s="19" t="n">
        <f aca="false">IF($A157="","",Veri_Guncel!E157)</f>
        <v>45495</v>
      </c>
      <c r="F157" s="19" t="n">
        <f aca="false">IF($A157="","",Veri_Guncel!F157)</f>
        <v>31488</v>
      </c>
      <c r="G157" s="14" t="n">
        <f aca="false">IF(A157="","",IF(COUNTIF(Ayarlar!$A$15:$A$20,C157)&gt;0,1,0))</f>
        <v>0</v>
      </c>
      <c r="H157" s="14" t="n">
        <f aca="false">IF(A157="","",DATEDIF(E157,Ayarlar!$B$3,"y"))</f>
        <v>2</v>
      </c>
      <c r="I157" s="14" t="n">
        <f aca="false">IF(OR(A157="",F157=""),"",DATEDIF(F157,Ayarlar!$B$3,"y"))</f>
        <v>40</v>
      </c>
      <c r="J157" s="14" t="n">
        <f aca="false">IF(A157="","",IF(H157&lt;1,0,MAX(IF(H157&lt;5,14,IF(H157&lt;15,20,26)),IF(AND(I157&lt;&gt;"",OR(I157&lt;=18,I157&gt;=50)),20,0))))</f>
        <v>14</v>
      </c>
      <c r="K157" s="17" t="n">
        <f aca="false">IF(A157="","",EDATE(E157,12*(H157+1)))</f>
        <v>46590</v>
      </c>
      <c r="L157" s="14" t="n">
        <f aca="false">IF(A157="","",K157-Ayarlar!$B$3)</f>
        <v>311</v>
      </c>
      <c r="M157" s="18" t="n">
        <f aca="false">IF(A157="","",Veri_Guncel!H157)</f>
        <v>28</v>
      </c>
      <c r="N157" s="18" t="n">
        <f aca="false">IF(A157="","",IFERROR(INDEX(Veri_Onceki!$H:$H,MATCH(A157,Veri_Onceki!$A:$A,0)),""))</f>
        <v>28</v>
      </c>
      <c r="O157" s="14" t="n">
        <f aca="false">IF(A157="","",IF(AND(H157&gt;=1,EDATE(E157,12*H157)&gt;Ayarlar!$B$4,EDATE(E157,12*H157)&lt;=Ayarlar!$B$3),J157,0))</f>
        <v>0</v>
      </c>
      <c r="P157" s="14" t="n">
        <f aca="false">IF(OR(A157="",N157=""),"",N157+O157-M157)</f>
        <v>0</v>
      </c>
      <c r="Q157" s="16" t="str">
        <f aca="false">IF(A157="","",IF(M157&gt;=Ayarlar!$B$7,"ALARM",IF(M157&gt;=Ayarlar!$B$6,"Planla","")))</f>
        <v>ALARM</v>
      </c>
      <c r="R157" s="14" t="str">
        <f aca="false">IF(A157="","",IF(AND(L157&gt;=0,L157&lt;=Ayarlar!$B$9),"Evet",""))</f>
        <v/>
      </c>
      <c r="S157" s="16" t="str">
        <f aca="false">IF(A157="","",IF(N157="","Yeni personel",IF(P157&lt;0,"Kontrol et","")))</f>
        <v/>
      </c>
      <c r="T157" s="14" t="str">
        <f aca="false">IF(A157="","",IF(AND(G157=1,M157&gt;=Ayarlar!$B$6,OR(Ayarlar!$B$11="Tümü",C157=Ayarlar!$B$11)),M157+ROW()/100000,""))</f>
        <v/>
      </c>
    </row>
    <row r="158" customFormat="false" ht="15" hidden="false" customHeight="false" outlineLevel="0" collapsed="false">
      <c r="A158" s="18" t="str">
        <f aca="false">IF(Veri_Guncel!A158="","",Veri_Guncel!A158)</f>
        <v>S10157</v>
      </c>
      <c r="B158" s="18" t="str">
        <f aca="false">IF($A158="","",Veri_Guncel!B158)</f>
        <v>Emre Doğan</v>
      </c>
      <c r="C158" s="18" t="str">
        <f aca="false">IF($A158="","",Veri_Guncel!C158)</f>
        <v>Bölge 8</v>
      </c>
      <c r="D158" s="18" t="str">
        <f aca="false">IF($A158="","",Veri_Guncel!D158)</f>
        <v>Mağaza 8A</v>
      </c>
      <c r="E158" s="19" t="n">
        <f aca="false">IF($A158="","",Veri_Guncel!E158)</f>
        <v>41899</v>
      </c>
      <c r="F158" s="19" t="n">
        <f aca="false">IF($A158="","",Veri_Guncel!F158)</f>
        <v>36320</v>
      </c>
      <c r="G158" s="14" t="n">
        <f aca="false">IF(A158="","",IF(COUNTIF(Ayarlar!$A$15:$A$20,C158)&gt;0,1,0))</f>
        <v>0</v>
      </c>
      <c r="H158" s="14" t="n">
        <f aca="false">IF(A158="","",DATEDIF(E158,Ayarlar!$B$3,"y"))</f>
        <v>11</v>
      </c>
      <c r="I158" s="14" t="n">
        <f aca="false">IF(OR(A158="",F158=""),"",DATEDIF(F158,Ayarlar!$B$3,"y"))</f>
        <v>27</v>
      </c>
      <c r="J158" s="14" t="n">
        <f aca="false">IF(A158="","",IF(H158&lt;1,0,MAX(IF(H158&lt;5,14,IF(H158&lt;15,20,26)),IF(AND(I158&lt;&gt;"",OR(I158&lt;=18,I158&gt;=50)),20,0))))</f>
        <v>20</v>
      </c>
      <c r="K158" s="17" t="n">
        <f aca="false">IF(A158="","",EDATE(E158,12*(H158+1)))</f>
        <v>46282</v>
      </c>
      <c r="L158" s="14" t="n">
        <f aca="false">IF(A158="","",K158-Ayarlar!$B$3)</f>
        <v>3</v>
      </c>
      <c r="M158" s="18" t="n">
        <f aca="false">IF(A158="","",Veri_Guncel!H158)</f>
        <v>12</v>
      </c>
      <c r="N158" s="18" t="n">
        <f aca="false">IF(A158="","",IFERROR(INDEX(Veri_Onceki!$H:$H,MATCH(A158,Veri_Onceki!$A:$A,0)),""))</f>
        <v>14</v>
      </c>
      <c r="O158" s="14" t="n">
        <f aca="false">IF(A158="","",IF(AND(H158&gt;=1,EDATE(E158,12*H158)&gt;Ayarlar!$B$4,EDATE(E158,12*H158)&lt;=Ayarlar!$B$3),J158,0))</f>
        <v>0</v>
      </c>
      <c r="P158" s="14" t="n">
        <f aca="false">IF(OR(A158="",N158=""),"",N158+O158-M158)</f>
        <v>2</v>
      </c>
      <c r="Q158" s="16" t="str">
        <f aca="false">IF(A158="","",IF(M158&gt;=Ayarlar!$B$7,"ALARM",IF(M158&gt;=Ayarlar!$B$6,"Planla","")))</f>
        <v/>
      </c>
      <c r="R158" s="14" t="str">
        <f aca="false">IF(A158="","",IF(AND(L158&gt;=0,L158&lt;=Ayarlar!$B$9),"Evet",""))</f>
        <v>Evet</v>
      </c>
      <c r="S158" s="16" t="str">
        <f aca="false">IF(A158="","",IF(N158="","Yeni personel",IF(P158&lt;0,"Kontrol et","")))</f>
        <v/>
      </c>
      <c r="T158" s="14" t="str">
        <f aca="false">IF(A158="","",IF(AND(G158=1,M158&gt;=Ayarlar!$B$6,OR(Ayarlar!$B$11="Tümü",C158=Ayarlar!$B$11)),M158+ROW()/100000,""))</f>
        <v/>
      </c>
    </row>
    <row r="159" customFormat="false" ht="15" hidden="false" customHeight="false" outlineLevel="0" collapsed="false">
      <c r="A159" s="18" t="str">
        <f aca="false">IF(Veri_Guncel!A159="","",Veri_Guncel!A159)</f>
        <v>S10158</v>
      </c>
      <c r="B159" s="18" t="str">
        <f aca="false">IF($A159="","",Veri_Guncel!B159)</f>
        <v>Can Demir</v>
      </c>
      <c r="C159" s="18" t="str">
        <f aca="false">IF($A159="","",Veri_Guncel!C159)</f>
        <v>Bölge 8</v>
      </c>
      <c r="D159" s="18" t="str">
        <f aca="false">IF($A159="","",Veri_Guncel!D159)</f>
        <v>Mağaza 8A</v>
      </c>
      <c r="E159" s="19" t="n">
        <f aca="false">IF($A159="","",Veri_Guncel!E159)</f>
        <v>40671</v>
      </c>
      <c r="F159" s="19" t="n">
        <f aca="false">IF($A159="","",Veri_Guncel!F159)</f>
        <v>33477</v>
      </c>
      <c r="G159" s="14" t="n">
        <f aca="false">IF(A159="","",IF(COUNTIF(Ayarlar!$A$15:$A$20,C159)&gt;0,1,0))</f>
        <v>0</v>
      </c>
      <c r="H159" s="14" t="n">
        <f aca="false">IF(A159="","",DATEDIF(E159,Ayarlar!$B$3,"y"))</f>
        <v>15</v>
      </c>
      <c r="I159" s="14" t="n">
        <f aca="false">IF(OR(A159="",F159=""),"",DATEDIF(F159,Ayarlar!$B$3,"y"))</f>
        <v>35</v>
      </c>
      <c r="J159" s="14" t="n">
        <f aca="false">IF(A159="","",IF(H159&lt;1,0,MAX(IF(H159&lt;5,14,IF(H159&lt;15,20,26)),IF(AND(I159&lt;&gt;"",OR(I159&lt;=18,I159&gt;=50)),20,0))))</f>
        <v>26</v>
      </c>
      <c r="K159" s="17" t="n">
        <f aca="false">IF(A159="","",EDATE(E159,12*(H159+1)))</f>
        <v>46515</v>
      </c>
      <c r="L159" s="14" t="n">
        <f aca="false">IF(A159="","",K159-Ayarlar!$B$3)</f>
        <v>236</v>
      </c>
      <c r="M159" s="18" t="n">
        <f aca="false">IF(A159="","",Veri_Guncel!H159)</f>
        <v>19</v>
      </c>
      <c r="N159" s="18" t="n">
        <f aca="false">IF(A159="","",IFERROR(INDEX(Veri_Onceki!$H:$H,MATCH(A159,Veri_Onceki!$A:$A,0)),""))</f>
        <v>19</v>
      </c>
      <c r="O159" s="14" t="n">
        <f aca="false">IF(A159="","",IF(AND(H159&gt;=1,EDATE(E159,12*H159)&gt;Ayarlar!$B$4,EDATE(E159,12*H159)&lt;=Ayarlar!$B$3),J159,0))</f>
        <v>0</v>
      </c>
      <c r="P159" s="14" t="n">
        <f aca="false">IF(OR(A159="",N159=""),"",N159+O159-M159)</f>
        <v>0</v>
      </c>
      <c r="Q159" s="16" t="str">
        <f aca="false">IF(A159="","",IF(M159&gt;=Ayarlar!$B$7,"ALARM",IF(M159&gt;=Ayarlar!$B$6,"Planla","")))</f>
        <v>Planla</v>
      </c>
      <c r="R159" s="14" t="str">
        <f aca="false">IF(A159="","",IF(AND(L159&gt;=0,L159&lt;=Ayarlar!$B$9),"Evet",""))</f>
        <v/>
      </c>
      <c r="S159" s="16" t="str">
        <f aca="false">IF(A159="","",IF(N159="","Yeni personel",IF(P159&lt;0,"Kontrol et","")))</f>
        <v/>
      </c>
      <c r="T159" s="14" t="str">
        <f aca="false">IF(A159="","",IF(AND(G159=1,M159&gt;=Ayarlar!$B$6,OR(Ayarlar!$B$11="Tümü",C159=Ayarlar!$B$11)),M159+ROW()/100000,""))</f>
        <v/>
      </c>
    </row>
    <row r="160" customFormat="false" ht="15" hidden="false" customHeight="false" outlineLevel="0" collapsed="false">
      <c r="A160" s="18" t="str">
        <f aca="false">IF(Veri_Guncel!A160="","",Veri_Guncel!A160)</f>
        <v>S10159</v>
      </c>
      <c r="B160" s="18" t="str">
        <f aca="false">IF($A160="","",Veri_Guncel!B160)</f>
        <v>Kaan Aslan</v>
      </c>
      <c r="C160" s="18" t="str">
        <f aca="false">IF($A160="","",Veri_Guncel!C160)</f>
        <v>Bölge 8</v>
      </c>
      <c r="D160" s="18" t="str">
        <f aca="false">IF($A160="","",Veri_Guncel!D160)</f>
        <v>Mağaza 8A</v>
      </c>
      <c r="E160" s="19" t="n">
        <f aca="false">IF($A160="","",Veri_Guncel!E160)</f>
        <v>44362</v>
      </c>
      <c r="F160" s="19" t="n">
        <f aca="false">IF($A160="","",Veri_Guncel!F160)</f>
        <v>34552</v>
      </c>
      <c r="G160" s="14" t="n">
        <f aca="false">IF(A160="","",IF(COUNTIF(Ayarlar!$A$15:$A$20,C160)&gt;0,1,0))</f>
        <v>0</v>
      </c>
      <c r="H160" s="14" t="n">
        <f aca="false">IF(A160="","",DATEDIF(E160,Ayarlar!$B$3,"y"))</f>
        <v>5</v>
      </c>
      <c r="I160" s="14" t="n">
        <f aca="false">IF(OR(A160="",F160=""),"",DATEDIF(F160,Ayarlar!$B$3,"y"))</f>
        <v>32</v>
      </c>
      <c r="J160" s="14" t="n">
        <f aca="false">IF(A160="","",IF(H160&lt;1,0,MAX(IF(H160&lt;5,14,IF(H160&lt;15,20,26)),IF(AND(I160&lt;&gt;"",OR(I160&lt;=18,I160&gt;=50)),20,0))))</f>
        <v>20</v>
      </c>
      <c r="K160" s="17" t="n">
        <f aca="false">IF(A160="","",EDATE(E160,12*(H160+1)))</f>
        <v>46553</v>
      </c>
      <c r="L160" s="14" t="n">
        <f aca="false">IF(A160="","",K160-Ayarlar!$B$3)</f>
        <v>274</v>
      </c>
      <c r="M160" s="18" t="n">
        <f aca="false">IF(A160="","",Veri_Guncel!H160)</f>
        <v>21</v>
      </c>
      <c r="N160" s="18" t="n">
        <f aca="false">IF(A160="","",IFERROR(INDEX(Veri_Onceki!$H:$H,MATCH(A160,Veri_Onceki!$A:$A,0)),""))</f>
        <v>26</v>
      </c>
      <c r="O160" s="14" t="n">
        <f aca="false">IF(A160="","",IF(AND(H160&gt;=1,EDATE(E160,12*H160)&gt;Ayarlar!$B$4,EDATE(E160,12*H160)&lt;=Ayarlar!$B$3),J160,0))</f>
        <v>0</v>
      </c>
      <c r="P160" s="14" t="n">
        <f aca="false">IF(OR(A160="",N160=""),"",N160+O160-M160)</f>
        <v>5</v>
      </c>
      <c r="Q160" s="16" t="str">
        <f aca="false">IF(A160="","",IF(M160&gt;=Ayarlar!$B$7,"ALARM",IF(M160&gt;=Ayarlar!$B$6,"Planla","")))</f>
        <v>ALARM</v>
      </c>
      <c r="R160" s="14" t="str">
        <f aca="false">IF(A160="","",IF(AND(L160&gt;=0,L160&lt;=Ayarlar!$B$9),"Evet",""))</f>
        <v/>
      </c>
      <c r="S160" s="16" t="str">
        <f aca="false">IF(A160="","",IF(N160="","Yeni personel",IF(P160&lt;0,"Kontrol et","")))</f>
        <v/>
      </c>
      <c r="T160" s="14" t="str">
        <f aca="false">IF(A160="","",IF(AND(G160=1,M160&gt;=Ayarlar!$B$6,OR(Ayarlar!$B$11="Tümü",C160=Ayarlar!$B$11)),M160+ROW()/100000,""))</f>
        <v/>
      </c>
    </row>
    <row r="161" customFormat="false" ht="15" hidden="false" customHeight="false" outlineLevel="0" collapsed="false">
      <c r="A161" s="18" t="str">
        <f aca="false">IF(Veri_Guncel!A161="","",Veri_Guncel!A161)</f>
        <v>S10160</v>
      </c>
      <c r="B161" s="18" t="str">
        <f aca="false">IF($A161="","",Veri_Guncel!B161)</f>
        <v>Burak Polat</v>
      </c>
      <c r="C161" s="18" t="str">
        <f aca="false">IF($A161="","",Veri_Guncel!C161)</f>
        <v>Bölge 8</v>
      </c>
      <c r="D161" s="18" t="str">
        <f aca="false">IF($A161="","",Veri_Guncel!D161)</f>
        <v>Mağaza 8A</v>
      </c>
      <c r="E161" s="19" t="n">
        <f aca="false">IF($A161="","",Veri_Guncel!E161)</f>
        <v>46138</v>
      </c>
      <c r="F161" s="19" t="n">
        <f aca="false">IF($A161="","",Veri_Guncel!F161)</f>
        <v>38066</v>
      </c>
      <c r="G161" s="14" t="n">
        <f aca="false">IF(A161="","",IF(COUNTIF(Ayarlar!$A$15:$A$20,C161)&gt;0,1,0))</f>
        <v>0</v>
      </c>
      <c r="H161" s="14" t="n">
        <f aca="false">IF(A161="","",DATEDIF(E161,Ayarlar!$B$3,"y"))</f>
        <v>0</v>
      </c>
      <c r="I161" s="14" t="n">
        <f aca="false">IF(OR(A161="",F161=""),"",DATEDIF(F161,Ayarlar!$B$3,"y"))</f>
        <v>22</v>
      </c>
      <c r="J161" s="14" t="n">
        <f aca="false">IF(A161="","",IF(H161&lt;1,0,MAX(IF(H161&lt;5,14,IF(H161&lt;15,20,26)),IF(AND(I161&lt;&gt;"",OR(I161&lt;=18,I161&gt;=50)),20,0))))</f>
        <v>0</v>
      </c>
      <c r="K161" s="17" t="n">
        <f aca="false">IF(A161="","",EDATE(E161,12*(H161+1)))</f>
        <v>46503</v>
      </c>
      <c r="L161" s="14" t="n">
        <f aca="false">IF(A161="","",K161-Ayarlar!$B$3)</f>
        <v>224</v>
      </c>
      <c r="M161" s="18" t="n">
        <f aca="false">IF(A161="","",Veri_Guncel!H161)</f>
        <v>0</v>
      </c>
      <c r="N161" s="18" t="n">
        <f aca="false">IF(A161="","",IFERROR(INDEX(Veri_Onceki!$H:$H,MATCH(A161,Veri_Onceki!$A:$A,0)),""))</f>
        <v>2</v>
      </c>
      <c r="O161" s="14" t="n">
        <f aca="false">IF(A161="","",IF(AND(H161&gt;=1,EDATE(E161,12*H161)&gt;Ayarlar!$B$4,EDATE(E161,12*H161)&lt;=Ayarlar!$B$3),J161,0))</f>
        <v>0</v>
      </c>
      <c r="P161" s="14" t="n">
        <f aca="false">IF(OR(A161="",N161=""),"",N161+O161-M161)</f>
        <v>2</v>
      </c>
      <c r="Q161" s="16" t="str">
        <f aca="false">IF(A161="","",IF(M161&gt;=Ayarlar!$B$7,"ALARM",IF(M161&gt;=Ayarlar!$B$6,"Planla","")))</f>
        <v/>
      </c>
      <c r="R161" s="14" t="str">
        <f aca="false">IF(A161="","",IF(AND(L161&gt;=0,L161&lt;=Ayarlar!$B$9),"Evet",""))</f>
        <v/>
      </c>
      <c r="S161" s="16" t="str">
        <f aca="false">IF(A161="","",IF(N161="","Yeni personel",IF(P161&lt;0,"Kontrol et","")))</f>
        <v/>
      </c>
      <c r="T161" s="14" t="str">
        <f aca="false">IF(A161="","",IF(AND(G161=1,M161&gt;=Ayarlar!$B$6,OR(Ayarlar!$B$11="Tümü",C161=Ayarlar!$B$11)),M161+ROW()/100000,""))</f>
        <v/>
      </c>
    </row>
    <row r="162" customFormat="false" ht="15" hidden="false" customHeight="false" outlineLevel="0" collapsed="false">
      <c r="A162" s="18" t="str">
        <f aca="false">IF(Veri_Guncel!A162="","",Veri_Guncel!A162)</f>
        <v>S10161</v>
      </c>
      <c r="B162" s="18" t="str">
        <f aca="false">IF($A162="","",Veri_Guncel!B162)</f>
        <v>İrem Doğan</v>
      </c>
      <c r="C162" s="18" t="str">
        <f aca="false">IF($A162="","",Veri_Guncel!C162)</f>
        <v>Bölge 8</v>
      </c>
      <c r="D162" s="18" t="str">
        <f aca="false">IF($A162="","",Veri_Guncel!D162)</f>
        <v>Mağaza 8A</v>
      </c>
      <c r="E162" s="19" t="n">
        <f aca="false">IF($A162="","",Veri_Guncel!E162)</f>
        <v>41461</v>
      </c>
      <c r="F162" s="19" t="n">
        <f aca="false">IF($A162="","",Veri_Guncel!F162)</f>
        <v>27916</v>
      </c>
      <c r="G162" s="14" t="n">
        <f aca="false">IF(A162="","",IF(COUNTIF(Ayarlar!$A$15:$A$20,C162)&gt;0,1,0))</f>
        <v>0</v>
      </c>
      <c r="H162" s="14" t="n">
        <f aca="false">IF(A162="","",DATEDIF(E162,Ayarlar!$B$3,"y"))</f>
        <v>13</v>
      </c>
      <c r="I162" s="14" t="n">
        <f aca="false">IF(OR(A162="",F162=""),"",DATEDIF(F162,Ayarlar!$B$3,"y"))</f>
        <v>50</v>
      </c>
      <c r="J162" s="14" t="n">
        <f aca="false">IF(A162="","",IF(H162&lt;1,0,MAX(IF(H162&lt;5,14,IF(H162&lt;15,20,26)),IF(AND(I162&lt;&gt;"",OR(I162&lt;=18,I162&gt;=50)),20,0))))</f>
        <v>20</v>
      </c>
      <c r="K162" s="17" t="n">
        <f aca="false">IF(A162="","",EDATE(E162,12*(H162+1)))</f>
        <v>46574</v>
      </c>
      <c r="L162" s="14" t="n">
        <f aca="false">IF(A162="","",K162-Ayarlar!$B$3)</f>
        <v>295</v>
      </c>
      <c r="M162" s="18" t="n">
        <f aca="false">IF(A162="","",Veri_Guncel!H162)</f>
        <v>24</v>
      </c>
      <c r="N162" s="18" t="n">
        <f aca="false">IF(A162="","",IFERROR(INDEX(Veri_Onceki!$H:$H,MATCH(A162,Veri_Onceki!$A:$A,0)),""))</f>
        <v>26</v>
      </c>
      <c r="O162" s="14" t="n">
        <f aca="false">IF(A162="","",IF(AND(H162&gt;=1,EDATE(E162,12*H162)&gt;Ayarlar!$B$4,EDATE(E162,12*H162)&lt;=Ayarlar!$B$3),J162,0))</f>
        <v>0</v>
      </c>
      <c r="P162" s="14" t="n">
        <f aca="false">IF(OR(A162="",N162=""),"",N162+O162-M162)</f>
        <v>2</v>
      </c>
      <c r="Q162" s="16" t="str">
        <f aca="false">IF(A162="","",IF(M162&gt;=Ayarlar!$B$7,"ALARM",IF(M162&gt;=Ayarlar!$B$6,"Planla","")))</f>
        <v>ALARM</v>
      </c>
      <c r="R162" s="14" t="str">
        <f aca="false">IF(A162="","",IF(AND(L162&gt;=0,L162&lt;=Ayarlar!$B$9),"Evet",""))</f>
        <v/>
      </c>
      <c r="S162" s="16" t="str">
        <f aca="false">IF(A162="","",IF(N162="","Yeni personel",IF(P162&lt;0,"Kontrol et","")))</f>
        <v/>
      </c>
      <c r="T162" s="14" t="str">
        <f aca="false">IF(A162="","",IF(AND(G162=1,M162&gt;=Ayarlar!$B$6,OR(Ayarlar!$B$11="Tümü",C162=Ayarlar!$B$11)),M162+ROW()/100000,""))</f>
        <v/>
      </c>
    </row>
    <row r="163" customFormat="false" ht="15" hidden="false" customHeight="false" outlineLevel="0" collapsed="false">
      <c r="A163" s="18" t="str">
        <f aca="false">IF(Veri_Guncel!A163="","",Veri_Guncel!A163)</f>
        <v>S10162</v>
      </c>
      <c r="B163" s="18" t="str">
        <f aca="false">IF($A163="","",Veri_Guncel!B163)</f>
        <v>Mert Öztürk</v>
      </c>
      <c r="C163" s="18" t="str">
        <f aca="false">IF($A163="","",Veri_Guncel!C163)</f>
        <v>Bölge 8</v>
      </c>
      <c r="D163" s="18" t="str">
        <f aca="false">IF($A163="","",Veri_Guncel!D163)</f>
        <v>Mağaza 8A</v>
      </c>
      <c r="E163" s="19" t="n">
        <f aca="false">IF($A163="","",Veri_Guncel!E163)</f>
        <v>46214</v>
      </c>
      <c r="F163" s="19" t="n">
        <f aca="false">IF($A163="","",Veri_Guncel!F163)</f>
        <v>28228</v>
      </c>
      <c r="G163" s="14" t="n">
        <f aca="false">IF(A163="","",IF(COUNTIF(Ayarlar!$A$15:$A$20,C163)&gt;0,1,0))</f>
        <v>0</v>
      </c>
      <c r="H163" s="14" t="n">
        <f aca="false">IF(A163="","",DATEDIF(E163,Ayarlar!$B$3,"y"))</f>
        <v>0</v>
      </c>
      <c r="I163" s="14" t="n">
        <f aca="false">IF(OR(A163="",F163=""),"",DATEDIF(F163,Ayarlar!$B$3,"y"))</f>
        <v>49</v>
      </c>
      <c r="J163" s="14" t="n">
        <f aca="false">IF(A163="","",IF(H163&lt;1,0,MAX(IF(H163&lt;5,14,IF(H163&lt;15,20,26)),IF(AND(I163&lt;&gt;"",OR(I163&lt;=18,I163&gt;=50)),20,0))))</f>
        <v>0</v>
      </c>
      <c r="K163" s="17" t="n">
        <f aca="false">IF(A163="","",EDATE(E163,12*(H163+1)))</f>
        <v>46579</v>
      </c>
      <c r="L163" s="14" t="n">
        <f aca="false">IF(A163="","",K163-Ayarlar!$B$3)</f>
        <v>300</v>
      </c>
      <c r="M163" s="18" t="n">
        <f aca="false">IF(A163="","",Veri_Guncel!H163)</f>
        <v>0</v>
      </c>
      <c r="N163" s="18" t="n">
        <f aca="false">IF(A163="","",IFERROR(INDEX(Veri_Onceki!$H:$H,MATCH(A163,Veri_Onceki!$A:$A,0)),""))</f>
        <v>0</v>
      </c>
      <c r="O163" s="14" t="n">
        <f aca="false">IF(A163="","",IF(AND(H163&gt;=1,EDATE(E163,12*H163)&gt;Ayarlar!$B$4,EDATE(E163,12*H163)&lt;=Ayarlar!$B$3),J163,0))</f>
        <v>0</v>
      </c>
      <c r="P163" s="14" t="n">
        <f aca="false">IF(OR(A163="",N163=""),"",N163+O163-M163)</f>
        <v>0</v>
      </c>
      <c r="Q163" s="16" t="str">
        <f aca="false">IF(A163="","",IF(M163&gt;=Ayarlar!$B$7,"ALARM",IF(M163&gt;=Ayarlar!$B$6,"Planla","")))</f>
        <v/>
      </c>
      <c r="R163" s="14" t="str">
        <f aca="false">IF(A163="","",IF(AND(L163&gt;=0,L163&lt;=Ayarlar!$B$9),"Evet",""))</f>
        <v/>
      </c>
      <c r="S163" s="16" t="str">
        <f aca="false">IF(A163="","",IF(N163="","Yeni personel",IF(P163&lt;0,"Kontrol et","")))</f>
        <v/>
      </c>
      <c r="T163" s="14" t="str">
        <f aca="false">IF(A163="","",IF(AND(G163=1,M163&gt;=Ayarlar!$B$6,OR(Ayarlar!$B$11="Tümü",C163=Ayarlar!$B$11)),M163+ROW()/100000,""))</f>
        <v/>
      </c>
    </row>
    <row r="164" customFormat="false" ht="15" hidden="false" customHeight="false" outlineLevel="0" collapsed="false">
      <c r="A164" s="18" t="str">
        <f aca="false">IF(Veri_Guncel!A164="","",Veri_Guncel!A164)</f>
        <v>S10163</v>
      </c>
      <c r="B164" s="18" t="str">
        <f aca="false">IF($A164="","",Veri_Guncel!B164)</f>
        <v>Ece Yılmaz</v>
      </c>
      <c r="C164" s="18" t="str">
        <f aca="false">IF($A164="","",Veri_Guncel!C164)</f>
        <v>Bölge 8</v>
      </c>
      <c r="D164" s="18" t="str">
        <f aca="false">IF($A164="","",Veri_Guncel!D164)</f>
        <v>Mağaza 8A</v>
      </c>
      <c r="E164" s="19" t="n">
        <f aca="false">IF($A164="","",Veri_Guncel!E164)</f>
        <v>41072</v>
      </c>
      <c r="F164" s="19" t="n">
        <f aca="false">IF($A164="","",Veri_Guncel!F164)</f>
        <v>33560</v>
      </c>
      <c r="G164" s="14" t="n">
        <f aca="false">IF(A164="","",IF(COUNTIF(Ayarlar!$A$15:$A$20,C164)&gt;0,1,0))</f>
        <v>0</v>
      </c>
      <c r="H164" s="14" t="n">
        <f aca="false">IF(A164="","",DATEDIF(E164,Ayarlar!$B$3,"y"))</f>
        <v>14</v>
      </c>
      <c r="I164" s="14" t="n">
        <f aca="false">IF(OR(A164="",F164=""),"",DATEDIF(F164,Ayarlar!$B$3,"y"))</f>
        <v>34</v>
      </c>
      <c r="J164" s="14" t="n">
        <f aca="false">IF(A164="","",IF(H164&lt;1,0,MAX(IF(H164&lt;5,14,IF(H164&lt;15,20,26)),IF(AND(I164&lt;&gt;"",OR(I164&lt;=18,I164&gt;=50)),20,0))))</f>
        <v>20</v>
      </c>
      <c r="K164" s="17" t="n">
        <f aca="false">IF(A164="","",EDATE(E164,12*(H164+1)))</f>
        <v>46550</v>
      </c>
      <c r="L164" s="14" t="n">
        <f aca="false">IF(A164="","",K164-Ayarlar!$B$3)</f>
        <v>271</v>
      </c>
      <c r="M164" s="18" t="n">
        <f aca="false">IF(A164="","",Veri_Guncel!H164)</f>
        <v>24</v>
      </c>
      <c r="N164" s="18" t="n">
        <f aca="false">IF(A164="","",IFERROR(INDEX(Veri_Onceki!$H:$H,MATCH(A164,Veri_Onceki!$A:$A,0)),""))</f>
        <v>31</v>
      </c>
      <c r="O164" s="14" t="n">
        <f aca="false">IF(A164="","",IF(AND(H164&gt;=1,EDATE(E164,12*H164)&gt;Ayarlar!$B$4,EDATE(E164,12*H164)&lt;=Ayarlar!$B$3),J164,0))</f>
        <v>0</v>
      </c>
      <c r="P164" s="14" t="n">
        <f aca="false">IF(OR(A164="",N164=""),"",N164+O164-M164)</f>
        <v>7</v>
      </c>
      <c r="Q164" s="16" t="str">
        <f aca="false">IF(A164="","",IF(M164&gt;=Ayarlar!$B$7,"ALARM",IF(M164&gt;=Ayarlar!$B$6,"Planla","")))</f>
        <v>ALARM</v>
      </c>
      <c r="R164" s="14" t="str">
        <f aca="false">IF(A164="","",IF(AND(L164&gt;=0,L164&lt;=Ayarlar!$B$9),"Evet",""))</f>
        <v/>
      </c>
      <c r="S164" s="16" t="str">
        <f aca="false">IF(A164="","",IF(N164="","Yeni personel",IF(P164&lt;0,"Kontrol et","")))</f>
        <v/>
      </c>
      <c r="T164" s="14" t="str">
        <f aca="false">IF(A164="","",IF(AND(G164=1,M164&gt;=Ayarlar!$B$6,OR(Ayarlar!$B$11="Tümü",C164=Ayarlar!$B$11)),M164+ROW()/100000,""))</f>
        <v/>
      </c>
    </row>
    <row r="165" customFormat="false" ht="15" hidden="false" customHeight="false" outlineLevel="0" collapsed="false">
      <c r="A165" s="18" t="str">
        <f aca="false">IF(Veri_Guncel!A165="","",Veri_Guncel!A165)</f>
        <v>S10164</v>
      </c>
      <c r="B165" s="18" t="str">
        <f aca="false">IF($A165="","",Veri_Guncel!B165)</f>
        <v>Emre Yıldız</v>
      </c>
      <c r="C165" s="18" t="str">
        <f aca="false">IF($A165="","",Veri_Guncel!C165)</f>
        <v>Bölge 8</v>
      </c>
      <c r="D165" s="18" t="str">
        <f aca="false">IF($A165="","",Veri_Guncel!D165)</f>
        <v>Mağaza 8A</v>
      </c>
      <c r="E165" s="19" t="n">
        <f aca="false">IF($A165="","",Veri_Guncel!E165)</f>
        <v>42699</v>
      </c>
      <c r="F165" s="19" t="n">
        <f aca="false">IF($A165="","",Veri_Guncel!F165)</f>
        <v>26490</v>
      </c>
      <c r="G165" s="14" t="n">
        <f aca="false">IF(A165="","",IF(COUNTIF(Ayarlar!$A$15:$A$20,C165)&gt;0,1,0))</f>
        <v>0</v>
      </c>
      <c r="H165" s="14" t="n">
        <f aca="false">IF(A165="","",DATEDIF(E165,Ayarlar!$B$3,"y"))</f>
        <v>9</v>
      </c>
      <c r="I165" s="14" t="n">
        <f aca="false">IF(OR(A165="",F165=""),"",DATEDIF(F165,Ayarlar!$B$3,"y"))</f>
        <v>54</v>
      </c>
      <c r="J165" s="14" t="n">
        <f aca="false">IF(A165="","",IF(H165&lt;1,0,MAX(IF(H165&lt;5,14,IF(H165&lt;15,20,26)),IF(AND(I165&lt;&gt;"",OR(I165&lt;=18,I165&gt;=50)),20,0))))</f>
        <v>20</v>
      </c>
      <c r="K165" s="17" t="n">
        <f aca="false">IF(A165="","",EDATE(E165,12*(H165+1)))</f>
        <v>46351</v>
      </c>
      <c r="L165" s="14" t="n">
        <f aca="false">IF(A165="","",K165-Ayarlar!$B$3)</f>
        <v>72</v>
      </c>
      <c r="M165" s="18" t="n">
        <f aca="false">IF(A165="","",Veri_Guncel!H165)</f>
        <v>14</v>
      </c>
      <c r="N165" s="18" t="n">
        <f aca="false">IF(A165="","",IFERROR(INDEX(Veri_Onceki!$H:$H,MATCH(A165,Veri_Onceki!$A:$A,0)),""))</f>
        <v>14</v>
      </c>
      <c r="O165" s="14" t="n">
        <f aca="false">IF(A165="","",IF(AND(H165&gt;=1,EDATE(E165,12*H165)&gt;Ayarlar!$B$4,EDATE(E165,12*H165)&lt;=Ayarlar!$B$3),J165,0))</f>
        <v>0</v>
      </c>
      <c r="P165" s="14" t="n">
        <f aca="false">IF(OR(A165="",N165=""),"",N165+O165-M165)</f>
        <v>0</v>
      </c>
      <c r="Q165" s="16" t="str">
        <f aca="false">IF(A165="","",IF(M165&gt;=Ayarlar!$B$7,"ALARM",IF(M165&gt;=Ayarlar!$B$6,"Planla","")))</f>
        <v>Planla</v>
      </c>
      <c r="R165" s="14" t="str">
        <f aca="false">IF(A165="","",IF(AND(L165&gt;=0,L165&lt;=Ayarlar!$B$9),"Evet",""))</f>
        <v/>
      </c>
      <c r="S165" s="16" t="str">
        <f aca="false">IF(A165="","",IF(N165="","Yeni personel",IF(P165&lt;0,"Kontrol et","")))</f>
        <v/>
      </c>
      <c r="T165" s="14" t="str">
        <f aca="false">IF(A165="","",IF(AND(G165=1,M165&gt;=Ayarlar!$B$6,OR(Ayarlar!$B$11="Tümü",C165=Ayarlar!$B$11)),M165+ROW()/100000,""))</f>
        <v/>
      </c>
    </row>
    <row r="166" customFormat="false" ht="15" hidden="false" customHeight="false" outlineLevel="0" collapsed="false">
      <c r="A166" s="18" t="str">
        <f aca="false">IF(Veri_Guncel!A166="","",Veri_Guncel!A166)</f>
        <v>S10165</v>
      </c>
      <c r="B166" s="18" t="str">
        <f aca="false">IF($A166="","",Veri_Guncel!B166)</f>
        <v>Melis Yıldız</v>
      </c>
      <c r="C166" s="18" t="str">
        <f aca="false">IF($A166="","",Veri_Guncel!C166)</f>
        <v>Bölge 8</v>
      </c>
      <c r="D166" s="18" t="str">
        <f aca="false">IF($A166="","",Veri_Guncel!D166)</f>
        <v>Mağaza 8B</v>
      </c>
      <c r="E166" s="19" t="n">
        <f aca="false">IF($A166="","",Veri_Guncel!E166)</f>
        <v>40641</v>
      </c>
      <c r="F166" s="19" t="n">
        <f aca="false">IF($A166="","",Veri_Guncel!F166)</f>
        <v>36211</v>
      </c>
      <c r="G166" s="14" t="n">
        <f aca="false">IF(A166="","",IF(COUNTIF(Ayarlar!$A$15:$A$20,C166)&gt;0,1,0))</f>
        <v>0</v>
      </c>
      <c r="H166" s="14" t="n">
        <f aca="false">IF(A166="","",DATEDIF(E166,Ayarlar!$B$3,"y"))</f>
        <v>15</v>
      </c>
      <c r="I166" s="14" t="n">
        <f aca="false">IF(OR(A166="",F166=""),"",DATEDIF(F166,Ayarlar!$B$3,"y"))</f>
        <v>27</v>
      </c>
      <c r="J166" s="14" t="n">
        <f aca="false">IF(A166="","",IF(H166&lt;1,0,MAX(IF(H166&lt;5,14,IF(H166&lt;15,20,26)),IF(AND(I166&lt;&gt;"",OR(I166&lt;=18,I166&gt;=50)),20,0))))</f>
        <v>26</v>
      </c>
      <c r="K166" s="17" t="n">
        <f aca="false">IF(A166="","",EDATE(E166,12*(H166+1)))</f>
        <v>46485</v>
      </c>
      <c r="L166" s="14" t="n">
        <f aca="false">IF(A166="","",K166-Ayarlar!$B$3)</f>
        <v>206</v>
      </c>
      <c r="M166" s="18" t="n">
        <f aca="false">IF(A166="","",Veri_Guncel!H166)</f>
        <v>19</v>
      </c>
      <c r="N166" s="18" t="n">
        <f aca="false">IF(A166="","",IFERROR(INDEX(Veri_Onceki!$H:$H,MATCH(A166,Veri_Onceki!$A:$A,0)),""))</f>
        <v>19</v>
      </c>
      <c r="O166" s="14" t="n">
        <f aca="false">IF(A166="","",IF(AND(H166&gt;=1,EDATE(E166,12*H166)&gt;Ayarlar!$B$4,EDATE(E166,12*H166)&lt;=Ayarlar!$B$3),J166,0))</f>
        <v>0</v>
      </c>
      <c r="P166" s="14" t="n">
        <f aca="false">IF(OR(A166="",N166=""),"",N166+O166-M166)</f>
        <v>0</v>
      </c>
      <c r="Q166" s="16" t="str">
        <f aca="false">IF(A166="","",IF(M166&gt;=Ayarlar!$B$7,"ALARM",IF(M166&gt;=Ayarlar!$B$6,"Planla","")))</f>
        <v>Planla</v>
      </c>
      <c r="R166" s="14" t="str">
        <f aca="false">IF(A166="","",IF(AND(L166&gt;=0,L166&lt;=Ayarlar!$B$9),"Evet",""))</f>
        <v/>
      </c>
      <c r="S166" s="16" t="str">
        <f aca="false">IF(A166="","",IF(N166="","Yeni personel",IF(P166&lt;0,"Kontrol et","")))</f>
        <v/>
      </c>
      <c r="T166" s="14" t="str">
        <f aca="false">IF(A166="","",IF(AND(G166=1,M166&gt;=Ayarlar!$B$6,OR(Ayarlar!$B$11="Tümü",C166=Ayarlar!$B$11)),M166+ROW()/100000,""))</f>
        <v/>
      </c>
    </row>
    <row r="167" customFormat="false" ht="15" hidden="false" customHeight="false" outlineLevel="0" collapsed="false">
      <c r="A167" s="18" t="str">
        <f aca="false">IF(Veri_Guncel!A167="","",Veri_Guncel!A167)</f>
        <v>S10166</v>
      </c>
      <c r="B167" s="18" t="str">
        <f aca="false">IF($A167="","",Veri_Guncel!B167)</f>
        <v>Umut Polat</v>
      </c>
      <c r="C167" s="18" t="str">
        <f aca="false">IF($A167="","",Veri_Guncel!C167)</f>
        <v>Bölge 8</v>
      </c>
      <c r="D167" s="18" t="str">
        <f aca="false">IF($A167="","",Veri_Guncel!D167)</f>
        <v>Mağaza 8B</v>
      </c>
      <c r="E167" s="19" t="n">
        <f aca="false">IF($A167="","",Veri_Guncel!E167)</f>
        <v>42781</v>
      </c>
      <c r="F167" s="19" t="n">
        <f aca="false">IF($A167="","",Veri_Guncel!F167)</f>
        <v>26940</v>
      </c>
      <c r="G167" s="14" t="n">
        <f aca="false">IF(A167="","",IF(COUNTIF(Ayarlar!$A$15:$A$20,C167)&gt;0,1,0))</f>
        <v>0</v>
      </c>
      <c r="H167" s="14" t="n">
        <f aca="false">IF(A167="","",DATEDIF(E167,Ayarlar!$B$3,"y"))</f>
        <v>9</v>
      </c>
      <c r="I167" s="14" t="n">
        <f aca="false">IF(OR(A167="",F167=""),"",DATEDIF(F167,Ayarlar!$B$3,"y"))</f>
        <v>52</v>
      </c>
      <c r="J167" s="14" t="n">
        <f aca="false">IF(A167="","",IF(H167&lt;1,0,MAX(IF(H167&lt;5,14,IF(H167&lt;15,20,26)),IF(AND(I167&lt;&gt;"",OR(I167&lt;=18,I167&gt;=50)),20,0))))</f>
        <v>20</v>
      </c>
      <c r="K167" s="17" t="n">
        <f aca="false">IF(A167="","",EDATE(E167,12*(H167+1)))</f>
        <v>46433</v>
      </c>
      <c r="L167" s="14" t="n">
        <f aca="false">IF(A167="","",K167-Ayarlar!$B$3)</f>
        <v>154</v>
      </c>
      <c r="M167" s="18" t="n">
        <f aca="false">IF(A167="","",Veri_Guncel!H167)</f>
        <v>24</v>
      </c>
      <c r="N167" s="18" t="n">
        <f aca="false">IF(A167="","",IFERROR(INDEX(Veri_Onceki!$H:$H,MATCH(A167,Veri_Onceki!$A:$A,0)),""))</f>
        <v>27</v>
      </c>
      <c r="O167" s="14" t="n">
        <f aca="false">IF(A167="","",IF(AND(H167&gt;=1,EDATE(E167,12*H167)&gt;Ayarlar!$B$4,EDATE(E167,12*H167)&lt;=Ayarlar!$B$3),J167,0))</f>
        <v>0</v>
      </c>
      <c r="P167" s="14" t="n">
        <f aca="false">IF(OR(A167="",N167=""),"",N167+O167-M167)</f>
        <v>3</v>
      </c>
      <c r="Q167" s="16" t="str">
        <f aca="false">IF(A167="","",IF(M167&gt;=Ayarlar!$B$7,"ALARM",IF(M167&gt;=Ayarlar!$B$6,"Planla","")))</f>
        <v>ALARM</v>
      </c>
      <c r="R167" s="14" t="str">
        <f aca="false">IF(A167="","",IF(AND(L167&gt;=0,L167&lt;=Ayarlar!$B$9),"Evet",""))</f>
        <v/>
      </c>
      <c r="S167" s="16" t="str">
        <f aca="false">IF(A167="","",IF(N167="","Yeni personel",IF(P167&lt;0,"Kontrol et","")))</f>
        <v/>
      </c>
      <c r="T167" s="14" t="str">
        <f aca="false">IF(A167="","",IF(AND(G167=1,M167&gt;=Ayarlar!$B$6,OR(Ayarlar!$B$11="Tümü",C167=Ayarlar!$B$11)),M167+ROW()/100000,""))</f>
        <v/>
      </c>
    </row>
    <row r="168" customFormat="false" ht="15" hidden="false" customHeight="false" outlineLevel="0" collapsed="false">
      <c r="A168" s="18" t="str">
        <f aca="false">IF(Veri_Guncel!A168="","",Veri_Guncel!A168)</f>
        <v>S10167</v>
      </c>
      <c r="B168" s="18" t="str">
        <f aca="false">IF($A168="","",Veri_Guncel!B168)</f>
        <v>Derya Aydın</v>
      </c>
      <c r="C168" s="18" t="str">
        <f aca="false">IF($A168="","",Veri_Guncel!C168)</f>
        <v>Bölge 8</v>
      </c>
      <c r="D168" s="18" t="str">
        <f aca="false">IF($A168="","",Veri_Guncel!D168)</f>
        <v>Mağaza 8B</v>
      </c>
      <c r="E168" s="19" t="n">
        <f aca="false">IF($A168="","",Veri_Guncel!E168)</f>
        <v>45567</v>
      </c>
      <c r="F168" s="19" t="n">
        <f aca="false">IF($A168="","",Veri_Guncel!F168)</f>
        <v>29455</v>
      </c>
      <c r="G168" s="14" t="n">
        <f aca="false">IF(A168="","",IF(COUNTIF(Ayarlar!$A$15:$A$20,C168)&gt;0,1,0))</f>
        <v>0</v>
      </c>
      <c r="H168" s="14" t="n">
        <f aca="false">IF(A168="","",DATEDIF(E168,Ayarlar!$B$3,"y"))</f>
        <v>1</v>
      </c>
      <c r="I168" s="14" t="n">
        <f aca="false">IF(OR(A168="",F168=""),"",DATEDIF(F168,Ayarlar!$B$3,"y"))</f>
        <v>46</v>
      </c>
      <c r="J168" s="14" t="n">
        <f aca="false">IF(A168="","",IF(H168&lt;1,0,MAX(IF(H168&lt;5,14,IF(H168&lt;15,20,26)),IF(AND(I168&lt;&gt;"",OR(I168&lt;=18,I168&gt;=50)),20,0))))</f>
        <v>14</v>
      </c>
      <c r="K168" s="17" t="n">
        <f aca="false">IF(A168="","",EDATE(E168,12*(H168+1)))</f>
        <v>46297</v>
      </c>
      <c r="L168" s="14" t="n">
        <f aca="false">IF(A168="","",K168-Ayarlar!$B$3)</f>
        <v>18</v>
      </c>
      <c r="M168" s="18" t="n">
        <f aca="false">IF(A168="","",Veri_Guncel!H168)</f>
        <v>12</v>
      </c>
      <c r="N168" s="18" t="n">
        <f aca="false">IF(A168="","",IFERROR(INDEX(Veri_Onceki!$H:$H,MATCH(A168,Veri_Onceki!$A:$A,0)),""))</f>
        <v>17</v>
      </c>
      <c r="O168" s="14" t="n">
        <f aca="false">IF(A168="","",IF(AND(H168&gt;=1,EDATE(E168,12*H168)&gt;Ayarlar!$B$4,EDATE(E168,12*H168)&lt;=Ayarlar!$B$3),J168,0))</f>
        <v>0</v>
      </c>
      <c r="P168" s="14" t="n">
        <f aca="false">IF(OR(A168="",N168=""),"",N168+O168-M168)</f>
        <v>5</v>
      </c>
      <c r="Q168" s="16" t="str">
        <f aca="false">IF(A168="","",IF(M168&gt;=Ayarlar!$B$7,"ALARM",IF(M168&gt;=Ayarlar!$B$6,"Planla","")))</f>
        <v/>
      </c>
      <c r="R168" s="14" t="str">
        <f aca="false">IF(A168="","",IF(AND(L168&gt;=0,L168&lt;=Ayarlar!$B$9),"Evet",""))</f>
        <v>Evet</v>
      </c>
      <c r="S168" s="16" t="str">
        <f aca="false">IF(A168="","",IF(N168="","Yeni personel",IF(P168&lt;0,"Kontrol et","")))</f>
        <v/>
      </c>
      <c r="T168" s="14" t="str">
        <f aca="false">IF(A168="","",IF(AND(G168=1,M168&gt;=Ayarlar!$B$6,OR(Ayarlar!$B$11="Tümü",C168=Ayarlar!$B$11)),M168+ROW()/100000,""))</f>
        <v/>
      </c>
    </row>
    <row r="169" customFormat="false" ht="15" hidden="false" customHeight="false" outlineLevel="0" collapsed="false">
      <c r="A169" s="18" t="str">
        <f aca="false">IF(Veri_Guncel!A169="","",Veri_Guncel!A169)</f>
        <v>S10168</v>
      </c>
      <c r="B169" s="18" t="str">
        <f aca="false">IF($A169="","",Veri_Guncel!B169)</f>
        <v>Gizem Aslan</v>
      </c>
      <c r="C169" s="18" t="str">
        <f aca="false">IF($A169="","",Veri_Guncel!C169)</f>
        <v>Bölge 8</v>
      </c>
      <c r="D169" s="18" t="str">
        <f aca="false">IF($A169="","",Veri_Guncel!D169)</f>
        <v>Mağaza 8B</v>
      </c>
      <c r="E169" s="19" t="n">
        <f aca="false">IF($A169="","",Veri_Guncel!E169)</f>
        <v>42336</v>
      </c>
      <c r="F169" s="19" t="n">
        <f aca="false">IF($A169="","",Veri_Guncel!F169)</f>
        <v>26317</v>
      </c>
      <c r="G169" s="14" t="n">
        <f aca="false">IF(A169="","",IF(COUNTIF(Ayarlar!$A$15:$A$20,C169)&gt;0,1,0))</f>
        <v>0</v>
      </c>
      <c r="H169" s="14" t="n">
        <f aca="false">IF(A169="","",DATEDIF(E169,Ayarlar!$B$3,"y"))</f>
        <v>10</v>
      </c>
      <c r="I169" s="14" t="n">
        <f aca="false">IF(OR(A169="",F169=""),"",DATEDIF(F169,Ayarlar!$B$3,"y"))</f>
        <v>54</v>
      </c>
      <c r="J169" s="14" t="n">
        <f aca="false">IF(A169="","",IF(H169&lt;1,0,MAX(IF(H169&lt;5,14,IF(H169&lt;15,20,26)),IF(AND(I169&lt;&gt;"",OR(I169&lt;=18,I169&gt;=50)),20,0))))</f>
        <v>20</v>
      </c>
      <c r="K169" s="17" t="n">
        <f aca="false">IF(A169="","",EDATE(E169,12*(H169+1)))</f>
        <v>46354</v>
      </c>
      <c r="L169" s="14" t="n">
        <f aca="false">IF(A169="","",K169-Ayarlar!$B$3)</f>
        <v>75</v>
      </c>
      <c r="M169" s="18" t="n">
        <f aca="false">IF(A169="","",Veri_Guncel!H169)</f>
        <v>21</v>
      </c>
      <c r="N169" s="18" t="n">
        <f aca="false">IF(A169="","",IFERROR(INDEX(Veri_Onceki!$H:$H,MATCH(A169,Veri_Onceki!$A:$A,0)),""))</f>
        <v>23</v>
      </c>
      <c r="O169" s="14" t="n">
        <f aca="false">IF(A169="","",IF(AND(H169&gt;=1,EDATE(E169,12*H169)&gt;Ayarlar!$B$4,EDATE(E169,12*H169)&lt;=Ayarlar!$B$3),J169,0))</f>
        <v>0</v>
      </c>
      <c r="P169" s="14" t="n">
        <f aca="false">IF(OR(A169="",N169=""),"",N169+O169-M169)</f>
        <v>2</v>
      </c>
      <c r="Q169" s="16" t="str">
        <f aca="false">IF(A169="","",IF(M169&gt;=Ayarlar!$B$7,"ALARM",IF(M169&gt;=Ayarlar!$B$6,"Planla","")))</f>
        <v>ALARM</v>
      </c>
      <c r="R169" s="14" t="str">
        <f aca="false">IF(A169="","",IF(AND(L169&gt;=0,L169&lt;=Ayarlar!$B$9),"Evet",""))</f>
        <v/>
      </c>
      <c r="S169" s="16" t="str">
        <f aca="false">IF(A169="","",IF(N169="","Yeni personel",IF(P169&lt;0,"Kontrol et","")))</f>
        <v/>
      </c>
      <c r="T169" s="14" t="str">
        <f aca="false">IF(A169="","",IF(AND(G169=1,M169&gt;=Ayarlar!$B$6,OR(Ayarlar!$B$11="Tümü",C169=Ayarlar!$B$11)),M169+ROW()/100000,""))</f>
        <v/>
      </c>
    </row>
    <row r="170" customFormat="false" ht="15" hidden="false" customHeight="false" outlineLevel="0" collapsed="false">
      <c r="A170" s="18" t="str">
        <f aca="false">IF(Veri_Guncel!A170="","",Veri_Guncel!A170)</f>
        <v>S10169</v>
      </c>
      <c r="B170" s="18" t="str">
        <f aca="false">IF($A170="","",Veri_Guncel!B170)</f>
        <v>Kaan Aslan</v>
      </c>
      <c r="C170" s="18" t="str">
        <f aca="false">IF($A170="","",Veri_Guncel!C170)</f>
        <v>Bölge 8</v>
      </c>
      <c r="D170" s="18" t="str">
        <f aca="false">IF($A170="","",Veri_Guncel!D170)</f>
        <v>Mağaza 8B</v>
      </c>
      <c r="E170" s="19" t="n">
        <f aca="false">IF($A170="","",Veri_Guncel!E170)</f>
        <v>42104</v>
      </c>
      <c r="F170" s="19" t="n">
        <f aca="false">IF($A170="","",Veri_Guncel!F170)</f>
        <v>38027</v>
      </c>
      <c r="G170" s="14" t="n">
        <f aca="false">IF(A170="","",IF(COUNTIF(Ayarlar!$A$15:$A$20,C170)&gt;0,1,0))</f>
        <v>0</v>
      </c>
      <c r="H170" s="14" t="n">
        <f aca="false">IF(A170="","",DATEDIF(E170,Ayarlar!$B$3,"y"))</f>
        <v>11</v>
      </c>
      <c r="I170" s="14" t="n">
        <f aca="false">IF(OR(A170="",F170=""),"",DATEDIF(F170,Ayarlar!$B$3,"y"))</f>
        <v>22</v>
      </c>
      <c r="J170" s="14" t="n">
        <f aca="false">IF(A170="","",IF(H170&lt;1,0,MAX(IF(H170&lt;5,14,IF(H170&lt;15,20,26)),IF(AND(I170&lt;&gt;"",OR(I170&lt;=18,I170&gt;=50)),20,0))))</f>
        <v>20</v>
      </c>
      <c r="K170" s="17" t="n">
        <f aca="false">IF(A170="","",EDATE(E170,12*(H170+1)))</f>
        <v>46487</v>
      </c>
      <c r="L170" s="14" t="n">
        <f aca="false">IF(A170="","",K170-Ayarlar!$B$3)</f>
        <v>208</v>
      </c>
      <c r="M170" s="18" t="n">
        <f aca="false">IF(A170="","",Veri_Guncel!H170)</f>
        <v>4</v>
      </c>
      <c r="N170" s="18" t="n">
        <f aca="false">IF(A170="","",IFERROR(INDEX(Veri_Onceki!$H:$H,MATCH(A170,Veri_Onceki!$A:$A,0)),""))</f>
        <v>11</v>
      </c>
      <c r="O170" s="14" t="n">
        <f aca="false">IF(A170="","",IF(AND(H170&gt;=1,EDATE(E170,12*H170)&gt;Ayarlar!$B$4,EDATE(E170,12*H170)&lt;=Ayarlar!$B$3),J170,0))</f>
        <v>0</v>
      </c>
      <c r="P170" s="14" t="n">
        <f aca="false">IF(OR(A170="",N170=""),"",N170+O170-M170)</f>
        <v>7</v>
      </c>
      <c r="Q170" s="16" t="str">
        <f aca="false">IF(A170="","",IF(M170&gt;=Ayarlar!$B$7,"ALARM",IF(M170&gt;=Ayarlar!$B$6,"Planla","")))</f>
        <v/>
      </c>
      <c r="R170" s="14" t="str">
        <f aca="false">IF(A170="","",IF(AND(L170&gt;=0,L170&lt;=Ayarlar!$B$9),"Evet",""))</f>
        <v/>
      </c>
      <c r="S170" s="16" t="str">
        <f aca="false">IF(A170="","",IF(N170="","Yeni personel",IF(P170&lt;0,"Kontrol et","")))</f>
        <v/>
      </c>
      <c r="T170" s="14" t="str">
        <f aca="false">IF(A170="","",IF(AND(G170=1,M170&gt;=Ayarlar!$B$6,OR(Ayarlar!$B$11="Tümü",C170=Ayarlar!$B$11)),M170+ROW()/100000,""))</f>
        <v/>
      </c>
    </row>
    <row r="171" customFormat="false" ht="15" hidden="false" customHeight="false" outlineLevel="0" collapsed="false">
      <c r="A171" s="18" t="str">
        <f aca="false">IF(Veri_Guncel!A171="","",Veri_Guncel!A171)</f>
        <v>S10170</v>
      </c>
      <c r="B171" s="18" t="str">
        <f aca="false">IF($A171="","",Veri_Guncel!B171)</f>
        <v>Kaan Doğan</v>
      </c>
      <c r="C171" s="18" t="str">
        <f aca="false">IF($A171="","",Veri_Guncel!C171)</f>
        <v>Bölge 8</v>
      </c>
      <c r="D171" s="18" t="str">
        <f aca="false">IF($A171="","",Veri_Guncel!D171)</f>
        <v>Mağaza 8C</v>
      </c>
      <c r="E171" s="19" t="n">
        <f aca="false">IF($A171="","",Veri_Guncel!E171)</f>
        <v>41627</v>
      </c>
      <c r="F171" s="19" t="n">
        <f aca="false">IF($A171="","",Veri_Guncel!F171)</f>
        <v>32404</v>
      </c>
      <c r="G171" s="14" t="n">
        <f aca="false">IF(A171="","",IF(COUNTIF(Ayarlar!$A$15:$A$20,C171)&gt;0,1,0))</f>
        <v>0</v>
      </c>
      <c r="H171" s="14" t="n">
        <f aca="false">IF(A171="","",DATEDIF(E171,Ayarlar!$B$3,"y"))</f>
        <v>12</v>
      </c>
      <c r="I171" s="14" t="n">
        <f aca="false">IF(OR(A171="",F171=""),"",DATEDIF(F171,Ayarlar!$B$3,"y"))</f>
        <v>37</v>
      </c>
      <c r="J171" s="14" t="n">
        <f aca="false">IF(A171="","",IF(H171&lt;1,0,MAX(IF(H171&lt;5,14,IF(H171&lt;15,20,26)),IF(AND(I171&lt;&gt;"",OR(I171&lt;=18,I171&gt;=50)),20,0))))</f>
        <v>20</v>
      </c>
      <c r="K171" s="17" t="n">
        <f aca="false">IF(A171="","",EDATE(E171,12*(H171+1)))</f>
        <v>46375</v>
      </c>
      <c r="L171" s="14" t="n">
        <f aca="false">IF(A171="","",K171-Ayarlar!$B$3)</f>
        <v>96</v>
      </c>
      <c r="M171" s="18" t="n">
        <f aca="false">IF(A171="","",Veri_Guncel!H171)</f>
        <v>14</v>
      </c>
      <c r="N171" s="18" t="n">
        <f aca="false">IF(A171="","",IFERROR(INDEX(Veri_Onceki!$H:$H,MATCH(A171,Veri_Onceki!$A:$A,0)),""))</f>
        <v>21</v>
      </c>
      <c r="O171" s="14" t="n">
        <f aca="false">IF(A171="","",IF(AND(H171&gt;=1,EDATE(E171,12*H171)&gt;Ayarlar!$B$4,EDATE(E171,12*H171)&lt;=Ayarlar!$B$3),J171,0))</f>
        <v>0</v>
      </c>
      <c r="P171" s="14" t="n">
        <f aca="false">IF(OR(A171="",N171=""),"",N171+O171-M171)</f>
        <v>7</v>
      </c>
      <c r="Q171" s="16" t="str">
        <f aca="false">IF(A171="","",IF(M171&gt;=Ayarlar!$B$7,"ALARM",IF(M171&gt;=Ayarlar!$B$6,"Planla","")))</f>
        <v>Planla</v>
      </c>
      <c r="R171" s="14" t="str">
        <f aca="false">IF(A171="","",IF(AND(L171&gt;=0,L171&lt;=Ayarlar!$B$9),"Evet",""))</f>
        <v/>
      </c>
      <c r="S171" s="16" t="str">
        <f aca="false">IF(A171="","",IF(N171="","Yeni personel",IF(P171&lt;0,"Kontrol et","")))</f>
        <v/>
      </c>
      <c r="T171" s="14" t="str">
        <f aca="false">IF(A171="","",IF(AND(G171=1,M171&gt;=Ayarlar!$B$6,OR(Ayarlar!$B$11="Tümü",C171=Ayarlar!$B$11)),M171+ROW()/100000,""))</f>
        <v/>
      </c>
    </row>
    <row r="172" customFormat="false" ht="15" hidden="false" customHeight="false" outlineLevel="0" collapsed="false">
      <c r="A172" s="18" t="str">
        <f aca="false">IF(Veri_Guncel!A172="","",Veri_Guncel!A172)</f>
        <v>S10171</v>
      </c>
      <c r="B172" s="18" t="str">
        <f aca="false">IF($A172="","",Veri_Guncel!B172)</f>
        <v>Gizem Özdemir</v>
      </c>
      <c r="C172" s="18" t="str">
        <f aca="false">IF($A172="","",Veri_Guncel!C172)</f>
        <v>Bölge 8</v>
      </c>
      <c r="D172" s="18" t="str">
        <f aca="false">IF($A172="","",Veri_Guncel!D172)</f>
        <v>Mağaza 8C</v>
      </c>
      <c r="E172" s="19" t="n">
        <f aca="false">IF($A172="","",Veri_Guncel!E172)</f>
        <v>41098</v>
      </c>
      <c r="F172" s="19" t="n">
        <f aca="false">IF($A172="","",Veri_Guncel!F172)</f>
        <v>27463</v>
      </c>
      <c r="G172" s="14" t="n">
        <f aca="false">IF(A172="","",IF(COUNTIF(Ayarlar!$A$15:$A$20,C172)&gt;0,1,0))</f>
        <v>0</v>
      </c>
      <c r="H172" s="14" t="n">
        <f aca="false">IF(A172="","",DATEDIF(E172,Ayarlar!$B$3,"y"))</f>
        <v>14</v>
      </c>
      <c r="I172" s="14" t="n">
        <f aca="false">IF(OR(A172="",F172=""),"",DATEDIF(F172,Ayarlar!$B$3,"y"))</f>
        <v>51</v>
      </c>
      <c r="J172" s="14" t="n">
        <f aca="false">IF(A172="","",IF(H172&lt;1,0,MAX(IF(H172&lt;5,14,IF(H172&lt;15,20,26)),IF(AND(I172&lt;&gt;"",OR(I172&lt;=18,I172&gt;=50)),20,0))))</f>
        <v>20</v>
      </c>
      <c r="K172" s="17" t="n">
        <f aca="false">IF(A172="","",EDATE(E172,12*(H172+1)))</f>
        <v>46576</v>
      </c>
      <c r="L172" s="14" t="n">
        <f aca="false">IF(A172="","",K172-Ayarlar!$B$3)</f>
        <v>297</v>
      </c>
      <c r="M172" s="18" t="n">
        <f aca="false">IF(A172="","",Veri_Guncel!H172)</f>
        <v>14</v>
      </c>
      <c r="N172" s="18" t="n">
        <f aca="false">IF(A172="","",IFERROR(INDEX(Veri_Onceki!$H:$H,MATCH(A172,Veri_Onceki!$A:$A,0)),""))</f>
        <v>21</v>
      </c>
      <c r="O172" s="14" t="n">
        <f aca="false">IF(A172="","",IF(AND(H172&gt;=1,EDATE(E172,12*H172)&gt;Ayarlar!$B$4,EDATE(E172,12*H172)&lt;=Ayarlar!$B$3),J172,0))</f>
        <v>0</v>
      </c>
      <c r="P172" s="14" t="n">
        <f aca="false">IF(OR(A172="",N172=""),"",N172+O172-M172)</f>
        <v>7</v>
      </c>
      <c r="Q172" s="16" t="str">
        <f aca="false">IF(A172="","",IF(M172&gt;=Ayarlar!$B$7,"ALARM",IF(M172&gt;=Ayarlar!$B$6,"Planla","")))</f>
        <v>Planla</v>
      </c>
      <c r="R172" s="14" t="str">
        <f aca="false">IF(A172="","",IF(AND(L172&gt;=0,L172&lt;=Ayarlar!$B$9),"Evet",""))</f>
        <v/>
      </c>
      <c r="S172" s="16" t="str">
        <f aca="false">IF(A172="","",IF(N172="","Yeni personel",IF(P172&lt;0,"Kontrol et","")))</f>
        <v/>
      </c>
      <c r="T172" s="14" t="str">
        <f aca="false">IF(A172="","",IF(AND(G172=1,M172&gt;=Ayarlar!$B$6,OR(Ayarlar!$B$11="Tümü",C172=Ayarlar!$B$11)),M172+ROW()/100000,""))</f>
        <v/>
      </c>
    </row>
    <row r="173" customFormat="false" ht="15" hidden="false" customHeight="false" outlineLevel="0" collapsed="false">
      <c r="A173" s="18" t="str">
        <f aca="false">IF(Veri_Guncel!A173="","",Veri_Guncel!A173)</f>
        <v>S10172</v>
      </c>
      <c r="B173" s="18" t="str">
        <f aca="false">IF($A173="","",Veri_Guncel!B173)</f>
        <v>Gizem Demir</v>
      </c>
      <c r="C173" s="18" t="str">
        <f aca="false">IF($A173="","",Veri_Guncel!C173)</f>
        <v>Bölge 8</v>
      </c>
      <c r="D173" s="18" t="str">
        <f aca="false">IF($A173="","",Veri_Guncel!D173)</f>
        <v>Mağaza 8C</v>
      </c>
      <c r="E173" s="19" t="n">
        <f aca="false">IF($A173="","",Veri_Guncel!E173)</f>
        <v>41415</v>
      </c>
      <c r="F173" s="19" t="n">
        <f aca="false">IF($A173="","",Veri_Guncel!F173)</f>
        <v>38881</v>
      </c>
      <c r="G173" s="14" t="n">
        <f aca="false">IF(A173="","",IF(COUNTIF(Ayarlar!$A$15:$A$20,C173)&gt;0,1,0))</f>
        <v>0</v>
      </c>
      <c r="H173" s="14" t="n">
        <f aca="false">IF(A173="","",DATEDIF(E173,Ayarlar!$B$3,"y"))</f>
        <v>13</v>
      </c>
      <c r="I173" s="14" t="n">
        <f aca="false">IF(OR(A173="",F173=""),"",DATEDIF(F173,Ayarlar!$B$3,"y"))</f>
        <v>20</v>
      </c>
      <c r="J173" s="14" t="n">
        <f aca="false">IF(A173="","",IF(H173&lt;1,0,MAX(IF(H173&lt;5,14,IF(H173&lt;15,20,26)),IF(AND(I173&lt;&gt;"",OR(I173&lt;=18,I173&gt;=50)),20,0))))</f>
        <v>20</v>
      </c>
      <c r="K173" s="17" t="n">
        <f aca="false">IF(A173="","",EDATE(E173,12*(H173+1)))</f>
        <v>46528</v>
      </c>
      <c r="L173" s="14" t="n">
        <f aca="false">IF(A173="","",K173-Ayarlar!$B$3)</f>
        <v>249</v>
      </c>
      <c r="M173" s="18" t="n">
        <f aca="false">IF(A173="","",Veri_Guncel!H173)</f>
        <v>21</v>
      </c>
      <c r="N173" s="18" t="n">
        <f aca="false">IF(A173="","",IFERROR(INDEX(Veri_Onceki!$H:$H,MATCH(A173,Veri_Onceki!$A:$A,0)),""))</f>
        <v>21</v>
      </c>
      <c r="O173" s="14" t="n">
        <f aca="false">IF(A173="","",IF(AND(H173&gt;=1,EDATE(E173,12*H173)&gt;Ayarlar!$B$4,EDATE(E173,12*H173)&lt;=Ayarlar!$B$3),J173,0))</f>
        <v>0</v>
      </c>
      <c r="P173" s="14" t="n">
        <f aca="false">IF(OR(A173="",N173=""),"",N173+O173-M173)</f>
        <v>0</v>
      </c>
      <c r="Q173" s="16" t="str">
        <f aca="false">IF(A173="","",IF(M173&gt;=Ayarlar!$B$7,"ALARM",IF(M173&gt;=Ayarlar!$B$6,"Planla","")))</f>
        <v>ALARM</v>
      </c>
      <c r="R173" s="14" t="str">
        <f aca="false">IF(A173="","",IF(AND(L173&gt;=0,L173&lt;=Ayarlar!$B$9),"Evet",""))</f>
        <v/>
      </c>
      <c r="S173" s="16" t="str">
        <f aca="false">IF(A173="","",IF(N173="","Yeni personel",IF(P173&lt;0,"Kontrol et","")))</f>
        <v/>
      </c>
      <c r="T173" s="14" t="str">
        <f aca="false">IF(A173="","",IF(AND(G173=1,M173&gt;=Ayarlar!$B$6,OR(Ayarlar!$B$11="Tümü",C173=Ayarlar!$B$11)),M173+ROW()/100000,""))</f>
        <v/>
      </c>
    </row>
    <row r="174" customFormat="false" ht="15" hidden="false" customHeight="false" outlineLevel="0" collapsed="false">
      <c r="A174" s="18" t="str">
        <f aca="false">IF(Veri_Guncel!A174="","",Veri_Guncel!A174)</f>
        <v>S10173</v>
      </c>
      <c r="B174" s="18" t="str">
        <f aca="false">IF($A174="","",Veri_Guncel!B174)</f>
        <v>Emre Aslan</v>
      </c>
      <c r="C174" s="18" t="str">
        <f aca="false">IF($A174="","",Veri_Guncel!C174)</f>
        <v>Bölge 8</v>
      </c>
      <c r="D174" s="18" t="str">
        <f aca="false">IF($A174="","",Veri_Guncel!D174)</f>
        <v>Mağaza 8C</v>
      </c>
      <c r="E174" s="19" t="n">
        <f aca="false">IF($A174="","",Veri_Guncel!E174)</f>
        <v>41037</v>
      </c>
      <c r="F174" s="19" t="n">
        <f aca="false">IF($A174="","",Veri_Guncel!F174)</f>
        <v>37401</v>
      </c>
      <c r="G174" s="14" t="n">
        <f aca="false">IF(A174="","",IF(COUNTIF(Ayarlar!$A$15:$A$20,C174)&gt;0,1,0))</f>
        <v>0</v>
      </c>
      <c r="H174" s="14" t="n">
        <f aca="false">IF(A174="","",DATEDIF(E174,Ayarlar!$B$3,"y"))</f>
        <v>14</v>
      </c>
      <c r="I174" s="14" t="n">
        <f aca="false">IF(OR(A174="",F174=""),"",DATEDIF(F174,Ayarlar!$B$3,"y"))</f>
        <v>24</v>
      </c>
      <c r="J174" s="14" t="n">
        <f aca="false">IF(A174="","",IF(H174&lt;1,0,MAX(IF(H174&lt;5,14,IF(H174&lt;15,20,26)),IF(AND(I174&lt;&gt;"",OR(I174&lt;=18,I174&gt;=50)),20,0))))</f>
        <v>20</v>
      </c>
      <c r="K174" s="17" t="n">
        <f aca="false">IF(A174="","",EDATE(E174,12*(H174+1)))</f>
        <v>46515</v>
      </c>
      <c r="L174" s="14" t="n">
        <f aca="false">IF(A174="","",K174-Ayarlar!$B$3)</f>
        <v>236</v>
      </c>
      <c r="M174" s="18" t="n">
        <f aca="false">IF(A174="","",Veri_Guncel!H174)</f>
        <v>12</v>
      </c>
      <c r="N174" s="18" t="n">
        <f aca="false">IF(A174="","",IFERROR(INDEX(Veri_Onceki!$H:$H,MATCH(A174,Veri_Onceki!$A:$A,0)),""))</f>
        <v>12</v>
      </c>
      <c r="O174" s="14" t="n">
        <f aca="false">IF(A174="","",IF(AND(H174&gt;=1,EDATE(E174,12*H174)&gt;Ayarlar!$B$4,EDATE(E174,12*H174)&lt;=Ayarlar!$B$3),J174,0))</f>
        <v>0</v>
      </c>
      <c r="P174" s="14" t="n">
        <f aca="false">IF(OR(A174="",N174=""),"",N174+O174-M174)</f>
        <v>0</v>
      </c>
      <c r="Q174" s="16" t="str">
        <f aca="false">IF(A174="","",IF(M174&gt;=Ayarlar!$B$7,"ALARM",IF(M174&gt;=Ayarlar!$B$6,"Planla","")))</f>
        <v/>
      </c>
      <c r="R174" s="14" t="str">
        <f aca="false">IF(A174="","",IF(AND(L174&gt;=0,L174&lt;=Ayarlar!$B$9),"Evet",""))</f>
        <v/>
      </c>
      <c r="S174" s="16" t="str">
        <f aca="false">IF(A174="","",IF(N174="","Yeni personel",IF(P174&lt;0,"Kontrol et","")))</f>
        <v/>
      </c>
      <c r="T174" s="14" t="str">
        <f aca="false">IF(A174="","",IF(AND(G174=1,M174&gt;=Ayarlar!$B$6,OR(Ayarlar!$B$11="Tümü",C174=Ayarlar!$B$11)),M174+ROW()/100000,""))</f>
        <v/>
      </c>
    </row>
    <row r="175" customFormat="false" ht="15" hidden="false" customHeight="false" outlineLevel="0" collapsed="false">
      <c r="A175" s="18" t="str">
        <f aca="false">IF(Veri_Guncel!A175="","",Veri_Guncel!A175)</f>
        <v>S10174</v>
      </c>
      <c r="B175" s="18" t="str">
        <f aca="false">IF($A175="","",Veri_Guncel!B175)</f>
        <v>Oğuz Çelik</v>
      </c>
      <c r="C175" s="18" t="str">
        <f aca="false">IF($A175="","",Veri_Guncel!C175)</f>
        <v>Bölge 8</v>
      </c>
      <c r="D175" s="18" t="str">
        <f aca="false">IF($A175="","",Veri_Guncel!D175)</f>
        <v>Mağaza 8C</v>
      </c>
      <c r="E175" s="19" t="n">
        <f aca="false">IF($A175="","",Veri_Guncel!E175)</f>
        <v>40613</v>
      </c>
      <c r="F175" s="19" t="n">
        <f aca="false">IF($A175="","",Veri_Guncel!F175)</f>
        <v>39264</v>
      </c>
      <c r="G175" s="14" t="n">
        <f aca="false">IF(A175="","",IF(COUNTIF(Ayarlar!$A$15:$A$20,C175)&gt;0,1,0))</f>
        <v>0</v>
      </c>
      <c r="H175" s="14" t="n">
        <f aca="false">IF(A175="","",DATEDIF(E175,Ayarlar!$B$3,"y"))</f>
        <v>15</v>
      </c>
      <c r="I175" s="14" t="n">
        <f aca="false">IF(OR(A175="",F175=""),"",DATEDIF(F175,Ayarlar!$B$3,"y"))</f>
        <v>19</v>
      </c>
      <c r="J175" s="14" t="n">
        <f aca="false">IF(A175="","",IF(H175&lt;1,0,MAX(IF(H175&lt;5,14,IF(H175&lt;15,20,26)),IF(AND(I175&lt;&gt;"",OR(I175&lt;=18,I175&gt;=50)),20,0))))</f>
        <v>26</v>
      </c>
      <c r="K175" s="17" t="n">
        <f aca="false">IF(A175="","",EDATE(E175,12*(H175+1)))</f>
        <v>46457</v>
      </c>
      <c r="L175" s="14" t="n">
        <f aca="false">IF(A175="","",K175-Ayarlar!$B$3)</f>
        <v>178</v>
      </c>
      <c r="M175" s="18" t="n">
        <f aca="false">IF(A175="","",Veri_Guncel!H175)</f>
        <v>28</v>
      </c>
      <c r="N175" s="18" t="n">
        <f aca="false">IF(A175="","",IFERROR(INDEX(Veri_Onceki!$H:$H,MATCH(A175,Veri_Onceki!$A:$A,0)),""))</f>
        <v>31</v>
      </c>
      <c r="O175" s="14" t="n">
        <f aca="false">IF(A175="","",IF(AND(H175&gt;=1,EDATE(E175,12*H175)&gt;Ayarlar!$B$4,EDATE(E175,12*H175)&lt;=Ayarlar!$B$3),J175,0))</f>
        <v>0</v>
      </c>
      <c r="P175" s="14" t="n">
        <f aca="false">IF(OR(A175="",N175=""),"",N175+O175-M175)</f>
        <v>3</v>
      </c>
      <c r="Q175" s="16" t="str">
        <f aca="false">IF(A175="","",IF(M175&gt;=Ayarlar!$B$7,"ALARM",IF(M175&gt;=Ayarlar!$B$6,"Planla","")))</f>
        <v>ALARM</v>
      </c>
      <c r="R175" s="14" t="str">
        <f aca="false">IF(A175="","",IF(AND(L175&gt;=0,L175&lt;=Ayarlar!$B$9),"Evet",""))</f>
        <v/>
      </c>
      <c r="S175" s="16" t="str">
        <f aca="false">IF(A175="","",IF(N175="","Yeni personel",IF(P175&lt;0,"Kontrol et","")))</f>
        <v/>
      </c>
      <c r="T175" s="14" t="str">
        <f aca="false">IF(A175="","",IF(AND(G175=1,M175&gt;=Ayarlar!$B$6,OR(Ayarlar!$B$11="Tümü",C175=Ayarlar!$B$11)),M175+ROW()/100000,""))</f>
        <v/>
      </c>
    </row>
    <row r="176" customFormat="false" ht="15" hidden="false" customHeight="false" outlineLevel="0" collapsed="false">
      <c r="A176" s="18" t="str">
        <f aca="false">IF(Veri_Guncel!A176="","",Veri_Guncel!A176)</f>
        <v>S10175</v>
      </c>
      <c r="B176" s="18" t="str">
        <f aca="false">IF($A176="","",Veri_Guncel!B176)</f>
        <v>Onur Kaya</v>
      </c>
      <c r="C176" s="18" t="str">
        <f aca="false">IF($A176="","",Veri_Guncel!C176)</f>
        <v>Bölge 8</v>
      </c>
      <c r="D176" s="18" t="str">
        <f aca="false">IF($A176="","",Veri_Guncel!D176)</f>
        <v>Mağaza 8C</v>
      </c>
      <c r="E176" s="19" t="n">
        <f aca="false">IF($A176="","",Veri_Guncel!E176)</f>
        <v>43986</v>
      </c>
      <c r="F176" s="19" t="n">
        <f aca="false">IF($A176="","",Veri_Guncel!F176)</f>
        <v>36711</v>
      </c>
      <c r="G176" s="14" t="n">
        <f aca="false">IF(A176="","",IF(COUNTIF(Ayarlar!$A$15:$A$20,C176)&gt;0,1,0))</f>
        <v>0</v>
      </c>
      <c r="H176" s="14" t="n">
        <f aca="false">IF(A176="","",DATEDIF(E176,Ayarlar!$B$3,"y"))</f>
        <v>6</v>
      </c>
      <c r="I176" s="14" t="n">
        <f aca="false">IF(OR(A176="",F176=""),"",DATEDIF(F176,Ayarlar!$B$3,"y"))</f>
        <v>26</v>
      </c>
      <c r="J176" s="14" t="n">
        <f aca="false">IF(A176="","",IF(H176&lt;1,0,MAX(IF(H176&lt;5,14,IF(H176&lt;15,20,26)),IF(AND(I176&lt;&gt;"",OR(I176&lt;=18,I176&gt;=50)),20,0))))</f>
        <v>20</v>
      </c>
      <c r="K176" s="17" t="n">
        <f aca="false">IF(A176="","",EDATE(E176,12*(H176+1)))</f>
        <v>46542</v>
      </c>
      <c r="L176" s="14" t="n">
        <f aca="false">IF(A176="","",K176-Ayarlar!$B$3)</f>
        <v>263</v>
      </c>
      <c r="M176" s="18" t="n">
        <f aca="false">IF(A176="","",Veri_Guncel!H176)</f>
        <v>4</v>
      </c>
      <c r="N176" s="18" t="n">
        <f aca="false">IF(A176="","",IFERROR(INDEX(Veri_Onceki!$H:$H,MATCH(A176,Veri_Onceki!$A:$A,0)),""))</f>
        <v>4</v>
      </c>
      <c r="O176" s="14" t="n">
        <f aca="false">IF(A176="","",IF(AND(H176&gt;=1,EDATE(E176,12*H176)&gt;Ayarlar!$B$4,EDATE(E176,12*H176)&lt;=Ayarlar!$B$3),J176,0))</f>
        <v>0</v>
      </c>
      <c r="P176" s="14" t="n">
        <f aca="false">IF(OR(A176="",N176=""),"",N176+O176-M176)</f>
        <v>0</v>
      </c>
      <c r="Q176" s="16" t="str">
        <f aca="false">IF(A176="","",IF(M176&gt;=Ayarlar!$B$7,"ALARM",IF(M176&gt;=Ayarlar!$B$6,"Planla","")))</f>
        <v/>
      </c>
      <c r="R176" s="14" t="str">
        <f aca="false">IF(A176="","",IF(AND(L176&gt;=0,L176&lt;=Ayarlar!$B$9),"Evet",""))</f>
        <v/>
      </c>
      <c r="S176" s="16" t="str">
        <f aca="false">IF(A176="","",IF(N176="","Yeni personel",IF(P176&lt;0,"Kontrol et","")))</f>
        <v/>
      </c>
      <c r="T176" s="14" t="str">
        <f aca="false">IF(A176="","",IF(AND(G176=1,M176&gt;=Ayarlar!$B$6,OR(Ayarlar!$B$11="Tümü",C176=Ayarlar!$B$11)),M176+ROW()/100000,""))</f>
        <v/>
      </c>
    </row>
    <row r="177" customFormat="false" ht="15" hidden="false" customHeight="false" outlineLevel="0" collapsed="false">
      <c r="A177" s="18" t="str">
        <f aca="false">IF(Veri_Guncel!A177="","",Veri_Guncel!A177)</f>
        <v>S10176</v>
      </c>
      <c r="B177" s="18" t="str">
        <f aca="false">IF($A177="","",Veri_Guncel!B177)</f>
        <v>Serkan Özdemir</v>
      </c>
      <c r="C177" s="18" t="str">
        <f aca="false">IF($A177="","",Veri_Guncel!C177)</f>
        <v>Bölge 8</v>
      </c>
      <c r="D177" s="18" t="str">
        <f aca="false">IF($A177="","",Veri_Guncel!D177)</f>
        <v>Mağaza 8C</v>
      </c>
      <c r="E177" s="19" t="n">
        <f aca="false">IF($A177="","",Veri_Guncel!E177)</f>
        <v>42818</v>
      </c>
      <c r="F177" s="19" t="n">
        <f aca="false">IF($A177="","",Veri_Guncel!F177)</f>
        <v>30390</v>
      </c>
      <c r="G177" s="14" t="n">
        <f aca="false">IF(A177="","",IF(COUNTIF(Ayarlar!$A$15:$A$20,C177)&gt;0,1,0))</f>
        <v>0</v>
      </c>
      <c r="H177" s="14" t="n">
        <f aca="false">IF(A177="","",DATEDIF(E177,Ayarlar!$B$3,"y"))</f>
        <v>9</v>
      </c>
      <c r="I177" s="14" t="n">
        <f aca="false">IF(OR(A177="",F177=""),"",DATEDIF(F177,Ayarlar!$B$3,"y"))</f>
        <v>43</v>
      </c>
      <c r="J177" s="14" t="n">
        <f aca="false">IF(A177="","",IF(H177&lt;1,0,MAX(IF(H177&lt;5,14,IF(H177&lt;15,20,26)),IF(AND(I177&lt;&gt;"",OR(I177&lt;=18,I177&gt;=50)),20,0))))</f>
        <v>20</v>
      </c>
      <c r="K177" s="17" t="n">
        <f aca="false">IF(A177="","",EDATE(E177,12*(H177+1)))</f>
        <v>46470</v>
      </c>
      <c r="L177" s="14" t="n">
        <f aca="false">IF(A177="","",K177-Ayarlar!$B$3)</f>
        <v>191</v>
      </c>
      <c r="M177" s="18" t="n">
        <f aca="false">IF(A177="","",Veri_Guncel!H177)</f>
        <v>19</v>
      </c>
      <c r="N177" s="18" t="n">
        <f aca="false">IF(A177="","",IFERROR(INDEX(Veri_Onceki!$H:$H,MATCH(A177,Veri_Onceki!$A:$A,0)),""))</f>
        <v>21</v>
      </c>
      <c r="O177" s="14" t="n">
        <f aca="false">IF(A177="","",IF(AND(H177&gt;=1,EDATE(E177,12*H177)&gt;Ayarlar!$B$4,EDATE(E177,12*H177)&lt;=Ayarlar!$B$3),J177,0))</f>
        <v>0</v>
      </c>
      <c r="P177" s="14" t="n">
        <f aca="false">IF(OR(A177="",N177=""),"",N177+O177-M177)</f>
        <v>2</v>
      </c>
      <c r="Q177" s="16" t="str">
        <f aca="false">IF(A177="","",IF(M177&gt;=Ayarlar!$B$7,"ALARM",IF(M177&gt;=Ayarlar!$B$6,"Planla","")))</f>
        <v>Planla</v>
      </c>
      <c r="R177" s="14" t="str">
        <f aca="false">IF(A177="","",IF(AND(L177&gt;=0,L177&lt;=Ayarlar!$B$9),"Evet",""))</f>
        <v/>
      </c>
      <c r="S177" s="16" t="str">
        <f aca="false">IF(A177="","",IF(N177="","Yeni personel",IF(P177&lt;0,"Kontrol et","")))</f>
        <v/>
      </c>
      <c r="T177" s="14" t="str">
        <f aca="false">IF(A177="","",IF(AND(G177=1,M177&gt;=Ayarlar!$B$6,OR(Ayarlar!$B$11="Tümü",C177=Ayarlar!$B$11)),M177+ROW()/100000,""))</f>
        <v/>
      </c>
    </row>
    <row r="178" customFormat="false" ht="15" hidden="false" customHeight="false" outlineLevel="0" collapsed="false">
      <c r="A178" s="18" t="str">
        <f aca="false">IF(Veri_Guncel!A178="","",Veri_Guncel!A178)</f>
        <v>S10177</v>
      </c>
      <c r="B178" s="18" t="str">
        <f aca="false">IF($A178="","",Veri_Guncel!B178)</f>
        <v>Onur Demir</v>
      </c>
      <c r="C178" s="18" t="str">
        <f aca="false">IF($A178="","",Veri_Guncel!C178)</f>
        <v>Bölge 8</v>
      </c>
      <c r="D178" s="18" t="str">
        <f aca="false">IF($A178="","",Veri_Guncel!D178)</f>
        <v>Mağaza 8C</v>
      </c>
      <c r="E178" s="19" t="n">
        <f aca="false">IF($A178="","",Veri_Guncel!E178)</f>
        <v>41774</v>
      </c>
      <c r="F178" s="19" t="n">
        <f aca="false">IF($A178="","",Veri_Guncel!F178)</f>
        <v>30012</v>
      </c>
      <c r="G178" s="14" t="n">
        <f aca="false">IF(A178="","",IF(COUNTIF(Ayarlar!$A$15:$A$20,C178)&gt;0,1,0))</f>
        <v>0</v>
      </c>
      <c r="H178" s="14" t="n">
        <f aca="false">IF(A178="","",DATEDIF(E178,Ayarlar!$B$3,"y"))</f>
        <v>12</v>
      </c>
      <c r="I178" s="14" t="n">
        <f aca="false">IF(OR(A178="",F178=""),"",DATEDIF(F178,Ayarlar!$B$3,"y"))</f>
        <v>44</v>
      </c>
      <c r="J178" s="14" t="n">
        <f aca="false">IF(A178="","",IF(H178&lt;1,0,MAX(IF(H178&lt;5,14,IF(H178&lt;15,20,26)),IF(AND(I178&lt;&gt;"",OR(I178&lt;=18,I178&gt;=50)),20,0))))</f>
        <v>20</v>
      </c>
      <c r="K178" s="17" t="n">
        <f aca="false">IF(A178="","",EDATE(E178,12*(H178+1)))</f>
        <v>46522</v>
      </c>
      <c r="L178" s="14" t="n">
        <f aca="false">IF(A178="","",K178-Ayarlar!$B$3)</f>
        <v>243</v>
      </c>
      <c r="M178" s="18" t="n">
        <f aca="false">IF(A178="","",Veri_Guncel!H178)</f>
        <v>24</v>
      </c>
      <c r="N178" s="18" t="n">
        <f aca="false">IF(A178="","",IFERROR(INDEX(Veri_Onceki!$H:$H,MATCH(A178,Veri_Onceki!$A:$A,0)),""))</f>
        <v>26</v>
      </c>
      <c r="O178" s="14" t="n">
        <f aca="false">IF(A178="","",IF(AND(H178&gt;=1,EDATE(E178,12*H178)&gt;Ayarlar!$B$4,EDATE(E178,12*H178)&lt;=Ayarlar!$B$3),J178,0))</f>
        <v>0</v>
      </c>
      <c r="P178" s="14" t="n">
        <f aca="false">IF(OR(A178="",N178=""),"",N178+O178-M178)</f>
        <v>2</v>
      </c>
      <c r="Q178" s="16" t="str">
        <f aca="false">IF(A178="","",IF(M178&gt;=Ayarlar!$B$7,"ALARM",IF(M178&gt;=Ayarlar!$B$6,"Planla","")))</f>
        <v>ALARM</v>
      </c>
      <c r="R178" s="14" t="str">
        <f aca="false">IF(A178="","",IF(AND(L178&gt;=0,L178&lt;=Ayarlar!$B$9),"Evet",""))</f>
        <v/>
      </c>
      <c r="S178" s="16" t="str">
        <f aca="false">IF(A178="","",IF(N178="","Yeni personel",IF(P178&lt;0,"Kontrol et","")))</f>
        <v/>
      </c>
      <c r="T178" s="14" t="str">
        <f aca="false">IF(A178="","",IF(AND(G178=1,M178&gt;=Ayarlar!$B$6,OR(Ayarlar!$B$11="Tümü",C178=Ayarlar!$B$11)),M178+ROW()/100000,""))</f>
        <v/>
      </c>
    </row>
    <row r="179" customFormat="false" ht="15" hidden="false" customHeight="false" outlineLevel="0" collapsed="false">
      <c r="A179" s="18" t="str">
        <f aca="false">IF(Veri_Guncel!A179="","",Veri_Guncel!A179)</f>
        <v>S10178</v>
      </c>
      <c r="B179" s="18" t="str">
        <f aca="false">IF($A179="","",Veri_Guncel!B179)</f>
        <v>Zeynep Aydın</v>
      </c>
      <c r="C179" s="18" t="str">
        <f aca="false">IF($A179="","",Veri_Guncel!C179)</f>
        <v>Bölge 8</v>
      </c>
      <c r="D179" s="18" t="str">
        <f aca="false">IF($A179="","",Veri_Guncel!D179)</f>
        <v>Mağaza 8D</v>
      </c>
      <c r="E179" s="19" t="n">
        <f aca="false">IF($A179="","",Veri_Guncel!E179)</f>
        <v>41420</v>
      </c>
      <c r="F179" s="19" t="n">
        <f aca="false">IF($A179="","",Veri_Guncel!F179)</f>
        <v>35012</v>
      </c>
      <c r="G179" s="14" t="n">
        <f aca="false">IF(A179="","",IF(COUNTIF(Ayarlar!$A$15:$A$20,C179)&gt;0,1,0))</f>
        <v>0</v>
      </c>
      <c r="H179" s="14" t="n">
        <f aca="false">IF(A179="","",DATEDIF(E179,Ayarlar!$B$3,"y"))</f>
        <v>13</v>
      </c>
      <c r="I179" s="14" t="n">
        <f aca="false">IF(OR(A179="",F179=""),"",DATEDIF(F179,Ayarlar!$B$3,"y"))</f>
        <v>30</v>
      </c>
      <c r="J179" s="14" t="n">
        <f aca="false">IF(A179="","",IF(H179&lt;1,0,MAX(IF(H179&lt;5,14,IF(H179&lt;15,20,26)),IF(AND(I179&lt;&gt;"",OR(I179&lt;=18,I179&gt;=50)),20,0))))</f>
        <v>20</v>
      </c>
      <c r="K179" s="17" t="n">
        <f aca="false">IF(A179="","",EDATE(E179,12*(H179+1)))</f>
        <v>46533</v>
      </c>
      <c r="L179" s="14" t="n">
        <f aca="false">IF(A179="","",K179-Ayarlar!$B$3)</f>
        <v>254</v>
      </c>
      <c r="M179" s="18" t="n">
        <f aca="false">IF(A179="","",Veri_Guncel!H179)</f>
        <v>28</v>
      </c>
      <c r="N179" s="18" t="n">
        <f aca="false">IF(A179="","",IFERROR(INDEX(Veri_Onceki!$H:$H,MATCH(A179,Veri_Onceki!$A:$A,0)),""))</f>
        <v>31</v>
      </c>
      <c r="O179" s="14" t="n">
        <f aca="false">IF(A179="","",IF(AND(H179&gt;=1,EDATE(E179,12*H179)&gt;Ayarlar!$B$4,EDATE(E179,12*H179)&lt;=Ayarlar!$B$3),J179,0))</f>
        <v>0</v>
      </c>
      <c r="P179" s="14" t="n">
        <f aca="false">IF(OR(A179="",N179=""),"",N179+O179-M179)</f>
        <v>3</v>
      </c>
      <c r="Q179" s="16" t="str">
        <f aca="false">IF(A179="","",IF(M179&gt;=Ayarlar!$B$7,"ALARM",IF(M179&gt;=Ayarlar!$B$6,"Planla","")))</f>
        <v>ALARM</v>
      </c>
      <c r="R179" s="14" t="str">
        <f aca="false">IF(A179="","",IF(AND(L179&gt;=0,L179&lt;=Ayarlar!$B$9),"Evet",""))</f>
        <v/>
      </c>
      <c r="S179" s="16" t="str">
        <f aca="false">IF(A179="","",IF(N179="","Yeni personel",IF(P179&lt;0,"Kontrol et","")))</f>
        <v/>
      </c>
      <c r="T179" s="14" t="str">
        <f aca="false">IF(A179="","",IF(AND(G179=1,M179&gt;=Ayarlar!$B$6,OR(Ayarlar!$B$11="Tümü",C179=Ayarlar!$B$11)),M179+ROW()/100000,""))</f>
        <v/>
      </c>
    </row>
    <row r="180" customFormat="false" ht="15" hidden="false" customHeight="false" outlineLevel="0" collapsed="false">
      <c r="A180" s="18" t="str">
        <f aca="false">IF(Veri_Guncel!A180="","",Veri_Guncel!A180)</f>
        <v>S10179</v>
      </c>
      <c r="B180" s="18" t="str">
        <f aca="false">IF($A180="","",Veri_Guncel!B180)</f>
        <v>Cem Doğan</v>
      </c>
      <c r="C180" s="18" t="str">
        <f aca="false">IF($A180="","",Veri_Guncel!C180)</f>
        <v>Bölge 8</v>
      </c>
      <c r="D180" s="18" t="str">
        <f aca="false">IF($A180="","",Veri_Guncel!D180)</f>
        <v>Mağaza 8D</v>
      </c>
      <c r="E180" s="19" t="n">
        <f aca="false">IF($A180="","",Veri_Guncel!E180)</f>
        <v>44671</v>
      </c>
      <c r="F180" s="19" t="n">
        <f aca="false">IF($A180="","",Veri_Guncel!F180)</f>
        <v>38210</v>
      </c>
      <c r="G180" s="14" t="n">
        <f aca="false">IF(A180="","",IF(COUNTIF(Ayarlar!$A$15:$A$20,C180)&gt;0,1,0))</f>
        <v>0</v>
      </c>
      <c r="H180" s="14" t="n">
        <f aca="false">IF(A180="","",DATEDIF(E180,Ayarlar!$B$3,"y"))</f>
        <v>4</v>
      </c>
      <c r="I180" s="14" t="n">
        <f aca="false">IF(OR(A180="",F180=""),"",DATEDIF(F180,Ayarlar!$B$3,"y"))</f>
        <v>22</v>
      </c>
      <c r="J180" s="14" t="n">
        <f aca="false">IF(A180="","",IF(H180&lt;1,0,MAX(IF(H180&lt;5,14,IF(H180&lt;15,20,26)),IF(AND(I180&lt;&gt;"",OR(I180&lt;=18,I180&gt;=50)),20,0))))</f>
        <v>14</v>
      </c>
      <c r="K180" s="17" t="n">
        <f aca="false">IF(A180="","",EDATE(E180,12*(H180+1)))</f>
        <v>46497</v>
      </c>
      <c r="L180" s="14" t="n">
        <f aca="false">IF(A180="","",K180-Ayarlar!$B$3)</f>
        <v>218</v>
      </c>
      <c r="M180" s="18" t="n">
        <f aca="false">IF(A180="","",Veri_Guncel!H180)</f>
        <v>4</v>
      </c>
      <c r="N180" s="18" t="n">
        <f aca="false">IF(A180="","",IFERROR(INDEX(Veri_Onceki!$H:$H,MATCH(A180,Veri_Onceki!$A:$A,0)),""))</f>
        <v>4</v>
      </c>
      <c r="O180" s="14" t="n">
        <f aca="false">IF(A180="","",IF(AND(H180&gt;=1,EDATE(E180,12*H180)&gt;Ayarlar!$B$4,EDATE(E180,12*H180)&lt;=Ayarlar!$B$3),J180,0))</f>
        <v>0</v>
      </c>
      <c r="P180" s="14" t="n">
        <f aca="false">IF(OR(A180="",N180=""),"",N180+O180-M180)</f>
        <v>0</v>
      </c>
      <c r="Q180" s="16" t="str">
        <f aca="false">IF(A180="","",IF(M180&gt;=Ayarlar!$B$7,"ALARM",IF(M180&gt;=Ayarlar!$B$6,"Planla","")))</f>
        <v/>
      </c>
      <c r="R180" s="14" t="str">
        <f aca="false">IF(A180="","",IF(AND(L180&gt;=0,L180&lt;=Ayarlar!$B$9),"Evet",""))</f>
        <v/>
      </c>
      <c r="S180" s="16" t="str">
        <f aca="false">IF(A180="","",IF(N180="","Yeni personel",IF(P180&lt;0,"Kontrol et","")))</f>
        <v/>
      </c>
      <c r="T180" s="14" t="str">
        <f aca="false">IF(A180="","",IF(AND(G180=1,M180&gt;=Ayarlar!$B$6,OR(Ayarlar!$B$11="Tümü",C180=Ayarlar!$B$11)),M180+ROW()/100000,""))</f>
        <v/>
      </c>
    </row>
    <row r="181" customFormat="false" ht="15" hidden="false" customHeight="false" outlineLevel="0" collapsed="false">
      <c r="A181" s="18" t="str">
        <f aca="false">IF(Veri_Guncel!A181="","",Veri_Guncel!A181)</f>
        <v>S10180</v>
      </c>
      <c r="B181" s="18" t="str">
        <f aca="false">IF($A181="","",Veri_Guncel!B181)</f>
        <v>Kaan Yılmaz</v>
      </c>
      <c r="C181" s="18" t="str">
        <f aca="false">IF($A181="","",Veri_Guncel!C181)</f>
        <v>Bölge 8</v>
      </c>
      <c r="D181" s="18" t="str">
        <f aca="false">IF($A181="","",Veri_Guncel!D181)</f>
        <v>Mağaza 8D</v>
      </c>
      <c r="E181" s="19" t="n">
        <f aca="false">IF($A181="","",Veri_Guncel!E181)</f>
        <v>41400</v>
      </c>
      <c r="F181" s="19" t="n">
        <f aca="false">IF($A181="","",Veri_Guncel!F181)</f>
        <v>36233</v>
      </c>
      <c r="G181" s="14" t="n">
        <f aca="false">IF(A181="","",IF(COUNTIF(Ayarlar!$A$15:$A$20,C181)&gt;0,1,0))</f>
        <v>0</v>
      </c>
      <c r="H181" s="14" t="n">
        <f aca="false">IF(A181="","",DATEDIF(E181,Ayarlar!$B$3,"y"))</f>
        <v>13</v>
      </c>
      <c r="I181" s="14" t="n">
        <f aca="false">IF(OR(A181="",F181=""),"",DATEDIF(F181,Ayarlar!$B$3,"y"))</f>
        <v>27</v>
      </c>
      <c r="J181" s="14" t="n">
        <f aca="false">IF(A181="","",IF(H181&lt;1,0,MAX(IF(H181&lt;5,14,IF(H181&lt;15,20,26)),IF(AND(I181&lt;&gt;"",OR(I181&lt;=18,I181&gt;=50)),20,0))))</f>
        <v>20</v>
      </c>
      <c r="K181" s="17" t="n">
        <f aca="false">IF(A181="","",EDATE(E181,12*(H181+1)))</f>
        <v>46513</v>
      </c>
      <c r="L181" s="14" t="n">
        <f aca="false">IF(A181="","",K181-Ayarlar!$B$3)</f>
        <v>234</v>
      </c>
      <c r="M181" s="18" t="n">
        <f aca="false">IF(A181="","",Veri_Guncel!H181)</f>
        <v>17</v>
      </c>
      <c r="N181" s="18" t="n">
        <f aca="false">IF(A181="","",IFERROR(INDEX(Veri_Onceki!$H:$H,MATCH(A181,Veri_Onceki!$A:$A,0)),""))</f>
        <v>17</v>
      </c>
      <c r="O181" s="14" t="n">
        <f aca="false">IF(A181="","",IF(AND(H181&gt;=1,EDATE(E181,12*H181)&gt;Ayarlar!$B$4,EDATE(E181,12*H181)&lt;=Ayarlar!$B$3),J181,0))</f>
        <v>0</v>
      </c>
      <c r="P181" s="14" t="n">
        <f aca="false">IF(OR(A181="",N181=""),"",N181+O181-M181)</f>
        <v>0</v>
      </c>
      <c r="Q181" s="16" t="str">
        <f aca="false">IF(A181="","",IF(M181&gt;=Ayarlar!$B$7,"ALARM",IF(M181&gt;=Ayarlar!$B$6,"Planla","")))</f>
        <v>Planla</v>
      </c>
      <c r="R181" s="14" t="str">
        <f aca="false">IF(A181="","",IF(AND(L181&gt;=0,L181&lt;=Ayarlar!$B$9),"Evet",""))</f>
        <v/>
      </c>
      <c r="S181" s="16" t="str">
        <f aca="false">IF(A181="","",IF(N181="","Yeni personel",IF(P181&lt;0,"Kontrol et","")))</f>
        <v/>
      </c>
      <c r="T181" s="14" t="str">
        <f aca="false">IF(A181="","",IF(AND(G181=1,M181&gt;=Ayarlar!$B$6,OR(Ayarlar!$B$11="Tümü",C181=Ayarlar!$B$11)),M181+ROW()/100000,""))</f>
        <v/>
      </c>
    </row>
    <row r="182" customFormat="false" ht="15" hidden="false" customHeight="false" outlineLevel="0" collapsed="false">
      <c r="A182" s="18" t="str">
        <f aca="false">IF(Veri_Guncel!A182="","",Veri_Guncel!A182)</f>
        <v>S10181</v>
      </c>
      <c r="B182" s="18" t="str">
        <f aca="false">IF($A182="","",Veri_Guncel!B182)</f>
        <v>Tolga Özdemir</v>
      </c>
      <c r="C182" s="18" t="str">
        <f aca="false">IF($A182="","",Veri_Guncel!C182)</f>
        <v>Bölge 8</v>
      </c>
      <c r="D182" s="18" t="str">
        <f aca="false">IF($A182="","",Veri_Guncel!D182)</f>
        <v>Mağaza 8D</v>
      </c>
      <c r="E182" s="19" t="n">
        <f aca="false">IF($A182="","",Veri_Guncel!E182)</f>
        <v>43717</v>
      </c>
      <c r="F182" s="19" t="n">
        <f aca="false">IF($A182="","",Veri_Guncel!F182)</f>
        <v>30883</v>
      </c>
      <c r="G182" s="14" t="n">
        <f aca="false">IF(A182="","",IF(COUNTIF(Ayarlar!$A$15:$A$20,C182)&gt;0,1,0))</f>
        <v>0</v>
      </c>
      <c r="H182" s="14" t="n">
        <f aca="false">IF(A182="","",DATEDIF(E182,Ayarlar!$B$3,"y"))</f>
        <v>7</v>
      </c>
      <c r="I182" s="14" t="n">
        <f aca="false">IF(OR(A182="",F182=""),"",DATEDIF(F182,Ayarlar!$B$3,"y"))</f>
        <v>42</v>
      </c>
      <c r="J182" s="14" t="n">
        <f aca="false">IF(A182="","",IF(H182&lt;1,0,MAX(IF(H182&lt;5,14,IF(H182&lt;15,20,26)),IF(AND(I182&lt;&gt;"",OR(I182&lt;=18,I182&gt;=50)),20,0))))</f>
        <v>20</v>
      </c>
      <c r="K182" s="17" t="n">
        <f aca="false">IF(A182="","",EDATE(E182,12*(H182+1)))</f>
        <v>46639</v>
      </c>
      <c r="L182" s="14" t="n">
        <f aca="false">IF(A182="","",K182-Ayarlar!$B$3)</f>
        <v>360</v>
      </c>
      <c r="M182" s="18" t="n">
        <f aca="false">IF(A182="","",Veri_Guncel!H182)</f>
        <v>12</v>
      </c>
      <c r="N182" s="18" t="n">
        <f aca="false">IF(A182="","",IFERROR(INDEX(Veri_Onceki!$H:$H,MATCH(A182,Veri_Onceki!$A:$A,0)),""))</f>
        <v>0</v>
      </c>
      <c r="O182" s="14" t="n">
        <f aca="false">IF(A182="","",IF(AND(H182&gt;=1,EDATE(E182,12*H182)&gt;Ayarlar!$B$4,EDATE(E182,12*H182)&lt;=Ayarlar!$B$3),J182,0))</f>
        <v>20</v>
      </c>
      <c r="P182" s="14" t="n">
        <f aca="false">IF(OR(A182="",N182=""),"",N182+O182-M182)</f>
        <v>8</v>
      </c>
      <c r="Q182" s="16" t="str">
        <f aca="false">IF(A182="","",IF(M182&gt;=Ayarlar!$B$7,"ALARM",IF(M182&gt;=Ayarlar!$B$6,"Planla","")))</f>
        <v/>
      </c>
      <c r="R182" s="14" t="str">
        <f aca="false">IF(A182="","",IF(AND(L182&gt;=0,L182&lt;=Ayarlar!$B$9),"Evet",""))</f>
        <v/>
      </c>
      <c r="S182" s="16" t="str">
        <f aca="false">IF(A182="","",IF(N182="","Yeni personel",IF(P182&lt;0,"Kontrol et","")))</f>
        <v/>
      </c>
      <c r="T182" s="14" t="str">
        <f aca="false">IF(A182="","",IF(AND(G182=1,M182&gt;=Ayarlar!$B$6,OR(Ayarlar!$B$11="Tümü",C182=Ayarlar!$B$11)),M182+ROW()/100000,""))</f>
        <v/>
      </c>
    </row>
    <row r="183" customFormat="false" ht="15" hidden="false" customHeight="false" outlineLevel="0" collapsed="false">
      <c r="A183" s="18" t="str">
        <f aca="false">IF(Veri_Guncel!A183="","",Veri_Guncel!A183)</f>
        <v>S10182</v>
      </c>
      <c r="B183" s="18" t="str">
        <f aca="false">IF($A183="","",Veri_Guncel!B183)</f>
        <v>İrem Aslan</v>
      </c>
      <c r="C183" s="18" t="str">
        <f aca="false">IF($A183="","",Veri_Guncel!C183)</f>
        <v>Bölge 8</v>
      </c>
      <c r="D183" s="18" t="str">
        <f aca="false">IF($A183="","",Veri_Guncel!D183)</f>
        <v>Mağaza 8D</v>
      </c>
      <c r="E183" s="19" t="n">
        <f aca="false">IF($A183="","",Veri_Guncel!E183)</f>
        <v>42700</v>
      </c>
      <c r="F183" s="19" t="n">
        <f aca="false">IF($A183="","",Veri_Guncel!F183)</f>
        <v>31469</v>
      </c>
      <c r="G183" s="14" t="n">
        <f aca="false">IF(A183="","",IF(COUNTIF(Ayarlar!$A$15:$A$20,C183)&gt;0,1,0))</f>
        <v>0</v>
      </c>
      <c r="H183" s="14" t="n">
        <f aca="false">IF(A183="","",DATEDIF(E183,Ayarlar!$B$3,"y"))</f>
        <v>9</v>
      </c>
      <c r="I183" s="14" t="n">
        <f aca="false">IF(OR(A183="",F183=""),"",DATEDIF(F183,Ayarlar!$B$3,"y"))</f>
        <v>40</v>
      </c>
      <c r="J183" s="14" t="n">
        <f aca="false">IF(A183="","",IF(H183&lt;1,0,MAX(IF(H183&lt;5,14,IF(H183&lt;15,20,26)),IF(AND(I183&lt;&gt;"",OR(I183&lt;=18,I183&gt;=50)),20,0))))</f>
        <v>20</v>
      </c>
      <c r="K183" s="17" t="n">
        <f aca="false">IF(A183="","",EDATE(E183,12*(H183+1)))</f>
        <v>46352</v>
      </c>
      <c r="L183" s="14" t="n">
        <f aca="false">IF(A183="","",K183-Ayarlar!$B$3)</f>
        <v>73</v>
      </c>
      <c r="M183" s="18" t="n">
        <f aca="false">IF(A183="","",Veri_Guncel!H183)</f>
        <v>14</v>
      </c>
      <c r="N183" s="18" t="n">
        <f aca="false">IF(A183="","",IFERROR(INDEX(Veri_Onceki!$H:$H,MATCH(A183,Veri_Onceki!$A:$A,0)),""))</f>
        <v>14</v>
      </c>
      <c r="O183" s="14" t="n">
        <f aca="false">IF(A183="","",IF(AND(H183&gt;=1,EDATE(E183,12*H183)&gt;Ayarlar!$B$4,EDATE(E183,12*H183)&lt;=Ayarlar!$B$3),J183,0))</f>
        <v>0</v>
      </c>
      <c r="P183" s="14" t="n">
        <f aca="false">IF(OR(A183="",N183=""),"",N183+O183-M183)</f>
        <v>0</v>
      </c>
      <c r="Q183" s="16" t="str">
        <f aca="false">IF(A183="","",IF(M183&gt;=Ayarlar!$B$7,"ALARM",IF(M183&gt;=Ayarlar!$B$6,"Planla","")))</f>
        <v>Planla</v>
      </c>
      <c r="R183" s="14" t="str">
        <f aca="false">IF(A183="","",IF(AND(L183&gt;=0,L183&lt;=Ayarlar!$B$9),"Evet",""))</f>
        <v/>
      </c>
      <c r="S183" s="16" t="str">
        <f aca="false">IF(A183="","",IF(N183="","Yeni personel",IF(P183&lt;0,"Kontrol et","")))</f>
        <v/>
      </c>
      <c r="T183" s="14" t="str">
        <f aca="false">IF(A183="","",IF(AND(G183=1,M183&gt;=Ayarlar!$B$6,OR(Ayarlar!$B$11="Tümü",C183=Ayarlar!$B$11)),M183+ROW()/100000,""))</f>
        <v/>
      </c>
    </row>
    <row r="184" customFormat="false" ht="15" hidden="false" customHeight="false" outlineLevel="0" collapsed="false">
      <c r="A184" s="18" t="str">
        <f aca="false">IF(Veri_Guncel!A184="","",Veri_Guncel!A184)</f>
        <v>S10183</v>
      </c>
      <c r="B184" s="18" t="str">
        <f aca="false">IF($A184="","",Veri_Guncel!B184)</f>
        <v>Deniz Aydın</v>
      </c>
      <c r="C184" s="18" t="str">
        <f aca="false">IF($A184="","",Veri_Guncel!C184)</f>
        <v>Bölge 8</v>
      </c>
      <c r="D184" s="18" t="str">
        <f aca="false">IF($A184="","",Veri_Guncel!D184)</f>
        <v>Mağaza 8D</v>
      </c>
      <c r="E184" s="19" t="n">
        <f aca="false">IF($A184="","",Veri_Guncel!E184)</f>
        <v>45707</v>
      </c>
      <c r="F184" s="19" t="n">
        <f aca="false">IF($A184="","",Veri_Guncel!F184)</f>
        <v>33515</v>
      </c>
      <c r="G184" s="14" t="n">
        <f aca="false">IF(A184="","",IF(COUNTIF(Ayarlar!$A$15:$A$20,C184)&gt;0,1,0))</f>
        <v>0</v>
      </c>
      <c r="H184" s="14" t="n">
        <f aca="false">IF(A184="","",DATEDIF(E184,Ayarlar!$B$3,"y"))</f>
        <v>1</v>
      </c>
      <c r="I184" s="14" t="n">
        <f aca="false">IF(OR(A184="",F184=""),"",DATEDIF(F184,Ayarlar!$B$3,"y"))</f>
        <v>34</v>
      </c>
      <c r="J184" s="14" t="n">
        <f aca="false">IF(A184="","",IF(H184&lt;1,0,MAX(IF(H184&lt;5,14,IF(H184&lt;15,20,26)),IF(AND(I184&lt;&gt;"",OR(I184&lt;=18,I184&gt;=50)),20,0))))</f>
        <v>14</v>
      </c>
      <c r="K184" s="17" t="n">
        <f aca="false">IF(A184="","",EDATE(E184,12*(H184+1)))</f>
        <v>46437</v>
      </c>
      <c r="L184" s="14" t="n">
        <f aca="false">IF(A184="","",K184-Ayarlar!$B$3)</f>
        <v>158</v>
      </c>
      <c r="M184" s="18" t="n">
        <f aca="false">IF(A184="","",Veri_Guncel!H184)</f>
        <v>8</v>
      </c>
      <c r="N184" s="18" t="n">
        <f aca="false">IF(A184="","",IFERROR(INDEX(Veri_Onceki!$H:$H,MATCH(A184,Veri_Onceki!$A:$A,0)),""))</f>
        <v>8</v>
      </c>
      <c r="O184" s="14" t="n">
        <f aca="false">IF(A184="","",IF(AND(H184&gt;=1,EDATE(E184,12*H184)&gt;Ayarlar!$B$4,EDATE(E184,12*H184)&lt;=Ayarlar!$B$3),J184,0))</f>
        <v>0</v>
      </c>
      <c r="P184" s="14" t="n">
        <f aca="false">IF(OR(A184="",N184=""),"",N184+O184-M184)</f>
        <v>0</v>
      </c>
      <c r="Q184" s="16" t="str">
        <f aca="false">IF(A184="","",IF(M184&gt;=Ayarlar!$B$7,"ALARM",IF(M184&gt;=Ayarlar!$B$6,"Planla","")))</f>
        <v/>
      </c>
      <c r="R184" s="14" t="str">
        <f aca="false">IF(A184="","",IF(AND(L184&gt;=0,L184&lt;=Ayarlar!$B$9),"Evet",""))</f>
        <v/>
      </c>
      <c r="S184" s="16" t="str">
        <f aca="false">IF(A184="","",IF(N184="","Yeni personel",IF(P184&lt;0,"Kontrol et","")))</f>
        <v/>
      </c>
      <c r="T184" s="14" t="str">
        <f aca="false">IF(A184="","",IF(AND(G184=1,M184&gt;=Ayarlar!$B$6,OR(Ayarlar!$B$11="Tümü",C184=Ayarlar!$B$11)),M184+ROW()/100000,""))</f>
        <v/>
      </c>
    </row>
    <row r="185" customFormat="false" ht="15" hidden="false" customHeight="false" outlineLevel="0" collapsed="false">
      <c r="A185" s="18" t="str">
        <f aca="false">IF(Veri_Guncel!A185="","",Veri_Guncel!A185)</f>
        <v>S10184</v>
      </c>
      <c r="B185" s="18" t="str">
        <f aca="false">IF($A185="","",Veri_Guncel!B185)</f>
        <v>Mehmet Özdemir</v>
      </c>
      <c r="C185" s="18" t="str">
        <f aca="false">IF($A185="","",Veri_Guncel!C185)</f>
        <v>Bölge 8</v>
      </c>
      <c r="D185" s="18" t="str">
        <f aca="false">IF($A185="","",Veri_Guncel!D185)</f>
        <v>Mağaza 8D</v>
      </c>
      <c r="E185" s="19" t="n">
        <f aca="false">IF($A185="","",Veri_Guncel!E185)</f>
        <v>41678</v>
      </c>
      <c r="F185" s="19" t="n">
        <f aca="false">IF($A185="","",Veri_Guncel!F185)</f>
        <v>26623</v>
      </c>
      <c r="G185" s="14" t="n">
        <f aca="false">IF(A185="","",IF(COUNTIF(Ayarlar!$A$15:$A$20,C185)&gt;0,1,0))</f>
        <v>0</v>
      </c>
      <c r="H185" s="14" t="n">
        <f aca="false">IF(A185="","",DATEDIF(E185,Ayarlar!$B$3,"y"))</f>
        <v>12</v>
      </c>
      <c r="I185" s="14" t="n">
        <f aca="false">IF(OR(A185="",F185=""),"",DATEDIF(F185,Ayarlar!$B$3,"y"))</f>
        <v>53</v>
      </c>
      <c r="J185" s="14" t="n">
        <f aca="false">IF(A185="","",IF(H185&lt;1,0,MAX(IF(H185&lt;5,14,IF(H185&lt;15,20,26)),IF(AND(I185&lt;&gt;"",OR(I185&lt;=18,I185&gt;=50)),20,0))))</f>
        <v>20</v>
      </c>
      <c r="K185" s="17" t="n">
        <f aca="false">IF(A185="","",EDATE(E185,12*(H185+1)))</f>
        <v>46426</v>
      </c>
      <c r="L185" s="14" t="n">
        <f aca="false">IF(A185="","",K185-Ayarlar!$B$3)</f>
        <v>147</v>
      </c>
      <c r="M185" s="18" t="n">
        <f aca="false">IF(A185="","",Veri_Guncel!H185)</f>
        <v>10</v>
      </c>
      <c r="N185" s="18" t="n">
        <f aca="false">IF(A185="","",IFERROR(INDEX(Veri_Onceki!$H:$H,MATCH(A185,Veri_Onceki!$A:$A,0)),""))</f>
        <v>10</v>
      </c>
      <c r="O185" s="14" t="n">
        <f aca="false">IF(A185="","",IF(AND(H185&gt;=1,EDATE(E185,12*H185)&gt;Ayarlar!$B$4,EDATE(E185,12*H185)&lt;=Ayarlar!$B$3),J185,0))</f>
        <v>0</v>
      </c>
      <c r="P185" s="14" t="n">
        <f aca="false">IF(OR(A185="",N185=""),"",N185+O185-M185)</f>
        <v>0</v>
      </c>
      <c r="Q185" s="16" t="str">
        <f aca="false">IF(A185="","",IF(M185&gt;=Ayarlar!$B$7,"ALARM",IF(M185&gt;=Ayarlar!$B$6,"Planla","")))</f>
        <v/>
      </c>
      <c r="R185" s="14" t="str">
        <f aca="false">IF(A185="","",IF(AND(L185&gt;=0,L185&lt;=Ayarlar!$B$9),"Evet",""))</f>
        <v/>
      </c>
      <c r="S185" s="16" t="str">
        <f aca="false">IF(A185="","",IF(N185="","Yeni personel",IF(P185&lt;0,"Kontrol et","")))</f>
        <v/>
      </c>
      <c r="T185" s="14" t="str">
        <f aca="false">IF(A185="","",IF(AND(G185=1,M185&gt;=Ayarlar!$B$6,OR(Ayarlar!$B$11="Tümü",C185=Ayarlar!$B$11)),M185+ROW()/100000,""))</f>
        <v/>
      </c>
    </row>
    <row r="186" customFormat="false" ht="15" hidden="false" customHeight="false" outlineLevel="0" collapsed="false">
      <c r="A186" s="18" t="str">
        <f aca="false">IF(Veri_Guncel!A186="","",Veri_Guncel!A186)</f>
        <v>S10185</v>
      </c>
      <c r="B186" s="18" t="str">
        <f aca="false">IF($A186="","",Veri_Guncel!B186)</f>
        <v>Buse Şahin</v>
      </c>
      <c r="C186" s="18" t="str">
        <f aca="false">IF($A186="","",Veri_Guncel!C186)</f>
        <v>Bölge 8</v>
      </c>
      <c r="D186" s="18" t="str">
        <f aca="false">IF($A186="","",Veri_Guncel!D186)</f>
        <v>Mağaza 8D</v>
      </c>
      <c r="E186" s="19" t="n">
        <f aca="false">IF($A186="","",Veri_Guncel!E186)</f>
        <v>41909</v>
      </c>
      <c r="F186" s="19" t="n">
        <f aca="false">IF($A186="","",Veri_Guncel!F186)</f>
        <v>34229</v>
      </c>
      <c r="G186" s="14" t="n">
        <f aca="false">IF(A186="","",IF(COUNTIF(Ayarlar!$A$15:$A$20,C186)&gt;0,1,0))</f>
        <v>0</v>
      </c>
      <c r="H186" s="14" t="n">
        <f aca="false">IF(A186="","",DATEDIF(E186,Ayarlar!$B$3,"y"))</f>
        <v>11</v>
      </c>
      <c r="I186" s="14" t="n">
        <f aca="false">IF(OR(A186="",F186=""),"",DATEDIF(F186,Ayarlar!$B$3,"y"))</f>
        <v>32</v>
      </c>
      <c r="J186" s="14" t="n">
        <f aca="false">IF(A186="","",IF(H186&lt;1,0,MAX(IF(H186&lt;5,14,IF(H186&lt;15,20,26)),IF(AND(I186&lt;&gt;"",OR(I186&lt;=18,I186&gt;=50)),20,0))))</f>
        <v>20</v>
      </c>
      <c r="K186" s="17" t="n">
        <f aca="false">IF(A186="","",EDATE(E186,12*(H186+1)))</f>
        <v>46292</v>
      </c>
      <c r="L186" s="14" t="n">
        <f aca="false">IF(A186="","",K186-Ayarlar!$B$3)</f>
        <v>13</v>
      </c>
      <c r="M186" s="18" t="n">
        <f aca="false">IF(A186="","",Veri_Guncel!H186)</f>
        <v>17</v>
      </c>
      <c r="N186" s="18" t="n">
        <f aca="false">IF(A186="","",IFERROR(INDEX(Veri_Onceki!$H:$H,MATCH(A186,Veri_Onceki!$A:$A,0)),""))</f>
        <v>19</v>
      </c>
      <c r="O186" s="14" t="n">
        <f aca="false">IF(A186="","",IF(AND(H186&gt;=1,EDATE(E186,12*H186)&gt;Ayarlar!$B$4,EDATE(E186,12*H186)&lt;=Ayarlar!$B$3),J186,0))</f>
        <v>0</v>
      </c>
      <c r="P186" s="14" t="n">
        <f aca="false">IF(OR(A186="",N186=""),"",N186+O186-M186)</f>
        <v>2</v>
      </c>
      <c r="Q186" s="16" t="str">
        <f aca="false">IF(A186="","",IF(M186&gt;=Ayarlar!$B$7,"ALARM",IF(M186&gt;=Ayarlar!$B$6,"Planla","")))</f>
        <v>Planla</v>
      </c>
      <c r="R186" s="14" t="str">
        <f aca="false">IF(A186="","",IF(AND(L186&gt;=0,L186&lt;=Ayarlar!$B$9),"Evet",""))</f>
        <v>Evet</v>
      </c>
      <c r="S186" s="16" t="str">
        <f aca="false">IF(A186="","",IF(N186="","Yeni personel",IF(P186&lt;0,"Kontrol et","")))</f>
        <v/>
      </c>
      <c r="T186" s="14" t="str">
        <f aca="false">IF(A186="","",IF(AND(G186=1,M186&gt;=Ayarlar!$B$6,OR(Ayarlar!$B$11="Tümü",C186=Ayarlar!$B$11)),M186+ROW()/100000,""))</f>
        <v/>
      </c>
    </row>
    <row r="187" customFormat="false" ht="15" hidden="false" customHeight="false" outlineLevel="0" collapsed="false">
      <c r="A187" s="18" t="str">
        <f aca="false">IF(Veri_Guncel!A187="","",Veri_Guncel!A187)</f>
        <v>S10186</v>
      </c>
      <c r="B187" s="18" t="str">
        <f aca="false">IF($A187="","",Veri_Guncel!B187)</f>
        <v>Deniz Doğan</v>
      </c>
      <c r="C187" s="18" t="str">
        <f aca="false">IF($A187="","",Veri_Guncel!C187)</f>
        <v>Bölge 1</v>
      </c>
      <c r="D187" s="18" t="str">
        <f aca="false">IF($A187="","",Veri_Guncel!D187)</f>
        <v>Mağaza 1A</v>
      </c>
      <c r="E187" s="19" t="n">
        <f aca="false">IF($A187="","",Veri_Guncel!E187)</f>
        <v>46256</v>
      </c>
      <c r="F187" s="19" t="n">
        <f aca="false">IF($A187="","",Veri_Guncel!F187)</f>
        <v>38119</v>
      </c>
      <c r="G187" s="14" t="n">
        <f aca="false">IF(A187="","",IF(COUNTIF(Ayarlar!$A$15:$A$20,C187)&gt;0,1,0))</f>
        <v>1</v>
      </c>
      <c r="H187" s="14" t="n">
        <f aca="false">IF(A187="","",DATEDIF(E187,Ayarlar!$B$3,"y"))</f>
        <v>0</v>
      </c>
      <c r="I187" s="14" t="n">
        <f aca="false">IF(OR(A187="",F187=""),"",DATEDIF(F187,Ayarlar!$B$3,"y"))</f>
        <v>22</v>
      </c>
      <c r="J187" s="14" t="n">
        <f aca="false">IF(A187="","",IF(H187&lt;1,0,MAX(IF(H187&lt;5,14,IF(H187&lt;15,20,26)),IF(AND(I187&lt;&gt;"",OR(I187&lt;=18,I187&gt;=50)),20,0))))</f>
        <v>0</v>
      </c>
      <c r="K187" s="17" t="n">
        <f aca="false">IF(A187="","",EDATE(E187,12*(H187+1)))</f>
        <v>46621</v>
      </c>
      <c r="L187" s="14" t="n">
        <f aca="false">IF(A187="","",K187-Ayarlar!$B$3)</f>
        <v>342</v>
      </c>
      <c r="M187" s="18" t="n">
        <f aca="false">IF(A187="","",Veri_Guncel!H187)</f>
        <v>0</v>
      </c>
      <c r="N187" s="18" t="str">
        <f aca="false">IF(A187="","",IFERROR(INDEX(Veri_Onceki!$H:$H,MATCH(A187,Veri_Onceki!$A:$A,0)),""))</f>
        <v/>
      </c>
      <c r="O187" s="14" t="n">
        <f aca="false">IF(A187="","",IF(AND(H187&gt;=1,EDATE(E187,12*H187)&gt;Ayarlar!$B$4,EDATE(E187,12*H187)&lt;=Ayarlar!$B$3),J187,0))</f>
        <v>0</v>
      </c>
      <c r="P187" s="14" t="str">
        <f aca="false">IF(OR(A187="",N187=""),"",N187+O187-M187)</f>
        <v/>
      </c>
      <c r="Q187" s="16" t="str">
        <f aca="false">IF(A187="","",IF(M187&gt;=Ayarlar!$B$7,"ALARM",IF(M187&gt;=Ayarlar!$B$6,"Planla","")))</f>
        <v/>
      </c>
      <c r="R187" s="14" t="str">
        <f aca="false">IF(A187="","",IF(AND(L187&gt;=0,L187&lt;=Ayarlar!$B$9),"Evet",""))</f>
        <v/>
      </c>
      <c r="S187" s="16" t="str">
        <f aca="false">IF(A187="","",IF(N187="","Yeni personel",IF(P187&lt;0,"Kontrol et","")))</f>
        <v>Yeni personel</v>
      </c>
      <c r="T187" s="14" t="str">
        <f aca="false">IF(A187="","",IF(AND(G187=1,M187&gt;=Ayarlar!$B$6,OR(Ayarlar!$B$11="Tümü",C187=Ayarlar!$B$11)),M187+ROW()/100000,""))</f>
        <v/>
      </c>
    </row>
    <row r="188" customFormat="false" ht="15" hidden="false" customHeight="false" outlineLevel="0" collapsed="false">
      <c r="A188" s="18" t="str">
        <f aca="false">IF(Veri_Guncel!A188="","",Veri_Guncel!A188)</f>
        <v>S10187</v>
      </c>
      <c r="B188" s="18" t="str">
        <f aca="false">IF($A188="","",Veri_Guncel!B188)</f>
        <v>İrem Yılmaz</v>
      </c>
      <c r="C188" s="18" t="str">
        <f aca="false">IF($A188="","",Veri_Guncel!C188)</f>
        <v>Bölge 2</v>
      </c>
      <c r="D188" s="18" t="str">
        <f aca="false">IF($A188="","",Veri_Guncel!D188)</f>
        <v>Mağaza 2A</v>
      </c>
      <c r="E188" s="19" t="n">
        <f aca="false">IF($A188="","",Veri_Guncel!E188)</f>
        <v>46248</v>
      </c>
      <c r="F188" s="19" t="n">
        <f aca="false">IF($A188="","",Veri_Guncel!F188)</f>
        <v>38119</v>
      </c>
      <c r="G188" s="14" t="n">
        <f aca="false">IF(A188="","",IF(COUNTIF(Ayarlar!$A$15:$A$20,C188)&gt;0,1,0))</f>
        <v>1</v>
      </c>
      <c r="H188" s="14" t="n">
        <f aca="false">IF(A188="","",DATEDIF(E188,Ayarlar!$B$3,"y"))</f>
        <v>0</v>
      </c>
      <c r="I188" s="14" t="n">
        <f aca="false">IF(OR(A188="",F188=""),"",DATEDIF(F188,Ayarlar!$B$3,"y"))</f>
        <v>22</v>
      </c>
      <c r="J188" s="14" t="n">
        <f aca="false">IF(A188="","",IF(H188&lt;1,0,MAX(IF(H188&lt;5,14,IF(H188&lt;15,20,26)),IF(AND(I188&lt;&gt;"",OR(I188&lt;=18,I188&gt;=50)),20,0))))</f>
        <v>0</v>
      </c>
      <c r="K188" s="17" t="n">
        <f aca="false">IF(A188="","",EDATE(E188,12*(H188+1)))</f>
        <v>46613</v>
      </c>
      <c r="L188" s="14" t="n">
        <f aca="false">IF(A188="","",K188-Ayarlar!$B$3)</f>
        <v>334</v>
      </c>
      <c r="M188" s="18" t="n">
        <f aca="false">IF(A188="","",Veri_Guncel!H188)</f>
        <v>0</v>
      </c>
      <c r="N188" s="18" t="str">
        <f aca="false">IF(A188="","",IFERROR(INDEX(Veri_Onceki!$H:$H,MATCH(A188,Veri_Onceki!$A:$A,0)),""))</f>
        <v/>
      </c>
      <c r="O188" s="14" t="n">
        <f aca="false">IF(A188="","",IF(AND(H188&gt;=1,EDATE(E188,12*H188)&gt;Ayarlar!$B$4,EDATE(E188,12*H188)&lt;=Ayarlar!$B$3),J188,0))</f>
        <v>0</v>
      </c>
      <c r="P188" s="14" t="str">
        <f aca="false">IF(OR(A188="",N188=""),"",N188+O188-M188)</f>
        <v/>
      </c>
      <c r="Q188" s="16" t="str">
        <f aca="false">IF(A188="","",IF(M188&gt;=Ayarlar!$B$7,"ALARM",IF(M188&gt;=Ayarlar!$B$6,"Planla","")))</f>
        <v/>
      </c>
      <c r="R188" s="14" t="str">
        <f aca="false">IF(A188="","",IF(AND(L188&gt;=0,L188&lt;=Ayarlar!$B$9),"Evet",""))</f>
        <v/>
      </c>
      <c r="S188" s="16" t="str">
        <f aca="false">IF(A188="","",IF(N188="","Yeni personel",IF(P188&lt;0,"Kontrol et","")))</f>
        <v>Yeni personel</v>
      </c>
      <c r="T188" s="14" t="str">
        <f aca="false">IF(A188="","",IF(AND(G188=1,M188&gt;=Ayarlar!$B$6,OR(Ayarlar!$B$11="Tümü",C188=Ayarlar!$B$11)),M188+ROW()/100000,""))</f>
        <v/>
      </c>
    </row>
    <row r="189" customFormat="false" ht="15" hidden="false" customHeight="false" outlineLevel="0" collapsed="false">
      <c r="A189" s="18" t="str">
        <f aca="false">IF(Veri_Guncel!A189="","",Veri_Guncel!A189)</f>
        <v>S10188</v>
      </c>
      <c r="B189" s="18" t="str">
        <f aca="false">IF($A189="","",Veri_Guncel!B189)</f>
        <v>Oğuz Özdemir</v>
      </c>
      <c r="C189" s="18" t="str">
        <f aca="false">IF($A189="","",Veri_Guncel!C189)</f>
        <v>Bölge 3</v>
      </c>
      <c r="D189" s="18" t="str">
        <f aca="false">IF($A189="","",Veri_Guncel!D189)</f>
        <v>Mağaza 3A</v>
      </c>
      <c r="E189" s="19" t="n">
        <f aca="false">IF($A189="","",Veri_Guncel!E189)</f>
        <v>46241</v>
      </c>
      <c r="F189" s="19" t="n">
        <f aca="false">IF($A189="","",Veri_Guncel!F189)</f>
        <v>38119</v>
      </c>
      <c r="G189" s="14" t="n">
        <f aca="false">IF(A189="","",IF(COUNTIF(Ayarlar!$A$15:$A$20,C189)&gt;0,1,0))</f>
        <v>1</v>
      </c>
      <c r="H189" s="14" t="n">
        <f aca="false">IF(A189="","",DATEDIF(E189,Ayarlar!$B$3,"y"))</f>
        <v>0</v>
      </c>
      <c r="I189" s="14" t="n">
        <f aca="false">IF(OR(A189="",F189=""),"",DATEDIF(F189,Ayarlar!$B$3,"y"))</f>
        <v>22</v>
      </c>
      <c r="J189" s="14" t="n">
        <f aca="false">IF(A189="","",IF(H189&lt;1,0,MAX(IF(H189&lt;5,14,IF(H189&lt;15,20,26)),IF(AND(I189&lt;&gt;"",OR(I189&lt;=18,I189&gt;=50)),20,0))))</f>
        <v>0</v>
      </c>
      <c r="K189" s="17" t="n">
        <f aca="false">IF(A189="","",EDATE(E189,12*(H189+1)))</f>
        <v>46606</v>
      </c>
      <c r="L189" s="14" t="n">
        <f aca="false">IF(A189="","",K189-Ayarlar!$B$3)</f>
        <v>327</v>
      </c>
      <c r="M189" s="18" t="n">
        <f aca="false">IF(A189="","",Veri_Guncel!H189)</f>
        <v>0</v>
      </c>
      <c r="N189" s="18" t="str">
        <f aca="false">IF(A189="","",IFERROR(INDEX(Veri_Onceki!$H:$H,MATCH(A189,Veri_Onceki!$A:$A,0)),""))</f>
        <v/>
      </c>
      <c r="O189" s="14" t="n">
        <f aca="false">IF(A189="","",IF(AND(H189&gt;=1,EDATE(E189,12*H189)&gt;Ayarlar!$B$4,EDATE(E189,12*H189)&lt;=Ayarlar!$B$3),J189,0))</f>
        <v>0</v>
      </c>
      <c r="P189" s="14" t="str">
        <f aca="false">IF(OR(A189="",N189=""),"",N189+O189-M189)</f>
        <v/>
      </c>
      <c r="Q189" s="16" t="str">
        <f aca="false">IF(A189="","",IF(M189&gt;=Ayarlar!$B$7,"ALARM",IF(M189&gt;=Ayarlar!$B$6,"Planla","")))</f>
        <v/>
      </c>
      <c r="R189" s="14" t="str">
        <f aca="false">IF(A189="","",IF(AND(L189&gt;=0,L189&lt;=Ayarlar!$B$9),"Evet",""))</f>
        <v/>
      </c>
      <c r="S189" s="16" t="str">
        <f aca="false">IF(A189="","",IF(N189="","Yeni personel",IF(P189&lt;0,"Kontrol et","")))</f>
        <v>Yeni personel</v>
      </c>
      <c r="T189" s="14" t="str">
        <f aca="false">IF(A189="","",IF(AND(G189=1,M189&gt;=Ayarlar!$B$6,OR(Ayarlar!$B$11="Tümü",C189=Ayarlar!$B$11)),M189+ROW()/100000,""))</f>
        <v/>
      </c>
    </row>
    <row r="190" customFormat="false" ht="15" hidden="false" customHeight="false" outlineLevel="0" collapsed="false">
      <c r="A190" s="18" t="str">
        <f aca="false">IF(Veri_Guncel!A190="","",Veri_Guncel!A190)</f>
        <v>S10189</v>
      </c>
      <c r="B190" s="18" t="str">
        <f aca="false">IF($A190="","",Veri_Guncel!B190)</f>
        <v>Kaan Yılmaz</v>
      </c>
      <c r="C190" s="18" t="str">
        <f aca="false">IF($A190="","",Veri_Guncel!C190)</f>
        <v>Bölge 4</v>
      </c>
      <c r="D190" s="18" t="str">
        <f aca="false">IF($A190="","",Veri_Guncel!D190)</f>
        <v>Mağaza 4A</v>
      </c>
      <c r="E190" s="19" t="n">
        <f aca="false">IF($A190="","",Veri_Guncel!E190)</f>
        <v>46244</v>
      </c>
      <c r="F190" s="19" t="n">
        <f aca="false">IF($A190="","",Veri_Guncel!F190)</f>
        <v>38119</v>
      </c>
      <c r="G190" s="14" t="n">
        <f aca="false">IF(A190="","",IF(COUNTIF(Ayarlar!$A$15:$A$20,C190)&gt;0,1,0))</f>
        <v>1</v>
      </c>
      <c r="H190" s="14" t="n">
        <f aca="false">IF(A190="","",DATEDIF(E190,Ayarlar!$B$3,"y"))</f>
        <v>0</v>
      </c>
      <c r="I190" s="14" t="n">
        <f aca="false">IF(OR(A190="",F190=""),"",DATEDIF(F190,Ayarlar!$B$3,"y"))</f>
        <v>22</v>
      </c>
      <c r="J190" s="14" t="n">
        <f aca="false">IF(A190="","",IF(H190&lt;1,0,MAX(IF(H190&lt;5,14,IF(H190&lt;15,20,26)),IF(AND(I190&lt;&gt;"",OR(I190&lt;=18,I190&gt;=50)),20,0))))</f>
        <v>0</v>
      </c>
      <c r="K190" s="17" t="n">
        <f aca="false">IF(A190="","",EDATE(E190,12*(H190+1)))</f>
        <v>46609</v>
      </c>
      <c r="L190" s="14" t="n">
        <f aca="false">IF(A190="","",K190-Ayarlar!$B$3)</f>
        <v>330</v>
      </c>
      <c r="M190" s="18" t="n">
        <f aca="false">IF(A190="","",Veri_Guncel!H190)</f>
        <v>0</v>
      </c>
      <c r="N190" s="18" t="str">
        <f aca="false">IF(A190="","",IFERROR(INDEX(Veri_Onceki!$H:$H,MATCH(A190,Veri_Onceki!$A:$A,0)),""))</f>
        <v/>
      </c>
      <c r="O190" s="14" t="n">
        <f aca="false">IF(A190="","",IF(AND(H190&gt;=1,EDATE(E190,12*H190)&gt;Ayarlar!$B$4,EDATE(E190,12*H190)&lt;=Ayarlar!$B$3),J190,0))</f>
        <v>0</v>
      </c>
      <c r="P190" s="14" t="str">
        <f aca="false">IF(OR(A190="",N190=""),"",N190+O190-M190)</f>
        <v/>
      </c>
      <c r="Q190" s="16" t="str">
        <f aca="false">IF(A190="","",IF(M190&gt;=Ayarlar!$B$7,"ALARM",IF(M190&gt;=Ayarlar!$B$6,"Planla","")))</f>
        <v/>
      </c>
      <c r="R190" s="14" t="str">
        <f aca="false">IF(A190="","",IF(AND(L190&gt;=0,L190&lt;=Ayarlar!$B$9),"Evet",""))</f>
        <v/>
      </c>
      <c r="S190" s="16" t="str">
        <f aca="false">IF(A190="","",IF(N190="","Yeni personel",IF(P190&lt;0,"Kontrol et","")))</f>
        <v>Yeni personel</v>
      </c>
      <c r="T190" s="14" t="str">
        <f aca="false">IF(A190="","",IF(AND(G190=1,M190&gt;=Ayarlar!$B$6,OR(Ayarlar!$B$11="Tümü",C190=Ayarlar!$B$11)),M190+ROW()/100000,""))</f>
        <v/>
      </c>
    </row>
    <row r="191" customFormat="false" ht="15" hidden="false" customHeight="false" outlineLevel="0" collapsed="false">
      <c r="A191" s="18" t="str">
        <f aca="false">IF(Veri_Guncel!A191="","",Veri_Guncel!A191)</f>
        <v/>
      </c>
      <c r="B191" s="18" t="str">
        <f aca="false">IF($A191="","",Veri_Guncel!B191)</f>
        <v/>
      </c>
      <c r="C191" s="18" t="str">
        <f aca="false">IF($A191="","",Veri_Guncel!C191)</f>
        <v/>
      </c>
      <c r="D191" s="18" t="str">
        <f aca="false">IF($A191="","",Veri_Guncel!D191)</f>
        <v/>
      </c>
      <c r="E191" s="19" t="str">
        <f aca="false">IF($A191="","",Veri_Guncel!E191)</f>
        <v/>
      </c>
      <c r="F191" s="19" t="str">
        <f aca="false">IF($A191="","",Veri_Guncel!F191)</f>
        <v/>
      </c>
      <c r="G191" s="14" t="str">
        <f aca="false">IF(A191="","",IF(COUNTIF(Ayarlar!$A$15:$A$20,C191)&gt;0,1,0))</f>
        <v/>
      </c>
      <c r="H191" s="14" t="str">
        <f aca="false">IF(A191="","",DATEDIF(E191,Ayarlar!$B$3,"y"))</f>
        <v/>
      </c>
      <c r="I191" s="14" t="str">
        <f aca="false">IF(OR(A191="",F191=""),"",DATEDIF(F191,Ayarlar!$B$3,"y"))</f>
        <v/>
      </c>
      <c r="J191" s="14" t="str">
        <f aca="false">IF(A191="","",IF(H191&lt;1,0,MAX(IF(H191&lt;5,14,IF(H191&lt;15,20,26)),IF(AND(I191&lt;&gt;"",OR(I191&lt;=18,I191&gt;=50)),20,0))))</f>
        <v/>
      </c>
      <c r="K191" s="17" t="str">
        <f aca="false">IF(A191="","",EDATE(E191,12*(H191+1)))</f>
        <v/>
      </c>
      <c r="L191" s="14" t="str">
        <f aca="false">IF(A191="","",K191-Ayarlar!$B$3)</f>
        <v/>
      </c>
      <c r="M191" s="18" t="str">
        <f aca="false">IF(A191="","",Veri_Guncel!H191)</f>
        <v/>
      </c>
      <c r="N191" s="18" t="str">
        <f aca="false">IF(A191="","",IFERROR(INDEX(Veri_Onceki!$H:$H,MATCH(A191,Veri_Onceki!$A:$A,0)),""))</f>
        <v/>
      </c>
      <c r="O191" s="14" t="str">
        <f aca="false">IF(A191="","",IF(AND(H191&gt;=1,EDATE(E191,12*H191)&gt;Ayarlar!$B$4,EDATE(E191,12*H191)&lt;=Ayarlar!$B$3),J191,0))</f>
        <v/>
      </c>
      <c r="P191" s="14" t="str">
        <f aca="false">IF(OR(A191="",N191=""),"",N191+O191-M191)</f>
        <v/>
      </c>
      <c r="Q191" s="16" t="str">
        <f aca="false">IF(A191="","",IF(M191&gt;=Ayarlar!$B$7,"ALARM",IF(M191&gt;=Ayarlar!$B$6,"Planla","")))</f>
        <v/>
      </c>
      <c r="R191" s="14" t="str">
        <f aca="false">IF(A191="","",IF(AND(L191&gt;=0,L191&lt;=Ayarlar!$B$9),"Evet",""))</f>
        <v/>
      </c>
      <c r="S191" s="16" t="str">
        <f aca="false">IF(A191="","",IF(N191="","Yeni personel",IF(P191&lt;0,"Kontrol et","")))</f>
        <v/>
      </c>
      <c r="T191" s="14" t="str">
        <f aca="false">IF(A191="","",IF(AND(G191=1,M191&gt;=Ayarlar!$B$6,OR(Ayarlar!$B$11="Tümü",C191=Ayarlar!$B$11)),M191+ROW()/100000,""))</f>
        <v/>
      </c>
    </row>
    <row r="192" customFormat="false" ht="15" hidden="false" customHeight="false" outlineLevel="0" collapsed="false">
      <c r="A192" s="18" t="str">
        <f aca="false">IF(Veri_Guncel!A192="","",Veri_Guncel!A192)</f>
        <v/>
      </c>
      <c r="B192" s="18" t="str">
        <f aca="false">IF($A192="","",Veri_Guncel!B192)</f>
        <v/>
      </c>
      <c r="C192" s="18" t="str">
        <f aca="false">IF($A192="","",Veri_Guncel!C192)</f>
        <v/>
      </c>
      <c r="D192" s="18" t="str">
        <f aca="false">IF($A192="","",Veri_Guncel!D192)</f>
        <v/>
      </c>
      <c r="E192" s="19" t="str">
        <f aca="false">IF($A192="","",Veri_Guncel!E192)</f>
        <v/>
      </c>
      <c r="F192" s="19" t="str">
        <f aca="false">IF($A192="","",Veri_Guncel!F192)</f>
        <v/>
      </c>
      <c r="G192" s="14" t="str">
        <f aca="false">IF(A192="","",IF(COUNTIF(Ayarlar!$A$15:$A$20,C192)&gt;0,1,0))</f>
        <v/>
      </c>
      <c r="H192" s="14" t="str">
        <f aca="false">IF(A192="","",DATEDIF(E192,Ayarlar!$B$3,"y"))</f>
        <v/>
      </c>
      <c r="I192" s="14" t="str">
        <f aca="false">IF(OR(A192="",F192=""),"",DATEDIF(F192,Ayarlar!$B$3,"y"))</f>
        <v/>
      </c>
      <c r="J192" s="14" t="str">
        <f aca="false">IF(A192="","",IF(H192&lt;1,0,MAX(IF(H192&lt;5,14,IF(H192&lt;15,20,26)),IF(AND(I192&lt;&gt;"",OR(I192&lt;=18,I192&gt;=50)),20,0))))</f>
        <v/>
      </c>
      <c r="K192" s="17" t="str">
        <f aca="false">IF(A192="","",EDATE(E192,12*(H192+1)))</f>
        <v/>
      </c>
      <c r="L192" s="14" t="str">
        <f aca="false">IF(A192="","",K192-Ayarlar!$B$3)</f>
        <v/>
      </c>
      <c r="M192" s="18" t="str">
        <f aca="false">IF(A192="","",Veri_Guncel!H192)</f>
        <v/>
      </c>
      <c r="N192" s="18" t="str">
        <f aca="false">IF(A192="","",IFERROR(INDEX(Veri_Onceki!$H:$H,MATCH(A192,Veri_Onceki!$A:$A,0)),""))</f>
        <v/>
      </c>
      <c r="O192" s="14" t="str">
        <f aca="false">IF(A192="","",IF(AND(H192&gt;=1,EDATE(E192,12*H192)&gt;Ayarlar!$B$4,EDATE(E192,12*H192)&lt;=Ayarlar!$B$3),J192,0))</f>
        <v/>
      </c>
      <c r="P192" s="14" t="str">
        <f aca="false">IF(OR(A192="",N192=""),"",N192+O192-M192)</f>
        <v/>
      </c>
      <c r="Q192" s="16" t="str">
        <f aca="false">IF(A192="","",IF(M192&gt;=Ayarlar!$B$7,"ALARM",IF(M192&gt;=Ayarlar!$B$6,"Planla","")))</f>
        <v/>
      </c>
      <c r="R192" s="14" t="str">
        <f aca="false">IF(A192="","",IF(AND(L192&gt;=0,L192&lt;=Ayarlar!$B$9),"Evet",""))</f>
        <v/>
      </c>
      <c r="S192" s="16" t="str">
        <f aca="false">IF(A192="","",IF(N192="","Yeni personel",IF(P192&lt;0,"Kontrol et","")))</f>
        <v/>
      </c>
      <c r="T192" s="14" t="str">
        <f aca="false">IF(A192="","",IF(AND(G192=1,M192&gt;=Ayarlar!$B$6,OR(Ayarlar!$B$11="Tümü",C192=Ayarlar!$B$11)),M192+ROW()/100000,""))</f>
        <v/>
      </c>
    </row>
    <row r="193" customFormat="false" ht="15" hidden="false" customHeight="false" outlineLevel="0" collapsed="false">
      <c r="A193" s="18" t="str">
        <f aca="false">IF(Veri_Guncel!A193="","",Veri_Guncel!A193)</f>
        <v/>
      </c>
      <c r="B193" s="18" t="str">
        <f aca="false">IF($A193="","",Veri_Guncel!B193)</f>
        <v/>
      </c>
      <c r="C193" s="18" t="str">
        <f aca="false">IF($A193="","",Veri_Guncel!C193)</f>
        <v/>
      </c>
      <c r="D193" s="18" t="str">
        <f aca="false">IF($A193="","",Veri_Guncel!D193)</f>
        <v/>
      </c>
      <c r="E193" s="19" t="str">
        <f aca="false">IF($A193="","",Veri_Guncel!E193)</f>
        <v/>
      </c>
      <c r="F193" s="19" t="str">
        <f aca="false">IF($A193="","",Veri_Guncel!F193)</f>
        <v/>
      </c>
      <c r="G193" s="14" t="str">
        <f aca="false">IF(A193="","",IF(COUNTIF(Ayarlar!$A$15:$A$20,C193)&gt;0,1,0))</f>
        <v/>
      </c>
      <c r="H193" s="14" t="str">
        <f aca="false">IF(A193="","",DATEDIF(E193,Ayarlar!$B$3,"y"))</f>
        <v/>
      </c>
      <c r="I193" s="14" t="str">
        <f aca="false">IF(OR(A193="",F193=""),"",DATEDIF(F193,Ayarlar!$B$3,"y"))</f>
        <v/>
      </c>
      <c r="J193" s="14" t="str">
        <f aca="false">IF(A193="","",IF(H193&lt;1,0,MAX(IF(H193&lt;5,14,IF(H193&lt;15,20,26)),IF(AND(I193&lt;&gt;"",OR(I193&lt;=18,I193&gt;=50)),20,0))))</f>
        <v/>
      </c>
      <c r="K193" s="17" t="str">
        <f aca="false">IF(A193="","",EDATE(E193,12*(H193+1)))</f>
        <v/>
      </c>
      <c r="L193" s="14" t="str">
        <f aca="false">IF(A193="","",K193-Ayarlar!$B$3)</f>
        <v/>
      </c>
      <c r="M193" s="18" t="str">
        <f aca="false">IF(A193="","",Veri_Guncel!H193)</f>
        <v/>
      </c>
      <c r="N193" s="18" t="str">
        <f aca="false">IF(A193="","",IFERROR(INDEX(Veri_Onceki!$H:$H,MATCH(A193,Veri_Onceki!$A:$A,0)),""))</f>
        <v/>
      </c>
      <c r="O193" s="14" t="str">
        <f aca="false">IF(A193="","",IF(AND(H193&gt;=1,EDATE(E193,12*H193)&gt;Ayarlar!$B$4,EDATE(E193,12*H193)&lt;=Ayarlar!$B$3),J193,0))</f>
        <v/>
      </c>
      <c r="P193" s="14" t="str">
        <f aca="false">IF(OR(A193="",N193=""),"",N193+O193-M193)</f>
        <v/>
      </c>
      <c r="Q193" s="16" t="str">
        <f aca="false">IF(A193="","",IF(M193&gt;=Ayarlar!$B$7,"ALARM",IF(M193&gt;=Ayarlar!$B$6,"Planla","")))</f>
        <v/>
      </c>
      <c r="R193" s="14" t="str">
        <f aca="false">IF(A193="","",IF(AND(L193&gt;=0,L193&lt;=Ayarlar!$B$9),"Evet",""))</f>
        <v/>
      </c>
      <c r="S193" s="16" t="str">
        <f aca="false">IF(A193="","",IF(N193="","Yeni personel",IF(P193&lt;0,"Kontrol et","")))</f>
        <v/>
      </c>
      <c r="T193" s="14" t="str">
        <f aca="false">IF(A193="","",IF(AND(G193=1,M193&gt;=Ayarlar!$B$6,OR(Ayarlar!$B$11="Tümü",C193=Ayarlar!$B$11)),M193+ROW()/100000,""))</f>
        <v/>
      </c>
    </row>
    <row r="194" customFormat="false" ht="15" hidden="false" customHeight="false" outlineLevel="0" collapsed="false">
      <c r="A194" s="18" t="str">
        <f aca="false">IF(Veri_Guncel!A194="","",Veri_Guncel!A194)</f>
        <v/>
      </c>
      <c r="B194" s="18" t="str">
        <f aca="false">IF($A194="","",Veri_Guncel!B194)</f>
        <v/>
      </c>
      <c r="C194" s="18" t="str">
        <f aca="false">IF($A194="","",Veri_Guncel!C194)</f>
        <v/>
      </c>
      <c r="D194" s="18" t="str">
        <f aca="false">IF($A194="","",Veri_Guncel!D194)</f>
        <v/>
      </c>
      <c r="E194" s="19" t="str">
        <f aca="false">IF($A194="","",Veri_Guncel!E194)</f>
        <v/>
      </c>
      <c r="F194" s="19" t="str">
        <f aca="false">IF($A194="","",Veri_Guncel!F194)</f>
        <v/>
      </c>
      <c r="G194" s="14" t="str">
        <f aca="false">IF(A194="","",IF(COUNTIF(Ayarlar!$A$15:$A$20,C194)&gt;0,1,0))</f>
        <v/>
      </c>
      <c r="H194" s="14" t="str">
        <f aca="false">IF(A194="","",DATEDIF(E194,Ayarlar!$B$3,"y"))</f>
        <v/>
      </c>
      <c r="I194" s="14" t="str">
        <f aca="false">IF(OR(A194="",F194=""),"",DATEDIF(F194,Ayarlar!$B$3,"y"))</f>
        <v/>
      </c>
      <c r="J194" s="14" t="str">
        <f aca="false">IF(A194="","",IF(H194&lt;1,0,MAX(IF(H194&lt;5,14,IF(H194&lt;15,20,26)),IF(AND(I194&lt;&gt;"",OR(I194&lt;=18,I194&gt;=50)),20,0))))</f>
        <v/>
      </c>
      <c r="K194" s="17" t="str">
        <f aca="false">IF(A194="","",EDATE(E194,12*(H194+1)))</f>
        <v/>
      </c>
      <c r="L194" s="14" t="str">
        <f aca="false">IF(A194="","",K194-Ayarlar!$B$3)</f>
        <v/>
      </c>
      <c r="M194" s="18" t="str">
        <f aca="false">IF(A194="","",Veri_Guncel!H194)</f>
        <v/>
      </c>
      <c r="N194" s="18" t="str">
        <f aca="false">IF(A194="","",IFERROR(INDEX(Veri_Onceki!$H:$H,MATCH(A194,Veri_Onceki!$A:$A,0)),""))</f>
        <v/>
      </c>
      <c r="O194" s="14" t="str">
        <f aca="false">IF(A194="","",IF(AND(H194&gt;=1,EDATE(E194,12*H194)&gt;Ayarlar!$B$4,EDATE(E194,12*H194)&lt;=Ayarlar!$B$3),J194,0))</f>
        <v/>
      </c>
      <c r="P194" s="14" t="str">
        <f aca="false">IF(OR(A194="",N194=""),"",N194+O194-M194)</f>
        <v/>
      </c>
      <c r="Q194" s="16" t="str">
        <f aca="false">IF(A194="","",IF(M194&gt;=Ayarlar!$B$7,"ALARM",IF(M194&gt;=Ayarlar!$B$6,"Planla","")))</f>
        <v/>
      </c>
      <c r="R194" s="14" t="str">
        <f aca="false">IF(A194="","",IF(AND(L194&gt;=0,L194&lt;=Ayarlar!$B$9),"Evet",""))</f>
        <v/>
      </c>
      <c r="S194" s="16" t="str">
        <f aca="false">IF(A194="","",IF(N194="","Yeni personel",IF(P194&lt;0,"Kontrol et","")))</f>
        <v/>
      </c>
      <c r="T194" s="14" t="str">
        <f aca="false">IF(A194="","",IF(AND(G194=1,M194&gt;=Ayarlar!$B$6,OR(Ayarlar!$B$11="Tümü",C194=Ayarlar!$B$11)),M194+ROW()/100000,""))</f>
        <v/>
      </c>
    </row>
    <row r="195" customFormat="false" ht="15" hidden="false" customHeight="false" outlineLevel="0" collapsed="false">
      <c r="A195" s="18" t="str">
        <f aca="false">IF(Veri_Guncel!A195="","",Veri_Guncel!A195)</f>
        <v/>
      </c>
      <c r="B195" s="18" t="str">
        <f aca="false">IF($A195="","",Veri_Guncel!B195)</f>
        <v/>
      </c>
      <c r="C195" s="18" t="str">
        <f aca="false">IF($A195="","",Veri_Guncel!C195)</f>
        <v/>
      </c>
      <c r="D195" s="18" t="str">
        <f aca="false">IF($A195="","",Veri_Guncel!D195)</f>
        <v/>
      </c>
      <c r="E195" s="19" t="str">
        <f aca="false">IF($A195="","",Veri_Guncel!E195)</f>
        <v/>
      </c>
      <c r="F195" s="19" t="str">
        <f aca="false">IF($A195="","",Veri_Guncel!F195)</f>
        <v/>
      </c>
      <c r="G195" s="14" t="str">
        <f aca="false">IF(A195="","",IF(COUNTIF(Ayarlar!$A$15:$A$20,C195)&gt;0,1,0))</f>
        <v/>
      </c>
      <c r="H195" s="14" t="str">
        <f aca="false">IF(A195="","",DATEDIF(E195,Ayarlar!$B$3,"y"))</f>
        <v/>
      </c>
      <c r="I195" s="14" t="str">
        <f aca="false">IF(OR(A195="",F195=""),"",DATEDIF(F195,Ayarlar!$B$3,"y"))</f>
        <v/>
      </c>
      <c r="J195" s="14" t="str">
        <f aca="false">IF(A195="","",IF(H195&lt;1,0,MAX(IF(H195&lt;5,14,IF(H195&lt;15,20,26)),IF(AND(I195&lt;&gt;"",OR(I195&lt;=18,I195&gt;=50)),20,0))))</f>
        <v/>
      </c>
      <c r="K195" s="17" t="str">
        <f aca="false">IF(A195="","",EDATE(E195,12*(H195+1)))</f>
        <v/>
      </c>
      <c r="L195" s="14" t="str">
        <f aca="false">IF(A195="","",K195-Ayarlar!$B$3)</f>
        <v/>
      </c>
      <c r="M195" s="18" t="str">
        <f aca="false">IF(A195="","",Veri_Guncel!H195)</f>
        <v/>
      </c>
      <c r="N195" s="18" t="str">
        <f aca="false">IF(A195="","",IFERROR(INDEX(Veri_Onceki!$H:$H,MATCH(A195,Veri_Onceki!$A:$A,0)),""))</f>
        <v/>
      </c>
      <c r="O195" s="14" t="str">
        <f aca="false">IF(A195="","",IF(AND(H195&gt;=1,EDATE(E195,12*H195)&gt;Ayarlar!$B$4,EDATE(E195,12*H195)&lt;=Ayarlar!$B$3),J195,0))</f>
        <v/>
      </c>
      <c r="P195" s="14" t="str">
        <f aca="false">IF(OR(A195="",N195=""),"",N195+O195-M195)</f>
        <v/>
      </c>
      <c r="Q195" s="16" t="str">
        <f aca="false">IF(A195="","",IF(M195&gt;=Ayarlar!$B$7,"ALARM",IF(M195&gt;=Ayarlar!$B$6,"Planla","")))</f>
        <v/>
      </c>
      <c r="R195" s="14" t="str">
        <f aca="false">IF(A195="","",IF(AND(L195&gt;=0,L195&lt;=Ayarlar!$B$9),"Evet",""))</f>
        <v/>
      </c>
      <c r="S195" s="16" t="str">
        <f aca="false">IF(A195="","",IF(N195="","Yeni personel",IF(P195&lt;0,"Kontrol et","")))</f>
        <v/>
      </c>
      <c r="T195" s="14" t="str">
        <f aca="false">IF(A195="","",IF(AND(G195=1,M195&gt;=Ayarlar!$B$6,OR(Ayarlar!$B$11="Tümü",C195=Ayarlar!$B$11)),M195+ROW()/100000,""))</f>
        <v/>
      </c>
    </row>
    <row r="196" customFormat="false" ht="15" hidden="false" customHeight="false" outlineLevel="0" collapsed="false">
      <c r="A196" s="18" t="str">
        <f aca="false">IF(Veri_Guncel!A196="","",Veri_Guncel!A196)</f>
        <v/>
      </c>
      <c r="B196" s="18" t="str">
        <f aca="false">IF($A196="","",Veri_Guncel!B196)</f>
        <v/>
      </c>
      <c r="C196" s="18" t="str">
        <f aca="false">IF($A196="","",Veri_Guncel!C196)</f>
        <v/>
      </c>
      <c r="D196" s="18" t="str">
        <f aca="false">IF($A196="","",Veri_Guncel!D196)</f>
        <v/>
      </c>
      <c r="E196" s="19" t="str">
        <f aca="false">IF($A196="","",Veri_Guncel!E196)</f>
        <v/>
      </c>
      <c r="F196" s="19" t="str">
        <f aca="false">IF($A196="","",Veri_Guncel!F196)</f>
        <v/>
      </c>
      <c r="G196" s="14" t="str">
        <f aca="false">IF(A196="","",IF(COUNTIF(Ayarlar!$A$15:$A$20,C196)&gt;0,1,0))</f>
        <v/>
      </c>
      <c r="H196" s="14" t="str">
        <f aca="false">IF(A196="","",DATEDIF(E196,Ayarlar!$B$3,"y"))</f>
        <v/>
      </c>
      <c r="I196" s="14" t="str">
        <f aca="false">IF(OR(A196="",F196=""),"",DATEDIF(F196,Ayarlar!$B$3,"y"))</f>
        <v/>
      </c>
      <c r="J196" s="14" t="str">
        <f aca="false">IF(A196="","",IF(H196&lt;1,0,MAX(IF(H196&lt;5,14,IF(H196&lt;15,20,26)),IF(AND(I196&lt;&gt;"",OR(I196&lt;=18,I196&gt;=50)),20,0))))</f>
        <v/>
      </c>
      <c r="K196" s="17" t="str">
        <f aca="false">IF(A196="","",EDATE(E196,12*(H196+1)))</f>
        <v/>
      </c>
      <c r="L196" s="14" t="str">
        <f aca="false">IF(A196="","",K196-Ayarlar!$B$3)</f>
        <v/>
      </c>
      <c r="M196" s="18" t="str">
        <f aca="false">IF(A196="","",Veri_Guncel!H196)</f>
        <v/>
      </c>
      <c r="N196" s="18" t="str">
        <f aca="false">IF(A196="","",IFERROR(INDEX(Veri_Onceki!$H:$H,MATCH(A196,Veri_Onceki!$A:$A,0)),""))</f>
        <v/>
      </c>
      <c r="O196" s="14" t="str">
        <f aca="false">IF(A196="","",IF(AND(H196&gt;=1,EDATE(E196,12*H196)&gt;Ayarlar!$B$4,EDATE(E196,12*H196)&lt;=Ayarlar!$B$3),J196,0))</f>
        <v/>
      </c>
      <c r="P196" s="14" t="str">
        <f aca="false">IF(OR(A196="",N196=""),"",N196+O196-M196)</f>
        <v/>
      </c>
      <c r="Q196" s="16" t="str">
        <f aca="false">IF(A196="","",IF(M196&gt;=Ayarlar!$B$7,"ALARM",IF(M196&gt;=Ayarlar!$B$6,"Planla","")))</f>
        <v/>
      </c>
      <c r="R196" s="14" t="str">
        <f aca="false">IF(A196="","",IF(AND(L196&gt;=0,L196&lt;=Ayarlar!$B$9),"Evet",""))</f>
        <v/>
      </c>
      <c r="S196" s="16" t="str">
        <f aca="false">IF(A196="","",IF(N196="","Yeni personel",IF(P196&lt;0,"Kontrol et","")))</f>
        <v/>
      </c>
      <c r="T196" s="14" t="str">
        <f aca="false">IF(A196="","",IF(AND(G196=1,M196&gt;=Ayarlar!$B$6,OR(Ayarlar!$B$11="Tümü",C196=Ayarlar!$B$11)),M196+ROW()/100000,""))</f>
        <v/>
      </c>
    </row>
    <row r="197" customFormat="false" ht="15" hidden="false" customHeight="false" outlineLevel="0" collapsed="false">
      <c r="A197" s="18" t="str">
        <f aca="false">IF(Veri_Guncel!A197="","",Veri_Guncel!A197)</f>
        <v/>
      </c>
      <c r="B197" s="18" t="str">
        <f aca="false">IF($A197="","",Veri_Guncel!B197)</f>
        <v/>
      </c>
      <c r="C197" s="18" t="str">
        <f aca="false">IF($A197="","",Veri_Guncel!C197)</f>
        <v/>
      </c>
      <c r="D197" s="18" t="str">
        <f aca="false">IF($A197="","",Veri_Guncel!D197)</f>
        <v/>
      </c>
      <c r="E197" s="19" t="str">
        <f aca="false">IF($A197="","",Veri_Guncel!E197)</f>
        <v/>
      </c>
      <c r="F197" s="19" t="str">
        <f aca="false">IF($A197="","",Veri_Guncel!F197)</f>
        <v/>
      </c>
      <c r="G197" s="14" t="str">
        <f aca="false">IF(A197="","",IF(COUNTIF(Ayarlar!$A$15:$A$20,C197)&gt;0,1,0))</f>
        <v/>
      </c>
      <c r="H197" s="14" t="str">
        <f aca="false">IF(A197="","",DATEDIF(E197,Ayarlar!$B$3,"y"))</f>
        <v/>
      </c>
      <c r="I197" s="14" t="str">
        <f aca="false">IF(OR(A197="",F197=""),"",DATEDIF(F197,Ayarlar!$B$3,"y"))</f>
        <v/>
      </c>
      <c r="J197" s="14" t="str">
        <f aca="false">IF(A197="","",IF(H197&lt;1,0,MAX(IF(H197&lt;5,14,IF(H197&lt;15,20,26)),IF(AND(I197&lt;&gt;"",OR(I197&lt;=18,I197&gt;=50)),20,0))))</f>
        <v/>
      </c>
      <c r="K197" s="17" t="str">
        <f aca="false">IF(A197="","",EDATE(E197,12*(H197+1)))</f>
        <v/>
      </c>
      <c r="L197" s="14" t="str">
        <f aca="false">IF(A197="","",K197-Ayarlar!$B$3)</f>
        <v/>
      </c>
      <c r="M197" s="18" t="str">
        <f aca="false">IF(A197="","",Veri_Guncel!H197)</f>
        <v/>
      </c>
      <c r="N197" s="18" t="str">
        <f aca="false">IF(A197="","",IFERROR(INDEX(Veri_Onceki!$H:$H,MATCH(A197,Veri_Onceki!$A:$A,0)),""))</f>
        <v/>
      </c>
      <c r="O197" s="14" t="str">
        <f aca="false">IF(A197="","",IF(AND(H197&gt;=1,EDATE(E197,12*H197)&gt;Ayarlar!$B$4,EDATE(E197,12*H197)&lt;=Ayarlar!$B$3),J197,0))</f>
        <v/>
      </c>
      <c r="P197" s="14" t="str">
        <f aca="false">IF(OR(A197="",N197=""),"",N197+O197-M197)</f>
        <v/>
      </c>
      <c r="Q197" s="16" t="str">
        <f aca="false">IF(A197="","",IF(M197&gt;=Ayarlar!$B$7,"ALARM",IF(M197&gt;=Ayarlar!$B$6,"Planla","")))</f>
        <v/>
      </c>
      <c r="R197" s="14" t="str">
        <f aca="false">IF(A197="","",IF(AND(L197&gt;=0,L197&lt;=Ayarlar!$B$9),"Evet",""))</f>
        <v/>
      </c>
      <c r="S197" s="16" t="str">
        <f aca="false">IF(A197="","",IF(N197="","Yeni personel",IF(P197&lt;0,"Kontrol et","")))</f>
        <v/>
      </c>
      <c r="T197" s="14" t="str">
        <f aca="false">IF(A197="","",IF(AND(G197=1,M197&gt;=Ayarlar!$B$6,OR(Ayarlar!$B$11="Tümü",C197=Ayarlar!$B$11)),M197+ROW()/100000,""))</f>
        <v/>
      </c>
    </row>
    <row r="198" customFormat="false" ht="15" hidden="false" customHeight="false" outlineLevel="0" collapsed="false">
      <c r="A198" s="18" t="str">
        <f aca="false">IF(Veri_Guncel!A198="","",Veri_Guncel!A198)</f>
        <v/>
      </c>
      <c r="B198" s="18" t="str">
        <f aca="false">IF($A198="","",Veri_Guncel!B198)</f>
        <v/>
      </c>
      <c r="C198" s="18" t="str">
        <f aca="false">IF($A198="","",Veri_Guncel!C198)</f>
        <v/>
      </c>
      <c r="D198" s="18" t="str">
        <f aca="false">IF($A198="","",Veri_Guncel!D198)</f>
        <v/>
      </c>
      <c r="E198" s="19" t="str">
        <f aca="false">IF($A198="","",Veri_Guncel!E198)</f>
        <v/>
      </c>
      <c r="F198" s="19" t="str">
        <f aca="false">IF($A198="","",Veri_Guncel!F198)</f>
        <v/>
      </c>
      <c r="G198" s="14" t="str">
        <f aca="false">IF(A198="","",IF(COUNTIF(Ayarlar!$A$15:$A$20,C198)&gt;0,1,0))</f>
        <v/>
      </c>
      <c r="H198" s="14" t="str">
        <f aca="false">IF(A198="","",DATEDIF(E198,Ayarlar!$B$3,"y"))</f>
        <v/>
      </c>
      <c r="I198" s="14" t="str">
        <f aca="false">IF(OR(A198="",F198=""),"",DATEDIF(F198,Ayarlar!$B$3,"y"))</f>
        <v/>
      </c>
      <c r="J198" s="14" t="str">
        <f aca="false">IF(A198="","",IF(H198&lt;1,0,MAX(IF(H198&lt;5,14,IF(H198&lt;15,20,26)),IF(AND(I198&lt;&gt;"",OR(I198&lt;=18,I198&gt;=50)),20,0))))</f>
        <v/>
      </c>
      <c r="K198" s="17" t="str">
        <f aca="false">IF(A198="","",EDATE(E198,12*(H198+1)))</f>
        <v/>
      </c>
      <c r="L198" s="14" t="str">
        <f aca="false">IF(A198="","",K198-Ayarlar!$B$3)</f>
        <v/>
      </c>
      <c r="M198" s="18" t="str">
        <f aca="false">IF(A198="","",Veri_Guncel!H198)</f>
        <v/>
      </c>
      <c r="N198" s="18" t="str">
        <f aca="false">IF(A198="","",IFERROR(INDEX(Veri_Onceki!$H:$H,MATCH(A198,Veri_Onceki!$A:$A,0)),""))</f>
        <v/>
      </c>
      <c r="O198" s="14" t="str">
        <f aca="false">IF(A198="","",IF(AND(H198&gt;=1,EDATE(E198,12*H198)&gt;Ayarlar!$B$4,EDATE(E198,12*H198)&lt;=Ayarlar!$B$3),J198,0))</f>
        <v/>
      </c>
      <c r="P198" s="14" t="str">
        <f aca="false">IF(OR(A198="",N198=""),"",N198+O198-M198)</f>
        <v/>
      </c>
      <c r="Q198" s="16" t="str">
        <f aca="false">IF(A198="","",IF(M198&gt;=Ayarlar!$B$7,"ALARM",IF(M198&gt;=Ayarlar!$B$6,"Planla","")))</f>
        <v/>
      </c>
      <c r="R198" s="14" t="str">
        <f aca="false">IF(A198="","",IF(AND(L198&gt;=0,L198&lt;=Ayarlar!$B$9),"Evet",""))</f>
        <v/>
      </c>
      <c r="S198" s="16" t="str">
        <f aca="false">IF(A198="","",IF(N198="","Yeni personel",IF(P198&lt;0,"Kontrol et","")))</f>
        <v/>
      </c>
      <c r="T198" s="14" t="str">
        <f aca="false">IF(A198="","",IF(AND(G198=1,M198&gt;=Ayarlar!$B$6,OR(Ayarlar!$B$11="Tümü",C198=Ayarlar!$B$11)),M198+ROW()/100000,""))</f>
        <v/>
      </c>
    </row>
    <row r="199" customFormat="false" ht="15" hidden="false" customHeight="false" outlineLevel="0" collapsed="false">
      <c r="A199" s="18" t="str">
        <f aca="false">IF(Veri_Guncel!A199="","",Veri_Guncel!A199)</f>
        <v/>
      </c>
      <c r="B199" s="18" t="str">
        <f aca="false">IF($A199="","",Veri_Guncel!B199)</f>
        <v/>
      </c>
      <c r="C199" s="18" t="str">
        <f aca="false">IF($A199="","",Veri_Guncel!C199)</f>
        <v/>
      </c>
      <c r="D199" s="18" t="str">
        <f aca="false">IF($A199="","",Veri_Guncel!D199)</f>
        <v/>
      </c>
      <c r="E199" s="19" t="str">
        <f aca="false">IF($A199="","",Veri_Guncel!E199)</f>
        <v/>
      </c>
      <c r="F199" s="19" t="str">
        <f aca="false">IF($A199="","",Veri_Guncel!F199)</f>
        <v/>
      </c>
      <c r="G199" s="14" t="str">
        <f aca="false">IF(A199="","",IF(COUNTIF(Ayarlar!$A$15:$A$20,C199)&gt;0,1,0))</f>
        <v/>
      </c>
      <c r="H199" s="14" t="str">
        <f aca="false">IF(A199="","",DATEDIF(E199,Ayarlar!$B$3,"y"))</f>
        <v/>
      </c>
      <c r="I199" s="14" t="str">
        <f aca="false">IF(OR(A199="",F199=""),"",DATEDIF(F199,Ayarlar!$B$3,"y"))</f>
        <v/>
      </c>
      <c r="J199" s="14" t="str">
        <f aca="false">IF(A199="","",IF(H199&lt;1,0,MAX(IF(H199&lt;5,14,IF(H199&lt;15,20,26)),IF(AND(I199&lt;&gt;"",OR(I199&lt;=18,I199&gt;=50)),20,0))))</f>
        <v/>
      </c>
      <c r="K199" s="17" t="str">
        <f aca="false">IF(A199="","",EDATE(E199,12*(H199+1)))</f>
        <v/>
      </c>
      <c r="L199" s="14" t="str">
        <f aca="false">IF(A199="","",K199-Ayarlar!$B$3)</f>
        <v/>
      </c>
      <c r="M199" s="18" t="str">
        <f aca="false">IF(A199="","",Veri_Guncel!H199)</f>
        <v/>
      </c>
      <c r="N199" s="18" t="str">
        <f aca="false">IF(A199="","",IFERROR(INDEX(Veri_Onceki!$H:$H,MATCH(A199,Veri_Onceki!$A:$A,0)),""))</f>
        <v/>
      </c>
      <c r="O199" s="14" t="str">
        <f aca="false">IF(A199="","",IF(AND(H199&gt;=1,EDATE(E199,12*H199)&gt;Ayarlar!$B$4,EDATE(E199,12*H199)&lt;=Ayarlar!$B$3),J199,0))</f>
        <v/>
      </c>
      <c r="P199" s="14" t="str">
        <f aca="false">IF(OR(A199="",N199=""),"",N199+O199-M199)</f>
        <v/>
      </c>
      <c r="Q199" s="16" t="str">
        <f aca="false">IF(A199="","",IF(M199&gt;=Ayarlar!$B$7,"ALARM",IF(M199&gt;=Ayarlar!$B$6,"Planla","")))</f>
        <v/>
      </c>
      <c r="R199" s="14" t="str">
        <f aca="false">IF(A199="","",IF(AND(L199&gt;=0,L199&lt;=Ayarlar!$B$9),"Evet",""))</f>
        <v/>
      </c>
      <c r="S199" s="16" t="str">
        <f aca="false">IF(A199="","",IF(N199="","Yeni personel",IF(P199&lt;0,"Kontrol et","")))</f>
        <v/>
      </c>
      <c r="T199" s="14" t="str">
        <f aca="false">IF(A199="","",IF(AND(G199=1,M199&gt;=Ayarlar!$B$6,OR(Ayarlar!$B$11="Tümü",C199=Ayarlar!$B$11)),M199+ROW()/100000,""))</f>
        <v/>
      </c>
    </row>
    <row r="200" customFormat="false" ht="15" hidden="false" customHeight="false" outlineLevel="0" collapsed="false">
      <c r="A200" s="18" t="str">
        <f aca="false">IF(Veri_Guncel!A200="","",Veri_Guncel!A200)</f>
        <v/>
      </c>
      <c r="B200" s="18" t="str">
        <f aca="false">IF($A200="","",Veri_Guncel!B200)</f>
        <v/>
      </c>
      <c r="C200" s="18" t="str">
        <f aca="false">IF($A200="","",Veri_Guncel!C200)</f>
        <v/>
      </c>
      <c r="D200" s="18" t="str">
        <f aca="false">IF($A200="","",Veri_Guncel!D200)</f>
        <v/>
      </c>
      <c r="E200" s="19" t="str">
        <f aca="false">IF($A200="","",Veri_Guncel!E200)</f>
        <v/>
      </c>
      <c r="F200" s="19" t="str">
        <f aca="false">IF($A200="","",Veri_Guncel!F200)</f>
        <v/>
      </c>
      <c r="G200" s="14" t="str">
        <f aca="false">IF(A200="","",IF(COUNTIF(Ayarlar!$A$15:$A$20,C200)&gt;0,1,0))</f>
        <v/>
      </c>
      <c r="H200" s="14" t="str">
        <f aca="false">IF(A200="","",DATEDIF(E200,Ayarlar!$B$3,"y"))</f>
        <v/>
      </c>
      <c r="I200" s="14" t="str">
        <f aca="false">IF(OR(A200="",F200=""),"",DATEDIF(F200,Ayarlar!$B$3,"y"))</f>
        <v/>
      </c>
      <c r="J200" s="14" t="str">
        <f aca="false">IF(A200="","",IF(H200&lt;1,0,MAX(IF(H200&lt;5,14,IF(H200&lt;15,20,26)),IF(AND(I200&lt;&gt;"",OR(I200&lt;=18,I200&gt;=50)),20,0))))</f>
        <v/>
      </c>
      <c r="K200" s="17" t="str">
        <f aca="false">IF(A200="","",EDATE(E200,12*(H200+1)))</f>
        <v/>
      </c>
      <c r="L200" s="14" t="str">
        <f aca="false">IF(A200="","",K200-Ayarlar!$B$3)</f>
        <v/>
      </c>
      <c r="M200" s="18" t="str">
        <f aca="false">IF(A200="","",Veri_Guncel!H200)</f>
        <v/>
      </c>
      <c r="N200" s="18" t="str">
        <f aca="false">IF(A200="","",IFERROR(INDEX(Veri_Onceki!$H:$H,MATCH(A200,Veri_Onceki!$A:$A,0)),""))</f>
        <v/>
      </c>
      <c r="O200" s="14" t="str">
        <f aca="false">IF(A200="","",IF(AND(H200&gt;=1,EDATE(E200,12*H200)&gt;Ayarlar!$B$4,EDATE(E200,12*H200)&lt;=Ayarlar!$B$3),J200,0))</f>
        <v/>
      </c>
      <c r="P200" s="14" t="str">
        <f aca="false">IF(OR(A200="",N200=""),"",N200+O200-M200)</f>
        <v/>
      </c>
      <c r="Q200" s="16" t="str">
        <f aca="false">IF(A200="","",IF(M200&gt;=Ayarlar!$B$7,"ALARM",IF(M200&gt;=Ayarlar!$B$6,"Planla","")))</f>
        <v/>
      </c>
      <c r="R200" s="14" t="str">
        <f aca="false">IF(A200="","",IF(AND(L200&gt;=0,L200&lt;=Ayarlar!$B$9),"Evet",""))</f>
        <v/>
      </c>
      <c r="S200" s="16" t="str">
        <f aca="false">IF(A200="","",IF(N200="","Yeni personel",IF(P200&lt;0,"Kontrol et","")))</f>
        <v/>
      </c>
      <c r="T200" s="14" t="str">
        <f aca="false">IF(A200="","",IF(AND(G200=1,M200&gt;=Ayarlar!$B$6,OR(Ayarlar!$B$11="Tümü",C200=Ayarlar!$B$11)),M200+ROW()/100000,""))</f>
        <v/>
      </c>
    </row>
    <row r="201" customFormat="false" ht="15" hidden="false" customHeight="false" outlineLevel="0" collapsed="false">
      <c r="A201" s="18" t="str">
        <f aca="false">IF(Veri_Guncel!A201="","",Veri_Guncel!A201)</f>
        <v/>
      </c>
      <c r="B201" s="18" t="str">
        <f aca="false">IF($A201="","",Veri_Guncel!B201)</f>
        <v/>
      </c>
      <c r="C201" s="18" t="str">
        <f aca="false">IF($A201="","",Veri_Guncel!C201)</f>
        <v/>
      </c>
      <c r="D201" s="18" t="str">
        <f aca="false">IF($A201="","",Veri_Guncel!D201)</f>
        <v/>
      </c>
      <c r="E201" s="19" t="str">
        <f aca="false">IF($A201="","",Veri_Guncel!E201)</f>
        <v/>
      </c>
      <c r="F201" s="19" t="str">
        <f aca="false">IF($A201="","",Veri_Guncel!F201)</f>
        <v/>
      </c>
      <c r="G201" s="14" t="str">
        <f aca="false">IF(A201="","",IF(COUNTIF(Ayarlar!$A$15:$A$20,C201)&gt;0,1,0))</f>
        <v/>
      </c>
      <c r="H201" s="14" t="str">
        <f aca="false">IF(A201="","",DATEDIF(E201,Ayarlar!$B$3,"y"))</f>
        <v/>
      </c>
      <c r="I201" s="14" t="str">
        <f aca="false">IF(OR(A201="",F201=""),"",DATEDIF(F201,Ayarlar!$B$3,"y"))</f>
        <v/>
      </c>
      <c r="J201" s="14" t="str">
        <f aca="false">IF(A201="","",IF(H201&lt;1,0,MAX(IF(H201&lt;5,14,IF(H201&lt;15,20,26)),IF(AND(I201&lt;&gt;"",OR(I201&lt;=18,I201&gt;=50)),20,0))))</f>
        <v/>
      </c>
      <c r="K201" s="17" t="str">
        <f aca="false">IF(A201="","",EDATE(E201,12*(H201+1)))</f>
        <v/>
      </c>
      <c r="L201" s="14" t="str">
        <f aca="false">IF(A201="","",K201-Ayarlar!$B$3)</f>
        <v/>
      </c>
      <c r="M201" s="18" t="str">
        <f aca="false">IF(A201="","",Veri_Guncel!H201)</f>
        <v/>
      </c>
      <c r="N201" s="18" t="str">
        <f aca="false">IF(A201="","",IFERROR(INDEX(Veri_Onceki!$H:$H,MATCH(A201,Veri_Onceki!$A:$A,0)),""))</f>
        <v/>
      </c>
      <c r="O201" s="14" t="str">
        <f aca="false">IF(A201="","",IF(AND(H201&gt;=1,EDATE(E201,12*H201)&gt;Ayarlar!$B$4,EDATE(E201,12*H201)&lt;=Ayarlar!$B$3),J201,0))</f>
        <v/>
      </c>
      <c r="P201" s="14" t="str">
        <f aca="false">IF(OR(A201="",N201=""),"",N201+O201-M201)</f>
        <v/>
      </c>
      <c r="Q201" s="16" t="str">
        <f aca="false">IF(A201="","",IF(M201&gt;=Ayarlar!$B$7,"ALARM",IF(M201&gt;=Ayarlar!$B$6,"Planla","")))</f>
        <v/>
      </c>
      <c r="R201" s="14" t="str">
        <f aca="false">IF(A201="","",IF(AND(L201&gt;=0,L201&lt;=Ayarlar!$B$9),"Evet",""))</f>
        <v/>
      </c>
      <c r="S201" s="16" t="str">
        <f aca="false">IF(A201="","",IF(N201="","Yeni personel",IF(P201&lt;0,"Kontrol et","")))</f>
        <v/>
      </c>
      <c r="T201" s="14" t="str">
        <f aca="false">IF(A201="","",IF(AND(G201=1,M201&gt;=Ayarlar!$B$6,OR(Ayarlar!$B$11="Tümü",C201=Ayarlar!$B$11)),M201+ROW()/100000,""))</f>
        <v/>
      </c>
    </row>
    <row r="202" customFormat="false" ht="15" hidden="false" customHeight="false" outlineLevel="0" collapsed="false">
      <c r="A202" s="18" t="str">
        <f aca="false">IF(Veri_Guncel!A202="","",Veri_Guncel!A202)</f>
        <v/>
      </c>
      <c r="B202" s="18" t="str">
        <f aca="false">IF($A202="","",Veri_Guncel!B202)</f>
        <v/>
      </c>
      <c r="C202" s="18" t="str">
        <f aca="false">IF($A202="","",Veri_Guncel!C202)</f>
        <v/>
      </c>
      <c r="D202" s="18" t="str">
        <f aca="false">IF($A202="","",Veri_Guncel!D202)</f>
        <v/>
      </c>
      <c r="E202" s="19" t="str">
        <f aca="false">IF($A202="","",Veri_Guncel!E202)</f>
        <v/>
      </c>
      <c r="F202" s="19" t="str">
        <f aca="false">IF($A202="","",Veri_Guncel!F202)</f>
        <v/>
      </c>
      <c r="G202" s="14" t="str">
        <f aca="false">IF(A202="","",IF(COUNTIF(Ayarlar!$A$15:$A$20,C202)&gt;0,1,0))</f>
        <v/>
      </c>
      <c r="H202" s="14" t="str">
        <f aca="false">IF(A202="","",DATEDIF(E202,Ayarlar!$B$3,"y"))</f>
        <v/>
      </c>
      <c r="I202" s="14" t="str">
        <f aca="false">IF(OR(A202="",F202=""),"",DATEDIF(F202,Ayarlar!$B$3,"y"))</f>
        <v/>
      </c>
      <c r="J202" s="14" t="str">
        <f aca="false">IF(A202="","",IF(H202&lt;1,0,MAX(IF(H202&lt;5,14,IF(H202&lt;15,20,26)),IF(AND(I202&lt;&gt;"",OR(I202&lt;=18,I202&gt;=50)),20,0))))</f>
        <v/>
      </c>
      <c r="K202" s="17" t="str">
        <f aca="false">IF(A202="","",EDATE(E202,12*(H202+1)))</f>
        <v/>
      </c>
      <c r="L202" s="14" t="str">
        <f aca="false">IF(A202="","",K202-Ayarlar!$B$3)</f>
        <v/>
      </c>
      <c r="M202" s="18" t="str">
        <f aca="false">IF(A202="","",Veri_Guncel!H202)</f>
        <v/>
      </c>
      <c r="N202" s="18" t="str">
        <f aca="false">IF(A202="","",IFERROR(INDEX(Veri_Onceki!$H:$H,MATCH(A202,Veri_Onceki!$A:$A,0)),""))</f>
        <v/>
      </c>
      <c r="O202" s="14" t="str">
        <f aca="false">IF(A202="","",IF(AND(H202&gt;=1,EDATE(E202,12*H202)&gt;Ayarlar!$B$4,EDATE(E202,12*H202)&lt;=Ayarlar!$B$3),J202,0))</f>
        <v/>
      </c>
      <c r="P202" s="14" t="str">
        <f aca="false">IF(OR(A202="",N202=""),"",N202+O202-M202)</f>
        <v/>
      </c>
      <c r="Q202" s="16" t="str">
        <f aca="false">IF(A202="","",IF(M202&gt;=Ayarlar!$B$7,"ALARM",IF(M202&gt;=Ayarlar!$B$6,"Planla","")))</f>
        <v/>
      </c>
      <c r="R202" s="14" t="str">
        <f aca="false">IF(A202="","",IF(AND(L202&gt;=0,L202&lt;=Ayarlar!$B$9),"Evet",""))</f>
        <v/>
      </c>
      <c r="S202" s="16" t="str">
        <f aca="false">IF(A202="","",IF(N202="","Yeni personel",IF(P202&lt;0,"Kontrol et","")))</f>
        <v/>
      </c>
      <c r="T202" s="14" t="str">
        <f aca="false">IF(A202="","",IF(AND(G202=1,M202&gt;=Ayarlar!$B$6,OR(Ayarlar!$B$11="Tümü",C202=Ayarlar!$B$11)),M202+ROW()/100000,""))</f>
        <v/>
      </c>
    </row>
    <row r="203" customFormat="false" ht="15" hidden="false" customHeight="false" outlineLevel="0" collapsed="false">
      <c r="A203" s="18" t="str">
        <f aca="false">IF(Veri_Guncel!A203="","",Veri_Guncel!A203)</f>
        <v/>
      </c>
      <c r="B203" s="18" t="str">
        <f aca="false">IF($A203="","",Veri_Guncel!B203)</f>
        <v/>
      </c>
      <c r="C203" s="18" t="str">
        <f aca="false">IF($A203="","",Veri_Guncel!C203)</f>
        <v/>
      </c>
      <c r="D203" s="18" t="str">
        <f aca="false">IF($A203="","",Veri_Guncel!D203)</f>
        <v/>
      </c>
      <c r="E203" s="19" t="str">
        <f aca="false">IF($A203="","",Veri_Guncel!E203)</f>
        <v/>
      </c>
      <c r="F203" s="19" t="str">
        <f aca="false">IF($A203="","",Veri_Guncel!F203)</f>
        <v/>
      </c>
      <c r="G203" s="14" t="str">
        <f aca="false">IF(A203="","",IF(COUNTIF(Ayarlar!$A$15:$A$20,C203)&gt;0,1,0))</f>
        <v/>
      </c>
      <c r="H203" s="14" t="str">
        <f aca="false">IF(A203="","",DATEDIF(E203,Ayarlar!$B$3,"y"))</f>
        <v/>
      </c>
      <c r="I203" s="14" t="str">
        <f aca="false">IF(OR(A203="",F203=""),"",DATEDIF(F203,Ayarlar!$B$3,"y"))</f>
        <v/>
      </c>
      <c r="J203" s="14" t="str">
        <f aca="false">IF(A203="","",IF(H203&lt;1,0,MAX(IF(H203&lt;5,14,IF(H203&lt;15,20,26)),IF(AND(I203&lt;&gt;"",OR(I203&lt;=18,I203&gt;=50)),20,0))))</f>
        <v/>
      </c>
      <c r="K203" s="17" t="str">
        <f aca="false">IF(A203="","",EDATE(E203,12*(H203+1)))</f>
        <v/>
      </c>
      <c r="L203" s="14" t="str">
        <f aca="false">IF(A203="","",K203-Ayarlar!$B$3)</f>
        <v/>
      </c>
      <c r="M203" s="18" t="str">
        <f aca="false">IF(A203="","",Veri_Guncel!H203)</f>
        <v/>
      </c>
      <c r="N203" s="18" t="str">
        <f aca="false">IF(A203="","",IFERROR(INDEX(Veri_Onceki!$H:$H,MATCH(A203,Veri_Onceki!$A:$A,0)),""))</f>
        <v/>
      </c>
      <c r="O203" s="14" t="str">
        <f aca="false">IF(A203="","",IF(AND(H203&gt;=1,EDATE(E203,12*H203)&gt;Ayarlar!$B$4,EDATE(E203,12*H203)&lt;=Ayarlar!$B$3),J203,0))</f>
        <v/>
      </c>
      <c r="P203" s="14" t="str">
        <f aca="false">IF(OR(A203="",N203=""),"",N203+O203-M203)</f>
        <v/>
      </c>
      <c r="Q203" s="16" t="str">
        <f aca="false">IF(A203="","",IF(M203&gt;=Ayarlar!$B$7,"ALARM",IF(M203&gt;=Ayarlar!$B$6,"Planla","")))</f>
        <v/>
      </c>
      <c r="R203" s="14" t="str">
        <f aca="false">IF(A203="","",IF(AND(L203&gt;=0,L203&lt;=Ayarlar!$B$9),"Evet",""))</f>
        <v/>
      </c>
      <c r="S203" s="16" t="str">
        <f aca="false">IF(A203="","",IF(N203="","Yeni personel",IF(P203&lt;0,"Kontrol et","")))</f>
        <v/>
      </c>
      <c r="T203" s="14" t="str">
        <f aca="false">IF(A203="","",IF(AND(G203=1,M203&gt;=Ayarlar!$B$6,OR(Ayarlar!$B$11="Tümü",C203=Ayarlar!$B$11)),M203+ROW()/100000,""))</f>
        <v/>
      </c>
    </row>
    <row r="204" customFormat="false" ht="15" hidden="false" customHeight="false" outlineLevel="0" collapsed="false">
      <c r="A204" s="18" t="str">
        <f aca="false">IF(Veri_Guncel!A204="","",Veri_Guncel!A204)</f>
        <v/>
      </c>
      <c r="B204" s="18" t="str">
        <f aca="false">IF($A204="","",Veri_Guncel!B204)</f>
        <v/>
      </c>
      <c r="C204" s="18" t="str">
        <f aca="false">IF($A204="","",Veri_Guncel!C204)</f>
        <v/>
      </c>
      <c r="D204" s="18" t="str">
        <f aca="false">IF($A204="","",Veri_Guncel!D204)</f>
        <v/>
      </c>
      <c r="E204" s="19" t="str">
        <f aca="false">IF($A204="","",Veri_Guncel!E204)</f>
        <v/>
      </c>
      <c r="F204" s="19" t="str">
        <f aca="false">IF($A204="","",Veri_Guncel!F204)</f>
        <v/>
      </c>
      <c r="G204" s="14" t="str">
        <f aca="false">IF(A204="","",IF(COUNTIF(Ayarlar!$A$15:$A$20,C204)&gt;0,1,0))</f>
        <v/>
      </c>
      <c r="H204" s="14" t="str">
        <f aca="false">IF(A204="","",DATEDIF(E204,Ayarlar!$B$3,"y"))</f>
        <v/>
      </c>
      <c r="I204" s="14" t="str">
        <f aca="false">IF(OR(A204="",F204=""),"",DATEDIF(F204,Ayarlar!$B$3,"y"))</f>
        <v/>
      </c>
      <c r="J204" s="14" t="str">
        <f aca="false">IF(A204="","",IF(H204&lt;1,0,MAX(IF(H204&lt;5,14,IF(H204&lt;15,20,26)),IF(AND(I204&lt;&gt;"",OR(I204&lt;=18,I204&gt;=50)),20,0))))</f>
        <v/>
      </c>
      <c r="K204" s="17" t="str">
        <f aca="false">IF(A204="","",EDATE(E204,12*(H204+1)))</f>
        <v/>
      </c>
      <c r="L204" s="14" t="str">
        <f aca="false">IF(A204="","",K204-Ayarlar!$B$3)</f>
        <v/>
      </c>
      <c r="M204" s="18" t="str">
        <f aca="false">IF(A204="","",Veri_Guncel!H204)</f>
        <v/>
      </c>
      <c r="N204" s="18" t="str">
        <f aca="false">IF(A204="","",IFERROR(INDEX(Veri_Onceki!$H:$H,MATCH(A204,Veri_Onceki!$A:$A,0)),""))</f>
        <v/>
      </c>
      <c r="O204" s="14" t="str">
        <f aca="false">IF(A204="","",IF(AND(H204&gt;=1,EDATE(E204,12*H204)&gt;Ayarlar!$B$4,EDATE(E204,12*H204)&lt;=Ayarlar!$B$3),J204,0))</f>
        <v/>
      </c>
      <c r="P204" s="14" t="str">
        <f aca="false">IF(OR(A204="",N204=""),"",N204+O204-M204)</f>
        <v/>
      </c>
      <c r="Q204" s="16" t="str">
        <f aca="false">IF(A204="","",IF(M204&gt;=Ayarlar!$B$7,"ALARM",IF(M204&gt;=Ayarlar!$B$6,"Planla","")))</f>
        <v/>
      </c>
      <c r="R204" s="14" t="str">
        <f aca="false">IF(A204="","",IF(AND(L204&gt;=0,L204&lt;=Ayarlar!$B$9),"Evet",""))</f>
        <v/>
      </c>
      <c r="S204" s="16" t="str">
        <f aca="false">IF(A204="","",IF(N204="","Yeni personel",IF(P204&lt;0,"Kontrol et","")))</f>
        <v/>
      </c>
      <c r="T204" s="14" t="str">
        <f aca="false">IF(A204="","",IF(AND(G204=1,M204&gt;=Ayarlar!$B$6,OR(Ayarlar!$B$11="Tümü",C204=Ayarlar!$B$11)),M204+ROW()/100000,""))</f>
        <v/>
      </c>
    </row>
    <row r="205" customFormat="false" ht="15" hidden="false" customHeight="false" outlineLevel="0" collapsed="false">
      <c r="A205" s="18" t="str">
        <f aca="false">IF(Veri_Guncel!A205="","",Veri_Guncel!A205)</f>
        <v/>
      </c>
      <c r="B205" s="18" t="str">
        <f aca="false">IF($A205="","",Veri_Guncel!B205)</f>
        <v/>
      </c>
      <c r="C205" s="18" t="str">
        <f aca="false">IF($A205="","",Veri_Guncel!C205)</f>
        <v/>
      </c>
      <c r="D205" s="18" t="str">
        <f aca="false">IF($A205="","",Veri_Guncel!D205)</f>
        <v/>
      </c>
      <c r="E205" s="19" t="str">
        <f aca="false">IF($A205="","",Veri_Guncel!E205)</f>
        <v/>
      </c>
      <c r="F205" s="19" t="str">
        <f aca="false">IF($A205="","",Veri_Guncel!F205)</f>
        <v/>
      </c>
      <c r="G205" s="14" t="str">
        <f aca="false">IF(A205="","",IF(COUNTIF(Ayarlar!$A$15:$A$20,C205)&gt;0,1,0))</f>
        <v/>
      </c>
      <c r="H205" s="14" t="str">
        <f aca="false">IF(A205="","",DATEDIF(E205,Ayarlar!$B$3,"y"))</f>
        <v/>
      </c>
      <c r="I205" s="14" t="str">
        <f aca="false">IF(OR(A205="",F205=""),"",DATEDIF(F205,Ayarlar!$B$3,"y"))</f>
        <v/>
      </c>
      <c r="J205" s="14" t="str">
        <f aca="false">IF(A205="","",IF(H205&lt;1,0,MAX(IF(H205&lt;5,14,IF(H205&lt;15,20,26)),IF(AND(I205&lt;&gt;"",OR(I205&lt;=18,I205&gt;=50)),20,0))))</f>
        <v/>
      </c>
      <c r="K205" s="17" t="str">
        <f aca="false">IF(A205="","",EDATE(E205,12*(H205+1)))</f>
        <v/>
      </c>
      <c r="L205" s="14" t="str">
        <f aca="false">IF(A205="","",K205-Ayarlar!$B$3)</f>
        <v/>
      </c>
      <c r="M205" s="18" t="str">
        <f aca="false">IF(A205="","",Veri_Guncel!H205)</f>
        <v/>
      </c>
      <c r="N205" s="18" t="str">
        <f aca="false">IF(A205="","",IFERROR(INDEX(Veri_Onceki!$H:$H,MATCH(A205,Veri_Onceki!$A:$A,0)),""))</f>
        <v/>
      </c>
      <c r="O205" s="14" t="str">
        <f aca="false">IF(A205="","",IF(AND(H205&gt;=1,EDATE(E205,12*H205)&gt;Ayarlar!$B$4,EDATE(E205,12*H205)&lt;=Ayarlar!$B$3),J205,0))</f>
        <v/>
      </c>
      <c r="P205" s="14" t="str">
        <f aca="false">IF(OR(A205="",N205=""),"",N205+O205-M205)</f>
        <v/>
      </c>
      <c r="Q205" s="16" t="str">
        <f aca="false">IF(A205="","",IF(M205&gt;=Ayarlar!$B$7,"ALARM",IF(M205&gt;=Ayarlar!$B$6,"Planla","")))</f>
        <v/>
      </c>
      <c r="R205" s="14" t="str">
        <f aca="false">IF(A205="","",IF(AND(L205&gt;=0,L205&lt;=Ayarlar!$B$9),"Evet",""))</f>
        <v/>
      </c>
      <c r="S205" s="16" t="str">
        <f aca="false">IF(A205="","",IF(N205="","Yeni personel",IF(P205&lt;0,"Kontrol et","")))</f>
        <v/>
      </c>
      <c r="T205" s="14" t="str">
        <f aca="false">IF(A205="","",IF(AND(G205=1,M205&gt;=Ayarlar!$B$6,OR(Ayarlar!$B$11="Tümü",C205=Ayarlar!$B$11)),M205+ROW()/100000,""))</f>
        <v/>
      </c>
    </row>
    <row r="206" customFormat="false" ht="15" hidden="false" customHeight="false" outlineLevel="0" collapsed="false">
      <c r="A206" s="18" t="str">
        <f aca="false">IF(Veri_Guncel!A206="","",Veri_Guncel!A206)</f>
        <v/>
      </c>
      <c r="B206" s="18" t="str">
        <f aca="false">IF($A206="","",Veri_Guncel!B206)</f>
        <v/>
      </c>
      <c r="C206" s="18" t="str">
        <f aca="false">IF($A206="","",Veri_Guncel!C206)</f>
        <v/>
      </c>
      <c r="D206" s="18" t="str">
        <f aca="false">IF($A206="","",Veri_Guncel!D206)</f>
        <v/>
      </c>
      <c r="E206" s="19" t="str">
        <f aca="false">IF($A206="","",Veri_Guncel!E206)</f>
        <v/>
      </c>
      <c r="F206" s="19" t="str">
        <f aca="false">IF($A206="","",Veri_Guncel!F206)</f>
        <v/>
      </c>
      <c r="G206" s="14" t="str">
        <f aca="false">IF(A206="","",IF(COUNTIF(Ayarlar!$A$15:$A$20,C206)&gt;0,1,0))</f>
        <v/>
      </c>
      <c r="H206" s="14" t="str">
        <f aca="false">IF(A206="","",DATEDIF(E206,Ayarlar!$B$3,"y"))</f>
        <v/>
      </c>
      <c r="I206" s="14" t="str">
        <f aca="false">IF(OR(A206="",F206=""),"",DATEDIF(F206,Ayarlar!$B$3,"y"))</f>
        <v/>
      </c>
      <c r="J206" s="14" t="str">
        <f aca="false">IF(A206="","",IF(H206&lt;1,0,MAX(IF(H206&lt;5,14,IF(H206&lt;15,20,26)),IF(AND(I206&lt;&gt;"",OR(I206&lt;=18,I206&gt;=50)),20,0))))</f>
        <v/>
      </c>
      <c r="K206" s="17" t="str">
        <f aca="false">IF(A206="","",EDATE(E206,12*(H206+1)))</f>
        <v/>
      </c>
      <c r="L206" s="14" t="str">
        <f aca="false">IF(A206="","",K206-Ayarlar!$B$3)</f>
        <v/>
      </c>
      <c r="M206" s="18" t="str">
        <f aca="false">IF(A206="","",Veri_Guncel!H206)</f>
        <v/>
      </c>
      <c r="N206" s="18" t="str">
        <f aca="false">IF(A206="","",IFERROR(INDEX(Veri_Onceki!$H:$H,MATCH(A206,Veri_Onceki!$A:$A,0)),""))</f>
        <v/>
      </c>
      <c r="O206" s="14" t="str">
        <f aca="false">IF(A206="","",IF(AND(H206&gt;=1,EDATE(E206,12*H206)&gt;Ayarlar!$B$4,EDATE(E206,12*H206)&lt;=Ayarlar!$B$3),J206,0))</f>
        <v/>
      </c>
      <c r="P206" s="14" t="str">
        <f aca="false">IF(OR(A206="",N206=""),"",N206+O206-M206)</f>
        <v/>
      </c>
      <c r="Q206" s="16" t="str">
        <f aca="false">IF(A206="","",IF(M206&gt;=Ayarlar!$B$7,"ALARM",IF(M206&gt;=Ayarlar!$B$6,"Planla","")))</f>
        <v/>
      </c>
      <c r="R206" s="14" t="str">
        <f aca="false">IF(A206="","",IF(AND(L206&gt;=0,L206&lt;=Ayarlar!$B$9),"Evet",""))</f>
        <v/>
      </c>
      <c r="S206" s="16" t="str">
        <f aca="false">IF(A206="","",IF(N206="","Yeni personel",IF(P206&lt;0,"Kontrol et","")))</f>
        <v/>
      </c>
      <c r="T206" s="14" t="str">
        <f aca="false">IF(A206="","",IF(AND(G206=1,M206&gt;=Ayarlar!$B$6,OR(Ayarlar!$B$11="Tümü",C206=Ayarlar!$B$11)),M206+ROW()/100000,""))</f>
        <v/>
      </c>
    </row>
    <row r="207" customFormat="false" ht="15" hidden="false" customHeight="false" outlineLevel="0" collapsed="false">
      <c r="A207" s="18" t="str">
        <f aca="false">IF(Veri_Guncel!A207="","",Veri_Guncel!A207)</f>
        <v/>
      </c>
      <c r="B207" s="18" t="str">
        <f aca="false">IF($A207="","",Veri_Guncel!B207)</f>
        <v/>
      </c>
      <c r="C207" s="18" t="str">
        <f aca="false">IF($A207="","",Veri_Guncel!C207)</f>
        <v/>
      </c>
      <c r="D207" s="18" t="str">
        <f aca="false">IF($A207="","",Veri_Guncel!D207)</f>
        <v/>
      </c>
      <c r="E207" s="19" t="str">
        <f aca="false">IF($A207="","",Veri_Guncel!E207)</f>
        <v/>
      </c>
      <c r="F207" s="19" t="str">
        <f aca="false">IF($A207="","",Veri_Guncel!F207)</f>
        <v/>
      </c>
      <c r="G207" s="14" t="str">
        <f aca="false">IF(A207="","",IF(COUNTIF(Ayarlar!$A$15:$A$20,C207)&gt;0,1,0))</f>
        <v/>
      </c>
      <c r="H207" s="14" t="str">
        <f aca="false">IF(A207="","",DATEDIF(E207,Ayarlar!$B$3,"y"))</f>
        <v/>
      </c>
      <c r="I207" s="14" t="str">
        <f aca="false">IF(OR(A207="",F207=""),"",DATEDIF(F207,Ayarlar!$B$3,"y"))</f>
        <v/>
      </c>
      <c r="J207" s="14" t="str">
        <f aca="false">IF(A207="","",IF(H207&lt;1,0,MAX(IF(H207&lt;5,14,IF(H207&lt;15,20,26)),IF(AND(I207&lt;&gt;"",OR(I207&lt;=18,I207&gt;=50)),20,0))))</f>
        <v/>
      </c>
      <c r="K207" s="17" t="str">
        <f aca="false">IF(A207="","",EDATE(E207,12*(H207+1)))</f>
        <v/>
      </c>
      <c r="L207" s="14" t="str">
        <f aca="false">IF(A207="","",K207-Ayarlar!$B$3)</f>
        <v/>
      </c>
      <c r="M207" s="18" t="str">
        <f aca="false">IF(A207="","",Veri_Guncel!H207)</f>
        <v/>
      </c>
      <c r="N207" s="18" t="str">
        <f aca="false">IF(A207="","",IFERROR(INDEX(Veri_Onceki!$H:$H,MATCH(A207,Veri_Onceki!$A:$A,0)),""))</f>
        <v/>
      </c>
      <c r="O207" s="14" t="str">
        <f aca="false">IF(A207="","",IF(AND(H207&gt;=1,EDATE(E207,12*H207)&gt;Ayarlar!$B$4,EDATE(E207,12*H207)&lt;=Ayarlar!$B$3),J207,0))</f>
        <v/>
      </c>
      <c r="P207" s="14" t="str">
        <f aca="false">IF(OR(A207="",N207=""),"",N207+O207-M207)</f>
        <v/>
      </c>
      <c r="Q207" s="16" t="str">
        <f aca="false">IF(A207="","",IF(M207&gt;=Ayarlar!$B$7,"ALARM",IF(M207&gt;=Ayarlar!$B$6,"Planla","")))</f>
        <v/>
      </c>
      <c r="R207" s="14" t="str">
        <f aca="false">IF(A207="","",IF(AND(L207&gt;=0,L207&lt;=Ayarlar!$B$9),"Evet",""))</f>
        <v/>
      </c>
      <c r="S207" s="16" t="str">
        <f aca="false">IF(A207="","",IF(N207="","Yeni personel",IF(P207&lt;0,"Kontrol et","")))</f>
        <v/>
      </c>
      <c r="T207" s="14" t="str">
        <f aca="false">IF(A207="","",IF(AND(G207=1,M207&gt;=Ayarlar!$B$6,OR(Ayarlar!$B$11="Tümü",C207=Ayarlar!$B$11)),M207+ROW()/100000,""))</f>
        <v/>
      </c>
    </row>
    <row r="208" customFormat="false" ht="15" hidden="false" customHeight="false" outlineLevel="0" collapsed="false">
      <c r="A208" s="18" t="str">
        <f aca="false">IF(Veri_Guncel!A208="","",Veri_Guncel!A208)</f>
        <v/>
      </c>
      <c r="B208" s="18" t="str">
        <f aca="false">IF($A208="","",Veri_Guncel!B208)</f>
        <v/>
      </c>
      <c r="C208" s="18" t="str">
        <f aca="false">IF($A208="","",Veri_Guncel!C208)</f>
        <v/>
      </c>
      <c r="D208" s="18" t="str">
        <f aca="false">IF($A208="","",Veri_Guncel!D208)</f>
        <v/>
      </c>
      <c r="E208" s="19" t="str">
        <f aca="false">IF($A208="","",Veri_Guncel!E208)</f>
        <v/>
      </c>
      <c r="F208" s="19" t="str">
        <f aca="false">IF($A208="","",Veri_Guncel!F208)</f>
        <v/>
      </c>
      <c r="G208" s="14" t="str">
        <f aca="false">IF(A208="","",IF(COUNTIF(Ayarlar!$A$15:$A$20,C208)&gt;0,1,0))</f>
        <v/>
      </c>
      <c r="H208" s="14" t="str">
        <f aca="false">IF(A208="","",DATEDIF(E208,Ayarlar!$B$3,"y"))</f>
        <v/>
      </c>
      <c r="I208" s="14" t="str">
        <f aca="false">IF(OR(A208="",F208=""),"",DATEDIF(F208,Ayarlar!$B$3,"y"))</f>
        <v/>
      </c>
      <c r="J208" s="14" t="str">
        <f aca="false">IF(A208="","",IF(H208&lt;1,0,MAX(IF(H208&lt;5,14,IF(H208&lt;15,20,26)),IF(AND(I208&lt;&gt;"",OR(I208&lt;=18,I208&gt;=50)),20,0))))</f>
        <v/>
      </c>
      <c r="K208" s="17" t="str">
        <f aca="false">IF(A208="","",EDATE(E208,12*(H208+1)))</f>
        <v/>
      </c>
      <c r="L208" s="14" t="str">
        <f aca="false">IF(A208="","",K208-Ayarlar!$B$3)</f>
        <v/>
      </c>
      <c r="M208" s="18" t="str">
        <f aca="false">IF(A208="","",Veri_Guncel!H208)</f>
        <v/>
      </c>
      <c r="N208" s="18" t="str">
        <f aca="false">IF(A208="","",IFERROR(INDEX(Veri_Onceki!$H:$H,MATCH(A208,Veri_Onceki!$A:$A,0)),""))</f>
        <v/>
      </c>
      <c r="O208" s="14" t="str">
        <f aca="false">IF(A208="","",IF(AND(H208&gt;=1,EDATE(E208,12*H208)&gt;Ayarlar!$B$4,EDATE(E208,12*H208)&lt;=Ayarlar!$B$3),J208,0))</f>
        <v/>
      </c>
      <c r="P208" s="14" t="str">
        <f aca="false">IF(OR(A208="",N208=""),"",N208+O208-M208)</f>
        <v/>
      </c>
      <c r="Q208" s="16" t="str">
        <f aca="false">IF(A208="","",IF(M208&gt;=Ayarlar!$B$7,"ALARM",IF(M208&gt;=Ayarlar!$B$6,"Planla","")))</f>
        <v/>
      </c>
      <c r="R208" s="14" t="str">
        <f aca="false">IF(A208="","",IF(AND(L208&gt;=0,L208&lt;=Ayarlar!$B$9),"Evet",""))</f>
        <v/>
      </c>
      <c r="S208" s="16" t="str">
        <f aca="false">IF(A208="","",IF(N208="","Yeni personel",IF(P208&lt;0,"Kontrol et","")))</f>
        <v/>
      </c>
      <c r="T208" s="14" t="str">
        <f aca="false">IF(A208="","",IF(AND(G208=1,M208&gt;=Ayarlar!$B$6,OR(Ayarlar!$B$11="Tümü",C208=Ayarlar!$B$11)),M208+ROW()/100000,""))</f>
        <v/>
      </c>
    </row>
    <row r="209" customFormat="false" ht="15" hidden="false" customHeight="false" outlineLevel="0" collapsed="false">
      <c r="A209" s="18" t="str">
        <f aca="false">IF(Veri_Guncel!A209="","",Veri_Guncel!A209)</f>
        <v/>
      </c>
      <c r="B209" s="18" t="str">
        <f aca="false">IF($A209="","",Veri_Guncel!B209)</f>
        <v/>
      </c>
      <c r="C209" s="18" t="str">
        <f aca="false">IF($A209="","",Veri_Guncel!C209)</f>
        <v/>
      </c>
      <c r="D209" s="18" t="str">
        <f aca="false">IF($A209="","",Veri_Guncel!D209)</f>
        <v/>
      </c>
      <c r="E209" s="19" t="str">
        <f aca="false">IF($A209="","",Veri_Guncel!E209)</f>
        <v/>
      </c>
      <c r="F209" s="19" t="str">
        <f aca="false">IF($A209="","",Veri_Guncel!F209)</f>
        <v/>
      </c>
      <c r="G209" s="14" t="str">
        <f aca="false">IF(A209="","",IF(COUNTIF(Ayarlar!$A$15:$A$20,C209)&gt;0,1,0))</f>
        <v/>
      </c>
      <c r="H209" s="14" t="str">
        <f aca="false">IF(A209="","",DATEDIF(E209,Ayarlar!$B$3,"y"))</f>
        <v/>
      </c>
      <c r="I209" s="14" t="str">
        <f aca="false">IF(OR(A209="",F209=""),"",DATEDIF(F209,Ayarlar!$B$3,"y"))</f>
        <v/>
      </c>
      <c r="J209" s="14" t="str">
        <f aca="false">IF(A209="","",IF(H209&lt;1,0,MAX(IF(H209&lt;5,14,IF(H209&lt;15,20,26)),IF(AND(I209&lt;&gt;"",OR(I209&lt;=18,I209&gt;=50)),20,0))))</f>
        <v/>
      </c>
      <c r="K209" s="17" t="str">
        <f aca="false">IF(A209="","",EDATE(E209,12*(H209+1)))</f>
        <v/>
      </c>
      <c r="L209" s="14" t="str">
        <f aca="false">IF(A209="","",K209-Ayarlar!$B$3)</f>
        <v/>
      </c>
      <c r="M209" s="18" t="str">
        <f aca="false">IF(A209="","",Veri_Guncel!H209)</f>
        <v/>
      </c>
      <c r="N209" s="18" t="str">
        <f aca="false">IF(A209="","",IFERROR(INDEX(Veri_Onceki!$H:$H,MATCH(A209,Veri_Onceki!$A:$A,0)),""))</f>
        <v/>
      </c>
      <c r="O209" s="14" t="str">
        <f aca="false">IF(A209="","",IF(AND(H209&gt;=1,EDATE(E209,12*H209)&gt;Ayarlar!$B$4,EDATE(E209,12*H209)&lt;=Ayarlar!$B$3),J209,0))</f>
        <v/>
      </c>
      <c r="P209" s="14" t="str">
        <f aca="false">IF(OR(A209="",N209=""),"",N209+O209-M209)</f>
        <v/>
      </c>
      <c r="Q209" s="16" t="str">
        <f aca="false">IF(A209="","",IF(M209&gt;=Ayarlar!$B$7,"ALARM",IF(M209&gt;=Ayarlar!$B$6,"Planla","")))</f>
        <v/>
      </c>
      <c r="R209" s="14" t="str">
        <f aca="false">IF(A209="","",IF(AND(L209&gt;=0,L209&lt;=Ayarlar!$B$9),"Evet",""))</f>
        <v/>
      </c>
      <c r="S209" s="16" t="str">
        <f aca="false">IF(A209="","",IF(N209="","Yeni personel",IF(P209&lt;0,"Kontrol et","")))</f>
        <v/>
      </c>
      <c r="T209" s="14" t="str">
        <f aca="false">IF(A209="","",IF(AND(G209=1,M209&gt;=Ayarlar!$B$6,OR(Ayarlar!$B$11="Tümü",C209=Ayarlar!$B$11)),M209+ROW()/100000,""))</f>
        <v/>
      </c>
    </row>
    <row r="210" customFormat="false" ht="15" hidden="false" customHeight="false" outlineLevel="0" collapsed="false">
      <c r="A210" s="18" t="str">
        <f aca="false">IF(Veri_Guncel!A210="","",Veri_Guncel!A210)</f>
        <v/>
      </c>
      <c r="B210" s="18" t="str">
        <f aca="false">IF($A210="","",Veri_Guncel!B210)</f>
        <v/>
      </c>
      <c r="C210" s="18" t="str">
        <f aca="false">IF($A210="","",Veri_Guncel!C210)</f>
        <v/>
      </c>
      <c r="D210" s="18" t="str">
        <f aca="false">IF($A210="","",Veri_Guncel!D210)</f>
        <v/>
      </c>
      <c r="E210" s="19" t="str">
        <f aca="false">IF($A210="","",Veri_Guncel!E210)</f>
        <v/>
      </c>
      <c r="F210" s="19" t="str">
        <f aca="false">IF($A210="","",Veri_Guncel!F210)</f>
        <v/>
      </c>
      <c r="G210" s="14" t="str">
        <f aca="false">IF(A210="","",IF(COUNTIF(Ayarlar!$A$15:$A$20,C210)&gt;0,1,0))</f>
        <v/>
      </c>
      <c r="H210" s="14" t="str">
        <f aca="false">IF(A210="","",DATEDIF(E210,Ayarlar!$B$3,"y"))</f>
        <v/>
      </c>
      <c r="I210" s="14" t="str">
        <f aca="false">IF(OR(A210="",F210=""),"",DATEDIF(F210,Ayarlar!$B$3,"y"))</f>
        <v/>
      </c>
      <c r="J210" s="14" t="str">
        <f aca="false">IF(A210="","",IF(H210&lt;1,0,MAX(IF(H210&lt;5,14,IF(H210&lt;15,20,26)),IF(AND(I210&lt;&gt;"",OR(I210&lt;=18,I210&gt;=50)),20,0))))</f>
        <v/>
      </c>
      <c r="K210" s="17" t="str">
        <f aca="false">IF(A210="","",EDATE(E210,12*(H210+1)))</f>
        <v/>
      </c>
      <c r="L210" s="14" t="str">
        <f aca="false">IF(A210="","",K210-Ayarlar!$B$3)</f>
        <v/>
      </c>
      <c r="M210" s="18" t="str">
        <f aca="false">IF(A210="","",Veri_Guncel!H210)</f>
        <v/>
      </c>
      <c r="N210" s="18" t="str">
        <f aca="false">IF(A210="","",IFERROR(INDEX(Veri_Onceki!$H:$H,MATCH(A210,Veri_Onceki!$A:$A,0)),""))</f>
        <v/>
      </c>
      <c r="O210" s="14" t="str">
        <f aca="false">IF(A210="","",IF(AND(H210&gt;=1,EDATE(E210,12*H210)&gt;Ayarlar!$B$4,EDATE(E210,12*H210)&lt;=Ayarlar!$B$3),J210,0))</f>
        <v/>
      </c>
      <c r="P210" s="14" t="str">
        <f aca="false">IF(OR(A210="",N210=""),"",N210+O210-M210)</f>
        <v/>
      </c>
      <c r="Q210" s="16" t="str">
        <f aca="false">IF(A210="","",IF(M210&gt;=Ayarlar!$B$7,"ALARM",IF(M210&gt;=Ayarlar!$B$6,"Planla","")))</f>
        <v/>
      </c>
      <c r="R210" s="14" t="str">
        <f aca="false">IF(A210="","",IF(AND(L210&gt;=0,L210&lt;=Ayarlar!$B$9),"Evet",""))</f>
        <v/>
      </c>
      <c r="S210" s="16" t="str">
        <f aca="false">IF(A210="","",IF(N210="","Yeni personel",IF(P210&lt;0,"Kontrol et","")))</f>
        <v/>
      </c>
      <c r="T210" s="14" t="str">
        <f aca="false">IF(A210="","",IF(AND(G210=1,M210&gt;=Ayarlar!$B$6,OR(Ayarlar!$B$11="Tümü",C210=Ayarlar!$B$11)),M210+ROW()/100000,""))</f>
        <v/>
      </c>
    </row>
    <row r="211" customFormat="false" ht="15" hidden="false" customHeight="false" outlineLevel="0" collapsed="false">
      <c r="A211" s="18" t="str">
        <f aca="false">IF(Veri_Guncel!A211="","",Veri_Guncel!A211)</f>
        <v/>
      </c>
      <c r="B211" s="18" t="str">
        <f aca="false">IF($A211="","",Veri_Guncel!B211)</f>
        <v/>
      </c>
      <c r="C211" s="18" t="str">
        <f aca="false">IF($A211="","",Veri_Guncel!C211)</f>
        <v/>
      </c>
      <c r="D211" s="18" t="str">
        <f aca="false">IF($A211="","",Veri_Guncel!D211)</f>
        <v/>
      </c>
      <c r="E211" s="19" t="str">
        <f aca="false">IF($A211="","",Veri_Guncel!E211)</f>
        <v/>
      </c>
      <c r="F211" s="19" t="str">
        <f aca="false">IF($A211="","",Veri_Guncel!F211)</f>
        <v/>
      </c>
      <c r="G211" s="14" t="str">
        <f aca="false">IF(A211="","",IF(COUNTIF(Ayarlar!$A$15:$A$20,C211)&gt;0,1,0))</f>
        <v/>
      </c>
      <c r="H211" s="14" t="str">
        <f aca="false">IF(A211="","",DATEDIF(E211,Ayarlar!$B$3,"y"))</f>
        <v/>
      </c>
      <c r="I211" s="14" t="str">
        <f aca="false">IF(OR(A211="",F211=""),"",DATEDIF(F211,Ayarlar!$B$3,"y"))</f>
        <v/>
      </c>
      <c r="J211" s="14" t="str">
        <f aca="false">IF(A211="","",IF(H211&lt;1,0,MAX(IF(H211&lt;5,14,IF(H211&lt;15,20,26)),IF(AND(I211&lt;&gt;"",OR(I211&lt;=18,I211&gt;=50)),20,0))))</f>
        <v/>
      </c>
      <c r="K211" s="17" t="str">
        <f aca="false">IF(A211="","",EDATE(E211,12*(H211+1)))</f>
        <v/>
      </c>
      <c r="L211" s="14" t="str">
        <f aca="false">IF(A211="","",K211-Ayarlar!$B$3)</f>
        <v/>
      </c>
      <c r="M211" s="18" t="str">
        <f aca="false">IF(A211="","",Veri_Guncel!H211)</f>
        <v/>
      </c>
      <c r="N211" s="18" t="str">
        <f aca="false">IF(A211="","",IFERROR(INDEX(Veri_Onceki!$H:$H,MATCH(A211,Veri_Onceki!$A:$A,0)),""))</f>
        <v/>
      </c>
      <c r="O211" s="14" t="str">
        <f aca="false">IF(A211="","",IF(AND(H211&gt;=1,EDATE(E211,12*H211)&gt;Ayarlar!$B$4,EDATE(E211,12*H211)&lt;=Ayarlar!$B$3),J211,0))</f>
        <v/>
      </c>
      <c r="P211" s="14" t="str">
        <f aca="false">IF(OR(A211="",N211=""),"",N211+O211-M211)</f>
        <v/>
      </c>
      <c r="Q211" s="16" t="str">
        <f aca="false">IF(A211="","",IF(M211&gt;=Ayarlar!$B$7,"ALARM",IF(M211&gt;=Ayarlar!$B$6,"Planla","")))</f>
        <v/>
      </c>
      <c r="R211" s="14" t="str">
        <f aca="false">IF(A211="","",IF(AND(L211&gt;=0,L211&lt;=Ayarlar!$B$9),"Evet",""))</f>
        <v/>
      </c>
      <c r="S211" s="16" t="str">
        <f aca="false">IF(A211="","",IF(N211="","Yeni personel",IF(P211&lt;0,"Kontrol et","")))</f>
        <v/>
      </c>
      <c r="T211" s="14" t="str">
        <f aca="false">IF(A211="","",IF(AND(G211=1,M211&gt;=Ayarlar!$B$6,OR(Ayarlar!$B$11="Tümü",C211=Ayarlar!$B$11)),M211+ROW()/100000,""))</f>
        <v/>
      </c>
    </row>
    <row r="212" customFormat="false" ht="15" hidden="false" customHeight="false" outlineLevel="0" collapsed="false">
      <c r="A212" s="18" t="str">
        <f aca="false">IF(Veri_Guncel!A212="","",Veri_Guncel!A212)</f>
        <v/>
      </c>
      <c r="B212" s="18" t="str">
        <f aca="false">IF($A212="","",Veri_Guncel!B212)</f>
        <v/>
      </c>
      <c r="C212" s="18" t="str">
        <f aca="false">IF($A212="","",Veri_Guncel!C212)</f>
        <v/>
      </c>
      <c r="D212" s="18" t="str">
        <f aca="false">IF($A212="","",Veri_Guncel!D212)</f>
        <v/>
      </c>
      <c r="E212" s="19" t="str">
        <f aca="false">IF($A212="","",Veri_Guncel!E212)</f>
        <v/>
      </c>
      <c r="F212" s="19" t="str">
        <f aca="false">IF($A212="","",Veri_Guncel!F212)</f>
        <v/>
      </c>
      <c r="G212" s="14" t="str">
        <f aca="false">IF(A212="","",IF(COUNTIF(Ayarlar!$A$15:$A$20,C212)&gt;0,1,0))</f>
        <v/>
      </c>
      <c r="H212" s="14" t="str">
        <f aca="false">IF(A212="","",DATEDIF(E212,Ayarlar!$B$3,"y"))</f>
        <v/>
      </c>
      <c r="I212" s="14" t="str">
        <f aca="false">IF(OR(A212="",F212=""),"",DATEDIF(F212,Ayarlar!$B$3,"y"))</f>
        <v/>
      </c>
      <c r="J212" s="14" t="str">
        <f aca="false">IF(A212="","",IF(H212&lt;1,0,MAX(IF(H212&lt;5,14,IF(H212&lt;15,20,26)),IF(AND(I212&lt;&gt;"",OR(I212&lt;=18,I212&gt;=50)),20,0))))</f>
        <v/>
      </c>
      <c r="K212" s="17" t="str">
        <f aca="false">IF(A212="","",EDATE(E212,12*(H212+1)))</f>
        <v/>
      </c>
      <c r="L212" s="14" t="str">
        <f aca="false">IF(A212="","",K212-Ayarlar!$B$3)</f>
        <v/>
      </c>
      <c r="M212" s="18" t="str">
        <f aca="false">IF(A212="","",Veri_Guncel!H212)</f>
        <v/>
      </c>
      <c r="N212" s="18" t="str">
        <f aca="false">IF(A212="","",IFERROR(INDEX(Veri_Onceki!$H:$H,MATCH(A212,Veri_Onceki!$A:$A,0)),""))</f>
        <v/>
      </c>
      <c r="O212" s="14" t="str">
        <f aca="false">IF(A212="","",IF(AND(H212&gt;=1,EDATE(E212,12*H212)&gt;Ayarlar!$B$4,EDATE(E212,12*H212)&lt;=Ayarlar!$B$3),J212,0))</f>
        <v/>
      </c>
      <c r="P212" s="14" t="str">
        <f aca="false">IF(OR(A212="",N212=""),"",N212+O212-M212)</f>
        <v/>
      </c>
      <c r="Q212" s="16" t="str">
        <f aca="false">IF(A212="","",IF(M212&gt;=Ayarlar!$B$7,"ALARM",IF(M212&gt;=Ayarlar!$B$6,"Planla","")))</f>
        <v/>
      </c>
      <c r="R212" s="14" t="str">
        <f aca="false">IF(A212="","",IF(AND(L212&gt;=0,L212&lt;=Ayarlar!$B$9),"Evet",""))</f>
        <v/>
      </c>
      <c r="S212" s="16" t="str">
        <f aca="false">IF(A212="","",IF(N212="","Yeni personel",IF(P212&lt;0,"Kontrol et","")))</f>
        <v/>
      </c>
      <c r="T212" s="14" t="str">
        <f aca="false">IF(A212="","",IF(AND(G212=1,M212&gt;=Ayarlar!$B$6,OR(Ayarlar!$B$11="Tümü",C212=Ayarlar!$B$11)),M212+ROW()/100000,""))</f>
        <v/>
      </c>
    </row>
    <row r="213" customFormat="false" ht="15" hidden="false" customHeight="false" outlineLevel="0" collapsed="false">
      <c r="A213" s="18" t="str">
        <f aca="false">IF(Veri_Guncel!A213="","",Veri_Guncel!A213)</f>
        <v/>
      </c>
      <c r="B213" s="18" t="str">
        <f aca="false">IF($A213="","",Veri_Guncel!B213)</f>
        <v/>
      </c>
      <c r="C213" s="18" t="str">
        <f aca="false">IF($A213="","",Veri_Guncel!C213)</f>
        <v/>
      </c>
      <c r="D213" s="18" t="str">
        <f aca="false">IF($A213="","",Veri_Guncel!D213)</f>
        <v/>
      </c>
      <c r="E213" s="19" t="str">
        <f aca="false">IF($A213="","",Veri_Guncel!E213)</f>
        <v/>
      </c>
      <c r="F213" s="19" t="str">
        <f aca="false">IF($A213="","",Veri_Guncel!F213)</f>
        <v/>
      </c>
      <c r="G213" s="14" t="str">
        <f aca="false">IF(A213="","",IF(COUNTIF(Ayarlar!$A$15:$A$20,C213)&gt;0,1,0))</f>
        <v/>
      </c>
      <c r="H213" s="14" t="str">
        <f aca="false">IF(A213="","",DATEDIF(E213,Ayarlar!$B$3,"y"))</f>
        <v/>
      </c>
      <c r="I213" s="14" t="str">
        <f aca="false">IF(OR(A213="",F213=""),"",DATEDIF(F213,Ayarlar!$B$3,"y"))</f>
        <v/>
      </c>
      <c r="J213" s="14" t="str">
        <f aca="false">IF(A213="","",IF(H213&lt;1,0,MAX(IF(H213&lt;5,14,IF(H213&lt;15,20,26)),IF(AND(I213&lt;&gt;"",OR(I213&lt;=18,I213&gt;=50)),20,0))))</f>
        <v/>
      </c>
      <c r="K213" s="17" t="str">
        <f aca="false">IF(A213="","",EDATE(E213,12*(H213+1)))</f>
        <v/>
      </c>
      <c r="L213" s="14" t="str">
        <f aca="false">IF(A213="","",K213-Ayarlar!$B$3)</f>
        <v/>
      </c>
      <c r="M213" s="18" t="str">
        <f aca="false">IF(A213="","",Veri_Guncel!H213)</f>
        <v/>
      </c>
      <c r="N213" s="18" t="str">
        <f aca="false">IF(A213="","",IFERROR(INDEX(Veri_Onceki!$H:$H,MATCH(A213,Veri_Onceki!$A:$A,0)),""))</f>
        <v/>
      </c>
      <c r="O213" s="14" t="str">
        <f aca="false">IF(A213="","",IF(AND(H213&gt;=1,EDATE(E213,12*H213)&gt;Ayarlar!$B$4,EDATE(E213,12*H213)&lt;=Ayarlar!$B$3),J213,0))</f>
        <v/>
      </c>
      <c r="P213" s="14" t="str">
        <f aca="false">IF(OR(A213="",N213=""),"",N213+O213-M213)</f>
        <v/>
      </c>
      <c r="Q213" s="16" t="str">
        <f aca="false">IF(A213="","",IF(M213&gt;=Ayarlar!$B$7,"ALARM",IF(M213&gt;=Ayarlar!$B$6,"Planla","")))</f>
        <v/>
      </c>
      <c r="R213" s="14" t="str">
        <f aca="false">IF(A213="","",IF(AND(L213&gt;=0,L213&lt;=Ayarlar!$B$9),"Evet",""))</f>
        <v/>
      </c>
      <c r="S213" s="16" t="str">
        <f aca="false">IF(A213="","",IF(N213="","Yeni personel",IF(P213&lt;0,"Kontrol et","")))</f>
        <v/>
      </c>
      <c r="T213" s="14" t="str">
        <f aca="false">IF(A213="","",IF(AND(G213=1,M213&gt;=Ayarlar!$B$6,OR(Ayarlar!$B$11="Tümü",C213=Ayarlar!$B$11)),M213+ROW()/100000,""))</f>
        <v/>
      </c>
    </row>
    <row r="214" customFormat="false" ht="15" hidden="false" customHeight="false" outlineLevel="0" collapsed="false">
      <c r="A214" s="18" t="str">
        <f aca="false">IF(Veri_Guncel!A214="","",Veri_Guncel!A214)</f>
        <v/>
      </c>
      <c r="B214" s="18" t="str">
        <f aca="false">IF($A214="","",Veri_Guncel!B214)</f>
        <v/>
      </c>
      <c r="C214" s="18" t="str">
        <f aca="false">IF($A214="","",Veri_Guncel!C214)</f>
        <v/>
      </c>
      <c r="D214" s="18" t="str">
        <f aca="false">IF($A214="","",Veri_Guncel!D214)</f>
        <v/>
      </c>
      <c r="E214" s="19" t="str">
        <f aca="false">IF($A214="","",Veri_Guncel!E214)</f>
        <v/>
      </c>
      <c r="F214" s="19" t="str">
        <f aca="false">IF($A214="","",Veri_Guncel!F214)</f>
        <v/>
      </c>
      <c r="G214" s="14" t="str">
        <f aca="false">IF(A214="","",IF(COUNTIF(Ayarlar!$A$15:$A$20,C214)&gt;0,1,0))</f>
        <v/>
      </c>
      <c r="H214" s="14" t="str">
        <f aca="false">IF(A214="","",DATEDIF(E214,Ayarlar!$B$3,"y"))</f>
        <v/>
      </c>
      <c r="I214" s="14" t="str">
        <f aca="false">IF(OR(A214="",F214=""),"",DATEDIF(F214,Ayarlar!$B$3,"y"))</f>
        <v/>
      </c>
      <c r="J214" s="14" t="str">
        <f aca="false">IF(A214="","",IF(H214&lt;1,0,MAX(IF(H214&lt;5,14,IF(H214&lt;15,20,26)),IF(AND(I214&lt;&gt;"",OR(I214&lt;=18,I214&gt;=50)),20,0))))</f>
        <v/>
      </c>
      <c r="K214" s="17" t="str">
        <f aca="false">IF(A214="","",EDATE(E214,12*(H214+1)))</f>
        <v/>
      </c>
      <c r="L214" s="14" t="str">
        <f aca="false">IF(A214="","",K214-Ayarlar!$B$3)</f>
        <v/>
      </c>
      <c r="M214" s="18" t="str">
        <f aca="false">IF(A214="","",Veri_Guncel!H214)</f>
        <v/>
      </c>
      <c r="N214" s="18" t="str">
        <f aca="false">IF(A214="","",IFERROR(INDEX(Veri_Onceki!$H:$H,MATCH(A214,Veri_Onceki!$A:$A,0)),""))</f>
        <v/>
      </c>
      <c r="O214" s="14" t="str">
        <f aca="false">IF(A214="","",IF(AND(H214&gt;=1,EDATE(E214,12*H214)&gt;Ayarlar!$B$4,EDATE(E214,12*H214)&lt;=Ayarlar!$B$3),J214,0))</f>
        <v/>
      </c>
      <c r="P214" s="14" t="str">
        <f aca="false">IF(OR(A214="",N214=""),"",N214+O214-M214)</f>
        <v/>
      </c>
      <c r="Q214" s="16" t="str">
        <f aca="false">IF(A214="","",IF(M214&gt;=Ayarlar!$B$7,"ALARM",IF(M214&gt;=Ayarlar!$B$6,"Planla","")))</f>
        <v/>
      </c>
      <c r="R214" s="14" t="str">
        <f aca="false">IF(A214="","",IF(AND(L214&gt;=0,L214&lt;=Ayarlar!$B$9),"Evet",""))</f>
        <v/>
      </c>
      <c r="S214" s="16" t="str">
        <f aca="false">IF(A214="","",IF(N214="","Yeni personel",IF(P214&lt;0,"Kontrol et","")))</f>
        <v/>
      </c>
      <c r="T214" s="14" t="str">
        <f aca="false">IF(A214="","",IF(AND(G214=1,M214&gt;=Ayarlar!$B$6,OR(Ayarlar!$B$11="Tümü",C214=Ayarlar!$B$11)),M214+ROW()/100000,""))</f>
        <v/>
      </c>
    </row>
    <row r="215" customFormat="false" ht="15" hidden="false" customHeight="false" outlineLevel="0" collapsed="false">
      <c r="A215" s="18" t="str">
        <f aca="false">IF(Veri_Guncel!A215="","",Veri_Guncel!A215)</f>
        <v/>
      </c>
      <c r="B215" s="18" t="str">
        <f aca="false">IF($A215="","",Veri_Guncel!B215)</f>
        <v/>
      </c>
      <c r="C215" s="18" t="str">
        <f aca="false">IF($A215="","",Veri_Guncel!C215)</f>
        <v/>
      </c>
      <c r="D215" s="18" t="str">
        <f aca="false">IF($A215="","",Veri_Guncel!D215)</f>
        <v/>
      </c>
      <c r="E215" s="19" t="str">
        <f aca="false">IF($A215="","",Veri_Guncel!E215)</f>
        <v/>
      </c>
      <c r="F215" s="19" t="str">
        <f aca="false">IF($A215="","",Veri_Guncel!F215)</f>
        <v/>
      </c>
      <c r="G215" s="14" t="str">
        <f aca="false">IF(A215="","",IF(COUNTIF(Ayarlar!$A$15:$A$20,C215)&gt;0,1,0))</f>
        <v/>
      </c>
      <c r="H215" s="14" t="str">
        <f aca="false">IF(A215="","",DATEDIF(E215,Ayarlar!$B$3,"y"))</f>
        <v/>
      </c>
      <c r="I215" s="14" t="str">
        <f aca="false">IF(OR(A215="",F215=""),"",DATEDIF(F215,Ayarlar!$B$3,"y"))</f>
        <v/>
      </c>
      <c r="J215" s="14" t="str">
        <f aca="false">IF(A215="","",IF(H215&lt;1,0,MAX(IF(H215&lt;5,14,IF(H215&lt;15,20,26)),IF(AND(I215&lt;&gt;"",OR(I215&lt;=18,I215&gt;=50)),20,0))))</f>
        <v/>
      </c>
      <c r="K215" s="17" t="str">
        <f aca="false">IF(A215="","",EDATE(E215,12*(H215+1)))</f>
        <v/>
      </c>
      <c r="L215" s="14" t="str">
        <f aca="false">IF(A215="","",K215-Ayarlar!$B$3)</f>
        <v/>
      </c>
      <c r="M215" s="18" t="str">
        <f aca="false">IF(A215="","",Veri_Guncel!H215)</f>
        <v/>
      </c>
      <c r="N215" s="18" t="str">
        <f aca="false">IF(A215="","",IFERROR(INDEX(Veri_Onceki!$H:$H,MATCH(A215,Veri_Onceki!$A:$A,0)),""))</f>
        <v/>
      </c>
      <c r="O215" s="14" t="str">
        <f aca="false">IF(A215="","",IF(AND(H215&gt;=1,EDATE(E215,12*H215)&gt;Ayarlar!$B$4,EDATE(E215,12*H215)&lt;=Ayarlar!$B$3),J215,0))</f>
        <v/>
      </c>
      <c r="P215" s="14" t="str">
        <f aca="false">IF(OR(A215="",N215=""),"",N215+O215-M215)</f>
        <v/>
      </c>
      <c r="Q215" s="16" t="str">
        <f aca="false">IF(A215="","",IF(M215&gt;=Ayarlar!$B$7,"ALARM",IF(M215&gt;=Ayarlar!$B$6,"Planla","")))</f>
        <v/>
      </c>
      <c r="R215" s="14" t="str">
        <f aca="false">IF(A215="","",IF(AND(L215&gt;=0,L215&lt;=Ayarlar!$B$9),"Evet",""))</f>
        <v/>
      </c>
      <c r="S215" s="16" t="str">
        <f aca="false">IF(A215="","",IF(N215="","Yeni personel",IF(P215&lt;0,"Kontrol et","")))</f>
        <v/>
      </c>
      <c r="T215" s="14" t="str">
        <f aca="false">IF(A215="","",IF(AND(G215=1,M215&gt;=Ayarlar!$B$6,OR(Ayarlar!$B$11="Tümü",C215=Ayarlar!$B$11)),M215+ROW()/100000,""))</f>
        <v/>
      </c>
    </row>
    <row r="216" customFormat="false" ht="15" hidden="false" customHeight="false" outlineLevel="0" collapsed="false">
      <c r="A216" s="18" t="str">
        <f aca="false">IF(Veri_Guncel!A216="","",Veri_Guncel!A216)</f>
        <v/>
      </c>
      <c r="B216" s="18" t="str">
        <f aca="false">IF($A216="","",Veri_Guncel!B216)</f>
        <v/>
      </c>
      <c r="C216" s="18" t="str">
        <f aca="false">IF($A216="","",Veri_Guncel!C216)</f>
        <v/>
      </c>
      <c r="D216" s="18" t="str">
        <f aca="false">IF($A216="","",Veri_Guncel!D216)</f>
        <v/>
      </c>
      <c r="E216" s="19" t="str">
        <f aca="false">IF($A216="","",Veri_Guncel!E216)</f>
        <v/>
      </c>
      <c r="F216" s="19" t="str">
        <f aca="false">IF($A216="","",Veri_Guncel!F216)</f>
        <v/>
      </c>
      <c r="G216" s="14" t="str">
        <f aca="false">IF(A216="","",IF(COUNTIF(Ayarlar!$A$15:$A$20,C216)&gt;0,1,0))</f>
        <v/>
      </c>
      <c r="H216" s="14" t="str">
        <f aca="false">IF(A216="","",DATEDIF(E216,Ayarlar!$B$3,"y"))</f>
        <v/>
      </c>
      <c r="I216" s="14" t="str">
        <f aca="false">IF(OR(A216="",F216=""),"",DATEDIF(F216,Ayarlar!$B$3,"y"))</f>
        <v/>
      </c>
      <c r="J216" s="14" t="str">
        <f aca="false">IF(A216="","",IF(H216&lt;1,0,MAX(IF(H216&lt;5,14,IF(H216&lt;15,20,26)),IF(AND(I216&lt;&gt;"",OR(I216&lt;=18,I216&gt;=50)),20,0))))</f>
        <v/>
      </c>
      <c r="K216" s="17" t="str">
        <f aca="false">IF(A216="","",EDATE(E216,12*(H216+1)))</f>
        <v/>
      </c>
      <c r="L216" s="14" t="str">
        <f aca="false">IF(A216="","",K216-Ayarlar!$B$3)</f>
        <v/>
      </c>
      <c r="M216" s="18" t="str">
        <f aca="false">IF(A216="","",Veri_Guncel!H216)</f>
        <v/>
      </c>
      <c r="N216" s="18" t="str">
        <f aca="false">IF(A216="","",IFERROR(INDEX(Veri_Onceki!$H:$H,MATCH(A216,Veri_Onceki!$A:$A,0)),""))</f>
        <v/>
      </c>
      <c r="O216" s="14" t="str">
        <f aca="false">IF(A216="","",IF(AND(H216&gt;=1,EDATE(E216,12*H216)&gt;Ayarlar!$B$4,EDATE(E216,12*H216)&lt;=Ayarlar!$B$3),J216,0))</f>
        <v/>
      </c>
      <c r="P216" s="14" t="str">
        <f aca="false">IF(OR(A216="",N216=""),"",N216+O216-M216)</f>
        <v/>
      </c>
      <c r="Q216" s="16" t="str">
        <f aca="false">IF(A216="","",IF(M216&gt;=Ayarlar!$B$7,"ALARM",IF(M216&gt;=Ayarlar!$B$6,"Planla","")))</f>
        <v/>
      </c>
      <c r="R216" s="14" t="str">
        <f aca="false">IF(A216="","",IF(AND(L216&gt;=0,L216&lt;=Ayarlar!$B$9),"Evet",""))</f>
        <v/>
      </c>
      <c r="S216" s="16" t="str">
        <f aca="false">IF(A216="","",IF(N216="","Yeni personel",IF(P216&lt;0,"Kontrol et","")))</f>
        <v/>
      </c>
      <c r="T216" s="14" t="str">
        <f aca="false">IF(A216="","",IF(AND(G216=1,M216&gt;=Ayarlar!$B$6,OR(Ayarlar!$B$11="Tümü",C216=Ayarlar!$B$11)),M216+ROW()/100000,""))</f>
        <v/>
      </c>
    </row>
    <row r="217" customFormat="false" ht="15" hidden="false" customHeight="false" outlineLevel="0" collapsed="false">
      <c r="A217" s="18" t="str">
        <f aca="false">IF(Veri_Guncel!A217="","",Veri_Guncel!A217)</f>
        <v/>
      </c>
      <c r="B217" s="18" t="str">
        <f aca="false">IF($A217="","",Veri_Guncel!B217)</f>
        <v/>
      </c>
      <c r="C217" s="18" t="str">
        <f aca="false">IF($A217="","",Veri_Guncel!C217)</f>
        <v/>
      </c>
      <c r="D217" s="18" t="str">
        <f aca="false">IF($A217="","",Veri_Guncel!D217)</f>
        <v/>
      </c>
      <c r="E217" s="19" t="str">
        <f aca="false">IF($A217="","",Veri_Guncel!E217)</f>
        <v/>
      </c>
      <c r="F217" s="19" t="str">
        <f aca="false">IF($A217="","",Veri_Guncel!F217)</f>
        <v/>
      </c>
      <c r="G217" s="14" t="str">
        <f aca="false">IF(A217="","",IF(COUNTIF(Ayarlar!$A$15:$A$20,C217)&gt;0,1,0))</f>
        <v/>
      </c>
      <c r="H217" s="14" t="str">
        <f aca="false">IF(A217="","",DATEDIF(E217,Ayarlar!$B$3,"y"))</f>
        <v/>
      </c>
      <c r="I217" s="14" t="str">
        <f aca="false">IF(OR(A217="",F217=""),"",DATEDIF(F217,Ayarlar!$B$3,"y"))</f>
        <v/>
      </c>
      <c r="J217" s="14" t="str">
        <f aca="false">IF(A217="","",IF(H217&lt;1,0,MAX(IF(H217&lt;5,14,IF(H217&lt;15,20,26)),IF(AND(I217&lt;&gt;"",OR(I217&lt;=18,I217&gt;=50)),20,0))))</f>
        <v/>
      </c>
      <c r="K217" s="17" t="str">
        <f aca="false">IF(A217="","",EDATE(E217,12*(H217+1)))</f>
        <v/>
      </c>
      <c r="L217" s="14" t="str">
        <f aca="false">IF(A217="","",K217-Ayarlar!$B$3)</f>
        <v/>
      </c>
      <c r="M217" s="18" t="str">
        <f aca="false">IF(A217="","",Veri_Guncel!H217)</f>
        <v/>
      </c>
      <c r="N217" s="18" t="str">
        <f aca="false">IF(A217="","",IFERROR(INDEX(Veri_Onceki!$H:$H,MATCH(A217,Veri_Onceki!$A:$A,0)),""))</f>
        <v/>
      </c>
      <c r="O217" s="14" t="str">
        <f aca="false">IF(A217="","",IF(AND(H217&gt;=1,EDATE(E217,12*H217)&gt;Ayarlar!$B$4,EDATE(E217,12*H217)&lt;=Ayarlar!$B$3),J217,0))</f>
        <v/>
      </c>
      <c r="P217" s="14" t="str">
        <f aca="false">IF(OR(A217="",N217=""),"",N217+O217-M217)</f>
        <v/>
      </c>
      <c r="Q217" s="16" t="str">
        <f aca="false">IF(A217="","",IF(M217&gt;=Ayarlar!$B$7,"ALARM",IF(M217&gt;=Ayarlar!$B$6,"Planla","")))</f>
        <v/>
      </c>
      <c r="R217" s="14" t="str">
        <f aca="false">IF(A217="","",IF(AND(L217&gt;=0,L217&lt;=Ayarlar!$B$9),"Evet",""))</f>
        <v/>
      </c>
      <c r="S217" s="16" t="str">
        <f aca="false">IF(A217="","",IF(N217="","Yeni personel",IF(P217&lt;0,"Kontrol et","")))</f>
        <v/>
      </c>
      <c r="T217" s="14" t="str">
        <f aca="false">IF(A217="","",IF(AND(G217=1,M217&gt;=Ayarlar!$B$6,OR(Ayarlar!$B$11="Tümü",C217=Ayarlar!$B$11)),M217+ROW()/100000,""))</f>
        <v/>
      </c>
    </row>
    <row r="218" customFormat="false" ht="15" hidden="false" customHeight="false" outlineLevel="0" collapsed="false">
      <c r="A218" s="18" t="str">
        <f aca="false">IF(Veri_Guncel!A218="","",Veri_Guncel!A218)</f>
        <v/>
      </c>
      <c r="B218" s="18" t="str">
        <f aca="false">IF($A218="","",Veri_Guncel!B218)</f>
        <v/>
      </c>
      <c r="C218" s="18" t="str">
        <f aca="false">IF($A218="","",Veri_Guncel!C218)</f>
        <v/>
      </c>
      <c r="D218" s="18" t="str">
        <f aca="false">IF($A218="","",Veri_Guncel!D218)</f>
        <v/>
      </c>
      <c r="E218" s="19" t="str">
        <f aca="false">IF($A218="","",Veri_Guncel!E218)</f>
        <v/>
      </c>
      <c r="F218" s="19" t="str">
        <f aca="false">IF($A218="","",Veri_Guncel!F218)</f>
        <v/>
      </c>
      <c r="G218" s="14" t="str">
        <f aca="false">IF(A218="","",IF(COUNTIF(Ayarlar!$A$15:$A$20,C218)&gt;0,1,0))</f>
        <v/>
      </c>
      <c r="H218" s="14" t="str">
        <f aca="false">IF(A218="","",DATEDIF(E218,Ayarlar!$B$3,"y"))</f>
        <v/>
      </c>
      <c r="I218" s="14" t="str">
        <f aca="false">IF(OR(A218="",F218=""),"",DATEDIF(F218,Ayarlar!$B$3,"y"))</f>
        <v/>
      </c>
      <c r="J218" s="14" t="str">
        <f aca="false">IF(A218="","",IF(H218&lt;1,0,MAX(IF(H218&lt;5,14,IF(H218&lt;15,20,26)),IF(AND(I218&lt;&gt;"",OR(I218&lt;=18,I218&gt;=50)),20,0))))</f>
        <v/>
      </c>
      <c r="K218" s="17" t="str">
        <f aca="false">IF(A218="","",EDATE(E218,12*(H218+1)))</f>
        <v/>
      </c>
      <c r="L218" s="14" t="str">
        <f aca="false">IF(A218="","",K218-Ayarlar!$B$3)</f>
        <v/>
      </c>
      <c r="M218" s="18" t="str">
        <f aca="false">IF(A218="","",Veri_Guncel!H218)</f>
        <v/>
      </c>
      <c r="N218" s="18" t="str">
        <f aca="false">IF(A218="","",IFERROR(INDEX(Veri_Onceki!$H:$H,MATCH(A218,Veri_Onceki!$A:$A,0)),""))</f>
        <v/>
      </c>
      <c r="O218" s="14" t="str">
        <f aca="false">IF(A218="","",IF(AND(H218&gt;=1,EDATE(E218,12*H218)&gt;Ayarlar!$B$4,EDATE(E218,12*H218)&lt;=Ayarlar!$B$3),J218,0))</f>
        <v/>
      </c>
      <c r="P218" s="14" t="str">
        <f aca="false">IF(OR(A218="",N218=""),"",N218+O218-M218)</f>
        <v/>
      </c>
      <c r="Q218" s="16" t="str">
        <f aca="false">IF(A218="","",IF(M218&gt;=Ayarlar!$B$7,"ALARM",IF(M218&gt;=Ayarlar!$B$6,"Planla","")))</f>
        <v/>
      </c>
      <c r="R218" s="14" t="str">
        <f aca="false">IF(A218="","",IF(AND(L218&gt;=0,L218&lt;=Ayarlar!$B$9),"Evet",""))</f>
        <v/>
      </c>
      <c r="S218" s="16" t="str">
        <f aca="false">IF(A218="","",IF(N218="","Yeni personel",IF(P218&lt;0,"Kontrol et","")))</f>
        <v/>
      </c>
      <c r="T218" s="14" t="str">
        <f aca="false">IF(A218="","",IF(AND(G218=1,M218&gt;=Ayarlar!$B$6,OR(Ayarlar!$B$11="Tümü",C218=Ayarlar!$B$11)),M218+ROW()/100000,""))</f>
        <v/>
      </c>
    </row>
    <row r="219" customFormat="false" ht="15" hidden="false" customHeight="false" outlineLevel="0" collapsed="false">
      <c r="A219" s="18" t="str">
        <f aca="false">IF(Veri_Guncel!A219="","",Veri_Guncel!A219)</f>
        <v/>
      </c>
      <c r="B219" s="18" t="str">
        <f aca="false">IF($A219="","",Veri_Guncel!B219)</f>
        <v/>
      </c>
      <c r="C219" s="18" t="str">
        <f aca="false">IF($A219="","",Veri_Guncel!C219)</f>
        <v/>
      </c>
      <c r="D219" s="18" t="str">
        <f aca="false">IF($A219="","",Veri_Guncel!D219)</f>
        <v/>
      </c>
      <c r="E219" s="19" t="str">
        <f aca="false">IF($A219="","",Veri_Guncel!E219)</f>
        <v/>
      </c>
      <c r="F219" s="19" t="str">
        <f aca="false">IF($A219="","",Veri_Guncel!F219)</f>
        <v/>
      </c>
      <c r="G219" s="14" t="str">
        <f aca="false">IF(A219="","",IF(COUNTIF(Ayarlar!$A$15:$A$20,C219)&gt;0,1,0))</f>
        <v/>
      </c>
      <c r="H219" s="14" t="str">
        <f aca="false">IF(A219="","",DATEDIF(E219,Ayarlar!$B$3,"y"))</f>
        <v/>
      </c>
      <c r="I219" s="14" t="str">
        <f aca="false">IF(OR(A219="",F219=""),"",DATEDIF(F219,Ayarlar!$B$3,"y"))</f>
        <v/>
      </c>
      <c r="J219" s="14" t="str">
        <f aca="false">IF(A219="","",IF(H219&lt;1,0,MAX(IF(H219&lt;5,14,IF(H219&lt;15,20,26)),IF(AND(I219&lt;&gt;"",OR(I219&lt;=18,I219&gt;=50)),20,0))))</f>
        <v/>
      </c>
      <c r="K219" s="17" t="str">
        <f aca="false">IF(A219="","",EDATE(E219,12*(H219+1)))</f>
        <v/>
      </c>
      <c r="L219" s="14" t="str">
        <f aca="false">IF(A219="","",K219-Ayarlar!$B$3)</f>
        <v/>
      </c>
      <c r="M219" s="18" t="str">
        <f aca="false">IF(A219="","",Veri_Guncel!H219)</f>
        <v/>
      </c>
      <c r="N219" s="18" t="str">
        <f aca="false">IF(A219="","",IFERROR(INDEX(Veri_Onceki!$H:$H,MATCH(A219,Veri_Onceki!$A:$A,0)),""))</f>
        <v/>
      </c>
      <c r="O219" s="14" t="str">
        <f aca="false">IF(A219="","",IF(AND(H219&gt;=1,EDATE(E219,12*H219)&gt;Ayarlar!$B$4,EDATE(E219,12*H219)&lt;=Ayarlar!$B$3),J219,0))</f>
        <v/>
      </c>
      <c r="P219" s="14" t="str">
        <f aca="false">IF(OR(A219="",N219=""),"",N219+O219-M219)</f>
        <v/>
      </c>
      <c r="Q219" s="16" t="str">
        <f aca="false">IF(A219="","",IF(M219&gt;=Ayarlar!$B$7,"ALARM",IF(M219&gt;=Ayarlar!$B$6,"Planla","")))</f>
        <v/>
      </c>
      <c r="R219" s="14" t="str">
        <f aca="false">IF(A219="","",IF(AND(L219&gt;=0,L219&lt;=Ayarlar!$B$9),"Evet",""))</f>
        <v/>
      </c>
      <c r="S219" s="16" t="str">
        <f aca="false">IF(A219="","",IF(N219="","Yeni personel",IF(P219&lt;0,"Kontrol et","")))</f>
        <v/>
      </c>
      <c r="T219" s="14" t="str">
        <f aca="false">IF(A219="","",IF(AND(G219=1,M219&gt;=Ayarlar!$B$6,OR(Ayarlar!$B$11="Tümü",C219=Ayarlar!$B$11)),M219+ROW()/100000,""))</f>
        <v/>
      </c>
    </row>
    <row r="220" customFormat="false" ht="15" hidden="false" customHeight="false" outlineLevel="0" collapsed="false">
      <c r="A220" s="18" t="str">
        <f aca="false">IF(Veri_Guncel!A220="","",Veri_Guncel!A220)</f>
        <v/>
      </c>
      <c r="B220" s="18" t="str">
        <f aca="false">IF($A220="","",Veri_Guncel!B220)</f>
        <v/>
      </c>
      <c r="C220" s="18" t="str">
        <f aca="false">IF($A220="","",Veri_Guncel!C220)</f>
        <v/>
      </c>
      <c r="D220" s="18" t="str">
        <f aca="false">IF($A220="","",Veri_Guncel!D220)</f>
        <v/>
      </c>
      <c r="E220" s="19" t="str">
        <f aca="false">IF($A220="","",Veri_Guncel!E220)</f>
        <v/>
      </c>
      <c r="F220" s="19" t="str">
        <f aca="false">IF($A220="","",Veri_Guncel!F220)</f>
        <v/>
      </c>
      <c r="G220" s="14" t="str">
        <f aca="false">IF(A220="","",IF(COUNTIF(Ayarlar!$A$15:$A$20,C220)&gt;0,1,0))</f>
        <v/>
      </c>
      <c r="H220" s="14" t="str">
        <f aca="false">IF(A220="","",DATEDIF(E220,Ayarlar!$B$3,"y"))</f>
        <v/>
      </c>
      <c r="I220" s="14" t="str">
        <f aca="false">IF(OR(A220="",F220=""),"",DATEDIF(F220,Ayarlar!$B$3,"y"))</f>
        <v/>
      </c>
      <c r="J220" s="14" t="str">
        <f aca="false">IF(A220="","",IF(H220&lt;1,0,MAX(IF(H220&lt;5,14,IF(H220&lt;15,20,26)),IF(AND(I220&lt;&gt;"",OR(I220&lt;=18,I220&gt;=50)),20,0))))</f>
        <v/>
      </c>
      <c r="K220" s="17" t="str">
        <f aca="false">IF(A220="","",EDATE(E220,12*(H220+1)))</f>
        <v/>
      </c>
      <c r="L220" s="14" t="str">
        <f aca="false">IF(A220="","",K220-Ayarlar!$B$3)</f>
        <v/>
      </c>
      <c r="M220" s="18" t="str">
        <f aca="false">IF(A220="","",Veri_Guncel!H220)</f>
        <v/>
      </c>
      <c r="N220" s="18" t="str">
        <f aca="false">IF(A220="","",IFERROR(INDEX(Veri_Onceki!$H:$H,MATCH(A220,Veri_Onceki!$A:$A,0)),""))</f>
        <v/>
      </c>
      <c r="O220" s="14" t="str">
        <f aca="false">IF(A220="","",IF(AND(H220&gt;=1,EDATE(E220,12*H220)&gt;Ayarlar!$B$4,EDATE(E220,12*H220)&lt;=Ayarlar!$B$3),J220,0))</f>
        <v/>
      </c>
      <c r="P220" s="14" t="str">
        <f aca="false">IF(OR(A220="",N220=""),"",N220+O220-M220)</f>
        <v/>
      </c>
      <c r="Q220" s="16" t="str">
        <f aca="false">IF(A220="","",IF(M220&gt;=Ayarlar!$B$7,"ALARM",IF(M220&gt;=Ayarlar!$B$6,"Planla","")))</f>
        <v/>
      </c>
      <c r="R220" s="14" t="str">
        <f aca="false">IF(A220="","",IF(AND(L220&gt;=0,L220&lt;=Ayarlar!$B$9),"Evet",""))</f>
        <v/>
      </c>
      <c r="S220" s="16" t="str">
        <f aca="false">IF(A220="","",IF(N220="","Yeni personel",IF(P220&lt;0,"Kontrol et","")))</f>
        <v/>
      </c>
      <c r="T220" s="14" t="str">
        <f aca="false">IF(A220="","",IF(AND(G220=1,M220&gt;=Ayarlar!$B$6,OR(Ayarlar!$B$11="Tümü",C220=Ayarlar!$B$11)),M220+ROW()/100000,""))</f>
        <v/>
      </c>
    </row>
    <row r="221" customFormat="false" ht="15" hidden="false" customHeight="false" outlineLevel="0" collapsed="false">
      <c r="A221" s="18" t="str">
        <f aca="false">IF(Veri_Guncel!A221="","",Veri_Guncel!A221)</f>
        <v/>
      </c>
      <c r="B221" s="18" t="str">
        <f aca="false">IF($A221="","",Veri_Guncel!B221)</f>
        <v/>
      </c>
      <c r="C221" s="18" t="str">
        <f aca="false">IF($A221="","",Veri_Guncel!C221)</f>
        <v/>
      </c>
      <c r="D221" s="18" t="str">
        <f aca="false">IF($A221="","",Veri_Guncel!D221)</f>
        <v/>
      </c>
      <c r="E221" s="19" t="str">
        <f aca="false">IF($A221="","",Veri_Guncel!E221)</f>
        <v/>
      </c>
      <c r="F221" s="19" t="str">
        <f aca="false">IF($A221="","",Veri_Guncel!F221)</f>
        <v/>
      </c>
      <c r="G221" s="14" t="str">
        <f aca="false">IF(A221="","",IF(COUNTIF(Ayarlar!$A$15:$A$20,C221)&gt;0,1,0))</f>
        <v/>
      </c>
      <c r="H221" s="14" t="str">
        <f aca="false">IF(A221="","",DATEDIF(E221,Ayarlar!$B$3,"y"))</f>
        <v/>
      </c>
      <c r="I221" s="14" t="str">
        <f aca="false">IF(OR(A221="",F221=""),"",DATEDIF(F221,Ayarlar!$B$3,"y"))</f>
        <v/>
      </c>
      <c r="J221" s="14" t="str">
        <f aca="false">IF(A221="","",IF(H221&lt;1,0,MAX(IF(H221&lt;5,14,IF(H221&lt;15,20,26)),IF(AND(I221&lt;&gt;"",OR(I221&lt;=18,I221&gt;=50)),20,0))))</f>
        <v/>
      </c>
      <c r="K221" s="17" t="str">
        <f aca="false">IF(A221="","",EDATE(E221,12*(H221+1)))</f>
        <v/>
      </c>
      <c r="L221" s="14" t="str">
        <f aca="false">IF(A221="","",K221-Ayarlar!$B$3)</f>
        <v/>
      </c>
      <c r="M221" s="18" t="str">
        <f aca="false">IF(A221="","",Veri_Guncel!H221)</f>
        <v/>
      </c>
      <c r="N221" s="18" t="str">
        <f aca="false">IF(A221="","",IFERROR(INDEX(Veri_Onceki!$H:$H,MATCH(A221,Veri_Onceki!$A:$A,0)),""))</f>
        <v/>
      </c>
      <c r="O221" s="14" t="str">
        <f aca="false">IF(A221="","",IF(AND(H221&gt;=1,EDATE(E221,12*H221)&gt;Ayarlar!$B$4,EDATE(E221,12*H221)&lt;=Ayarlar!$B$3),J221,0))</f>
        <v/>
      </c>
      <c r="P221" s="14" t="str">
        <f aca="false">IF(OR(A221="",N221=""),"",N221+O221-M221)</f>
        <v/>
      </c>
      <c r="Q221" s="16" t="str">
        <f aca="false">IF(A221="","",IF(M221&gt;=Ayarlar!$B$7,"ALARM",IF(M221&gt;=Ayarlar!$B$6,"Planla","")))</f>
        <v/>
      </c>
      <c r="R221" s="14" t="str">
        <f aca="false">IF(A221="","",IF(AND(L221&gt;=0,L221&lt;=Ayarlar!$B$9),"Evet",""))</f>
        <v/>
      </c>
      <c r="S221" s="16" t="str">
        <f aca="false">IF(A221="","",IF(N221="","Yeni personel",IF(P221&lt;0,"Kontrol et","")))</f>
        <v/>
      </c>
      <c r="T221" s="14" t="str">
        <f aca="false">IF(A221="","",IF(AND(G221=1,M221&gt;=Ayarlar!$B$6,OR(Ayarlar!$B$11="Tümü",C221=Ayarlar!$B$11)),M221+ROW()/100000,""))</f>
        <v/>
      </c>
    </row>
    <row r="222" customFormat="false" ht="15" hidden="false" customHeight="false" outlineLevel="0" collapsed="false">
      <c r="A222" s="18" t="str">
        <f aca="false">IF(Veri_Guncel!A222="","",Veri_Guncel!A222)</f>
        <v/>
      </c>
      <c r="B222" s="18" t="str">
        <f aca="false">IF($A222="","",Veri_Guncel!B222)</f>
        <v/>
      </c>
      <c r="C222" s="18" t="str">
        <f aca="false">IF($A222="","",Veri_Guncel!C222)</f>
        <v/>
      </c>
      <c r="D222" s="18" t="str">
        <f aca="false">IF($A222="","",Veri_Guncel!D222)</f>
        <v/>
      </c>
      <c r="E222" s="19" t="str">
        <f aca="false">IF($A222="","",Veri_Guncel!E222)</f>
        <v/>
      </c>
      <c r="F222" s="19" t="str">
        <f aca="false">IF($A222="","",Veri_Guncel!F222)</f>
        <v/>
      </c>
      <c r="G222" s="14" t="str">
        <f aca="false">IF(A222="","",IF(COUNTIF(Ayarlar!$A$15:$A$20,C222)&gt;0,1,0))</f>
        <v/>
      </c>
      <c r="H222" s="14" t="str">
        <f aca="false">IF(A222="","",DATEDIF(E222,Ayarlar!$B$3,"y"))</f>
        <v/>
      </c>
      <c r="I222" s="14" t="str">
        <f aca="false">IF(OR(A222="",F222=""),"",DATEDIF(F222,Ayarlar!$B$3,"y"))</f>
        <v/>
      </c>
      <c r="J222" s="14" t="str">
        <f aca="false">IF(A222="","",IF(H222&lt;1,0,MAX(IF(H222&lt;5,14,IF(H222&lt;15,20,26)),IF(AND(I222&lt;&gt;"",OR(I222&lt;=18,I222&gt;=50)),20,0))))</f>
        <v/>
      </c>
      <c r="K222" s="17" t="str">
        <f aca="false">IF(A222="","",EDATE(E222,12*(H222+1)))</f>
        <v/>
      </c>
      <c r="L222" s="14" t="str">
        <f aca="false">IF(A222="","",K222-Ayarlar!$B$3)</f>
        <v/>
      </c>
      <c r="M222" s="18" t="str">
        <f aca="false">IF(A222="","",Veri_Guncel!H222)</f>
        <v/>
      </c>
      <c r="N222" s="18" t="str">
        <f aca="false">IF(A222="","",IFERROR(INDEX(Veri_Onceki!$H:$H,MATCH(A222,Veri_Onceki!$A:$A,0)),""))</f>
        <v/>
      </c>
      <c r="O222" s="14" t="str">
        <f aca="false">IF(A222="","",IF(AND(H222&gt;=1,EDATE(E222,12*H222)&gt;Ayarlar!$B$4,EDATE(E222,12*H222)&lt;=Ayarlar!$B$3),J222,0))</f>
        <v/>
      </c>
      <c r="P222" s="14" t="str">
        <f aca="false">IF(OR(A222="",N222=""),"",N222+O222-M222)</f>
        <v/>
      </c>
      <c r="Q222" s="16" t="str">
        <f aca="false">IF(A222="","",IF(M222&gt;=Ayarlar!$B$7,"ALARM",IF(M222&gt;=Ayarlar!$B$6,"Planla","")))</f>
        <v/>
      </c>
      <c r="R222" s="14" t="str">
        <f aca="false">IF(A222="","",IF(AND(L222&gt;=0,L222&lt;=Ayarlar!$B$9),"Evet",""))</f>
        <v/>
      </c>
      <c r="S222" s="16" t="str">
        <f aca="false">IF(A222="","",IF(N222="","Yeni personel",IF(P222&lt;0,"Kontrol et","")))</f>
        <v/>
      </c>
      <c r="T222" s="14" t="str">
        <f aca="false">IF(A222="","",IF(AND(G222=1,M222&gt;=Ayarlar!$B$6,OR(Ayarlar!$B$11="Tümü",C222=Ayarlar!$B$11)),M222+ROW()/100000,""))</f>
        <v/>
      </c>
    </row>
    <row r="223" customFormat="false" ht="15" hidden="false" customHeight="false" outlineLevel="0" collapsed="false">
      <c r="A223" s="18" t="str">
        <f aca="false">IF(Veri_Guncel!A223="","",Veri_Guncel!A223)</f>
        <v/>
      </c>
      <c r="B223" s="18" t="str">
        <f aca="false">IF($A223="","",Veri_Guncel!B223)</f>
        <v/>
      </c>
      <c r="C223" s="18" t="str">
        <f aca="false">IF($A223="","",Veri_Guncel!C223)</f>
        <v/>
      </c>
      <c r="D223" s="18" t="str">
        <f aca="false">IF($A223="","",Veri_Guncel!D223)</f>
        <v/>
      </c>
      <c r="E223" s="19" t="str">
        <f aca="false">IF($A223="","",Veri_Guncel!E223)</f>
        <v/>
      </c>
      <c r="F223" s="19" t="str">
        <f aca="false">IF($A223="","",Veri_Guncel!F223)</f>
        <v/>
      </c>
      <c r="G223" s="14" t="str">
        <f aca="false">IF(A223="","",IF(COUNTIF(Ayarlar!$A$15:$A$20,C223)&gt;0,1,0))</f>
        <v/>
      </c>
      <c r="H223" s="14" t="str">
        <f aca="false">IF(A223="","",DATEDIF(E223,Ayarlar!$B$3,"y"))</f>
        <v/>
      </c>
      <c r="I223" s="14" t="str">
        <f aca="false">IF(OR(A223="",F223=""),"",DATEDIF(F223,Ayarlar!$B$3,"y"))</f>
        <v/>
      </c>
      <c r="J223" s="14" t="str">
        <f aca="false">IF(A223="","",IF(H223&lt;1,0,MAX(IF(H223&lt;5,14,IF(H223&lt;15,20,26)),IF(AND(I223&lt;&gt;"",OR(I223&lt;=18,I223&gt;=50)),20,0))))</f>
        <v/>
      </c>
      <c r="K223" s="17" t="str">
        <f aca="false">IF(A223="","",EDATE(E223,12*(H223+1)))</f>
        <v/>
      </c>
      <c r="L223" s="14" t="str">
        <f aca="false">IF(A223="","",K223-Ayarlar!$B$3)</f>
        <v/>
      </c>
      <c r="M223" s="18" t="str">
        <f aca="false">IF(A223="","",Veri_Guncel!H223)</f>
        <v/>
      </c>
      <c r="N223" s="18" t="str">
        <f aca="false">IF(A223="","",IFERROR(INDEX(Veri_Onceki!$H:$H,MATCH(A223,Veri_Onceki!$A:$A,0)),""))</f>
        <v/>
      </c>
      <c r="O223" s="14" t="str">
        <f aca="false">IF(A223="","",IF(AND(H223&gt;=1,EDATE(E223,12*H223)&gt;Ayarlar!$B$4,EDATE(E223,12*H223)&lt;=Ayarlar!$B$3),J223,0))</f>
        <v/>
      </c>
      <c r="P223" s="14" t="str">
        <f aca="false">IF(OR(A223="",N223=""),"",N223+O223-M223)</f>
        <v/>
      </c>
      <c r="Q223" s="16" t="str">
        <f aca="false">IF(A223="","",IF(M223&gt;=Ayarlar!$B$7,"ALARM",IF(M223&gt;=Ayarlar!$B$6,"Planla","")))</f>
        <v/>
      </c>
      <c r="R223" s="14" t="str">
        <f aca="false">IF(A223="","",IF(AND(L223&gt;=0,L223&lt;=Ayarlar!$B$9),"Evet",""))</f>
        <v/>
      </c>
      <c r="S223" s="16" t="str">
        <f aca="false">IF(A223="","",IF(N223="","Yeni personel",IF(P223&lt;0,"Kontrol et","")))</f>
        <v/>
      </c>
      <c r="T223" s="14" t="str">
        <f aca="false">IF(A223="","",IF(AND(G223=1,M223&gt;=Ayarlar!$B$6,OR(Ayarlar!$B$11="Tümü",C223=Ayarlar!$B$11)),M223+ROW()/100000,""))</f>
        <v/>
      </c>
    </row>
    <row r="224" customFormat="false" ht="15" hidden="false" customHeight="false" outlineLevel="0" collapsed="false">
      <c r="A224" s="18" t="str">
        <f aca="false">IF(Veri_Guncel!A224="","",Veri_Guncel!A224)</f>
        <v/>
      </c>
      <c r="B224" s="18" t="str">
        <f aca="false">IF($A224="","",Veri_Guncel!B224)</f>
        <v/>
      </c>
      <c r="C224" s="18" t="str">
        <f aca="false">IF($A224="","",Veri_Guncel!C224)</f>
        <v/>
      </c>
      <c r="D224" s="18" t="str">
        <f aca="false">IF($A224="","",Veri_Guncel!D224)</f>
        <v/>
      </c>
      <c r="E224" s="19" t="str">
        <f aca="false">IF($A224="","",Veri_Guncel!E224)</f>
        <v/>
      </c>
      <c r="F224" s="19" t="str">
        <f aca="false">IF($A224="","",Veri_Guncel!F224)</f>
        <v/>
      </c>
      <c r="G224" s="14" t="str">
        <f aca="false">IF(A224="","",IF(COUNTIF(Ayarlar!$A$15:$A$20,C224)&gt;0,1,0))</f>
        <v/>
      </c>
      <c r="H224" s="14" t="str">
        <f aca="false">IF(A224="","",DATEDIF(E224,Ayarlar!$B$3,"y"))</f>
        <v/>
      </c>
      <c r="I224" s="14" t="str">
        <f aca="false">IF(OR(A224="",F224=""),"",DATEDIF(F224,Ayarlar!$B$3,"y"))</f>
        <v/>
      </c>
      <c r="J224" s="14" t="str">
        <f aca="false">IF(A224="","",IF(H224&lt;1,0,MAX(IF(H224&lt;5,14,IF(H224&lt;15,20,26)),IF(AND(I224&lt;&gt;"",OR(I224&lt;=18,I224&gt;=50)),20,0))))</f>
        <v/>
      </c>
      <c r="K224" s="17" t="str">
        <f aca="false">IF(A224="","",EDATE(E224,12*(H224+1)))</f>
        <v/>
      </c>
      <c r="L224" s="14" t="str">
        <f aca="false">IF(A224="","",K224-Ayarlar!$B$3)</f>
        <v/>
      </c>
      <c r="M224" s="18" t="str">
        <f aca="false">IF(A224="","",Veri_Guncel!H224)</f>
        <v/>
      </c>
      <c r="N224" s="18" t="str">
        <f aca="false">IF(A224="","",IFERROR(INDEX(Veri_Onceki!$H:$H,MATCH(A224,Veri_Onceki!$A:$A,0)),""))</f>
        <v/>
      </c>
      <c r="O224" s="14" t="str">
        <f aca="false">IF(A224="","",IF(AND(H224&gt;=1,EDATE(E224,12*H224)&gt;Ayarlar!$B$4,EDATE(E224,12*H224)&lt;=Ayarlar!$B$3),J224,0))</f>
        <v/>
      </c>
      <c r="P224" s="14" t="str">
        <f aca="false">IF(OR(A224="",N224=""),"",N224+O224-M224)</f>
        <v/>
      </c>
      <c r="Q224" s="16" t="str">
        <f aca="false">IF(A224="","",IF(M224&gt;=Ayarlar!$B$7,"ALARM",IF(M224&gt;=Ayarlar!$B$6,"Planla","")))</f>
        <v/>
      </c>
      <c r="R224" s="14" t="str">
        <f aca="false">IF(A224="","",IF(AND(L224&gt;=0,L224&lt;=Ayarlar!$B$9),"Evet",""))</f>
        <v/>
      </c>
      <c r="S224" s="16" t="str">
        <f aca="false">IF(A224="","",IF(N224="","Yeni personel",IF(P224&lt;0,"Kontrol et","")))</f>
        <v/>
      </c>
      <c r="T224" s="14" t="str">
        <f aca="false">IF(A224="","",IF(AND(G224=1,M224&gt;=Ayarlar!$B$6,OR(Ayarlar!$B$11="Tümü",C224=Ayarlar!$B$11)),M224+ROW()/100000,""))</f>
        <v/>
      </c>
    </row>
    <row r="225" customFormat="false" ht="15" hidden="false" customHeight="false" outlineLevel="0" collapsed="false">
      <c r="A225" s="18" t="str">
        <f aca="false">IF(Veri_Guncel!A225="","",Veri_Guncel!A225)</f>
        <v/>
      </c>
      <c r="B225" s="18" t="str">
        <f aca="false">IF($A225="","",Veri_Guncel!B225)</f>
        <v/>
      </c>
      <c r="C225" s="18" t="str">
        <f aca="false">IF($A225="","",Veri_Guncel!C225)</f>
        <v/>
      </c>
      <c r="D225" s="18" t="str">
        <f aca="false">IF($A225="","",Veri_Guncel!D225)</f>
        <v/>
      </c>
      <c r="E225" s="19" t="str">
        <f aca="false">IF($A225="","",Veri_Guncel!E225)</f>
        <v/>
      </c>
      <c r="F225" s="19" t="str">
        <f aca="false">IF($A225="","",Veri_Guncel!F225)</f>
        <v/>
      </c>
      <c r="G225" s="14" t="str">
        <f aca="false">IF(A225="","",IF(COUNTIF(Ayarlar!$A$15:$A$20,C225)&gt;0,1,0))</f>
        <v/>
      </c>
      <c r="H225" s="14" t="str">
        <f aca="false">IF(A225="","",DATEDIF(E225,Ayarlar!$B$3,"y"))</f>
        <v/>
      </c>
      <c r="I225" s="14" t="str">
        <f aca="false">IF(OR(A225="",F225=""),"",DATEDIF(F225,Ayarlar!$B$3,"y"))</f>
        <v/>
      </c>
      <c r="J225" s="14" t="str">
        <f aca="false">IF(A225="","",IF(H225&lt;1,0,MAX(IF(H225&lt;5,14,IF(H225&lt;15,20,26)),IF(AND(I225&lt;&gt;"",OR(I225&lt;=18,I225&gt;=50)),20,0))))</f>
        <v/>
      </c>
      <c r="K225" s="17" t="str">
        <f aca="false">IF(A225="","",EDATE(E225,12*(H225+1)))</f>
        <v/>
      </c>
      <c r="L225" s="14" t="str">
        <f aca="false">IF(A225="","",K225-Ayarlar!$B$3)</f>
        <v/>
      </c>
      <c r="M225" s="18" t="str">
        <f aca="false">IF(A225="","",Veri_Guncel!H225)</f>
        <v/>
      </c>
      <c r="N225" s="18" t="str">
        <f aca="false">IF(A225="","",IFERROR(INDEX(Veri_Onceki!$H:$H,MATCH(A225,Veri_Onceki!$A:$A,0)),""))</f>
        <v/>
      </c>
      <c r="O225" s="14" t="str">
        <f aca="false">IF(A225="","",IF(AND(H225&gt;=1,EDATE(E225,12*H225)&gt;Ayarlar!$B$4,EDATE(E225,12*H225)&lt;=Ayarlar!$B$3),J225,0))</f>
        <v/>
      </c>
      <c r="P225" s="14" t="str">
        <f aca="false">IF(OR(A225="",N225=""),"",N225+O225-M225)</f>
        <v/>
      </c>
      <c r="Q225" s="16" t="str">
        <f aca="false">IF(A225="","",IF(M225&gt;=Ayarlar!$B$7,"ALARM",IF(M225&gt;=Ayarlar!$B$6,"Planla","")))</f>
        <v/>
      </c>
      <c r="R225" s="14" t="str">
        <f aca="false">IF(A225="","",IF(AND(L225&gt;=0,L225&lt;=Ayarlar!$B$9),"Evet",""))</f>
        <v/>
      </c>
      <c r="S225" s="16" t="str">
        <f aca="false">IF(A225="","",IF(N225="","Yeni personel",IF(P225&lt;0,"Kontrol et","")))</f>
        <v/>
      </c>
      <c r="T225" s="14" t="str">
        <f aca="false">IF(A225="","",IF(AND(G225=1,M225&gt;=Ayarlar!$B$6,OR(Ayarlar!$B$11="Tümü",C225=Ayarlar!$B$11)),M225+ROW()/100000,""))</f>
        <v/>
      </c>
    </row>
    <row r="226" customFormat="false" ht="15" hidden="false" customHeight="false" outlineLevel="0" collapsed="false">
      <c r="A226" s="18" t="str">
        <f aca="false">IF(Veri_Guncel!A226="","",Veri_Guncel!A226)</f>
        <v/>
      </c>
      <c r="B226" s="18" t="str">
        <f aca="false">IF($A226="","",Veri_Guncel!B226)</f>
        <v/>
      </c>
      <c r="C226" s="18" t="str">
        <f aca="false">IF($A226="","",Veri_Guncel!C226)</f>
        <v/>
      </c>
      <c r="D226" s="18" t="str">
        <f aca="false">IF($A226="","",Veri_Guncel!D226)</f>
        <v/>
      </c>
      <c r="E226" s="19" t="str">
        <f aca="false">IF($A226="","",Veri_Guncel!E226)</f>
        <v/>
      </c>
      <c r="F226" s="19" t="str">
        <f aca="false">IF($A226="","",Veri_Guncel!F226)</f>
        <v/>
      </c>
      <c r="G226" s="14" t="str">
        <f aca="false">IF(A226="","",IF(COUNTIF(Ayarlar!$A$15:$A$20,C226)&gt;0,1,0))</f>
        <v/>
      </c>
      <c r="H226" s="14" t="str">
        <f aca="false">IF(A226="","",DATEDIF(E226,Ayarlar!$B$3,"y"))</f>
        <v/>
      </c>
      <c r="I226" s="14" t="str">
        <f aca="false">IF(OR(A226="",F226=""),"",DATEDIF(F226,Ayarlar!$B$3,"y"))</f>
        <v/>
      </c>
      <c r="J226" s="14" t="str">
        <f aca="false">IF(A226="","",IF(H226&lt;1,0,MAX(IF(H226&lt;5,14,IF(H226&lt;15,20,26)),IF(AND(I226&lt;&gt;"",OR(I226&lt;=18,I226&gt;=50)),20,0))))</f>
        <v/>
      </c>
      <c r="K226" s="17" t="str">
        <f aca="false">IF(A226="","",EDATE(E226,12*(H226+1)))</f>
        <v/>
      </c>
      <c r="L226" s="14" t="str">
        <f aca="false">IF(A226="","",K226-Ayarlar!$B$3)</f>
        <v/>
      </c>
      <c r="M226" s="18" t="str">
        <f aca="false">IF(A226="","",Veri_Guncel!H226)</f>
        <v/>
      </c>
      <c r="N226" s="18" t="str">
        <f aca="false">IF(A226="","",IFERROR(INDEX(Veri_Onceki!$H:$H,MATCH(A226,Veri_Onceki!$A:$A,0)),""))</f>
        <v/>
      </c>
      <c r="O226" s="14" t="str">
        <f aca="false">IF(A226="","",IF(AND(H226&gt;=1,EDATE(E226,12*H226)&gt;Ayarlar!$B$4,EDATE(E226,12*H226)&lt;=Ayarlar!$B$3),J226,0))</f>
        <v/>
      </c>
      <c r="P226" s="14" t="str">
        <f aca="false">IF(OR(A226="",N226=""),"",N226+O226-M226)</f>
        <v/>
      </c>
      <c r="Q226" s="16" t="str">
        <f aca="false">IF(A226="","",IF(M226&gt;=Ayarlar!$B$7,"ALARM",IF(M226&gt;=Ayarlar!$B$6,"Planla","")))</f>
        <v/>
      </c>
      <c r="R226" s="14" t="str">
        <f aca="false">IF(A226="","",IF(AND(L226&gt;=0,L226&lt;=Ayarlar!$B$9),"Evet",""))</f>
        <v/>
      </c>
      <c r="S226" s="16" t="str">
        <f aca="false">IF(A226="","",IF(N226="","Yeni personel",IF(P226&lt;0,"Kontrol et","")))</f>
        <v/>
      </c>
      <c r="T226" s="14" t="str">
        <f aca="false">IF(A226="","",IF(AND(G226=1,M226&gt;=Ayarlar!$B$6,OR(Ayarlar!$B$11="Tümü",C226=Ayarlar!$B$11)),M226+ROW()/100000,""))</f>
        <v/>
      </c>
    </row>
    <row r="227" customFormat="false" ht="15" hidden="false" customHeight="false" outlineLevel="0" collapsed="false">
      <c r="A227" s="18" t="str">
        <f aca="false">IF(Veri_Guncel!A227="","",Veri_Guncel!A227)</f>
        <v/>
      </c>
      <c r="B227" s="18" t="str">
        <f aca="false">IF($A227="","",Veri_Guncel!B227)</f>
        <v/>
      </c>
      <c r="C227" s="18" t="str">
        <f aca="false">IF($A227="","",Veri_Guncel!C227)</f>
        <v/>
      </c>
      <c r="D227" s="18" t="str">
        <f aca="false">IF($A227="","",Veri_Guncel!D227)</f>
        <v/>
      </c>
      <c r="E227" s="19" t="str">
        <f aca="false">IF($A227="","",Veri_Guncel!E227)</f>
        <v/>
      </c>
      <c r="F227" s="19" t="str">
        <f aca="false">IF($A227="","",Veri_Guncel!F227)</f>
        <v/>
      </c>
      <c r="G227" s="14" t="str">
        <f aca="false">IF(A227="","",IF(COUNTIF(Ayarlar!$A$15:$A$20,C227)&gt;0,1,0))</f>
        <v/>
      </c>
      <c r="H227" s="14" t="str">
        <f aca="false">IF(A227="","",DATEDIF(E227,Ayarlar!$B$3,"y"))</f>
        <v/>
      </c>
      <c r="I227" s="14" t="str">
        <f aca="false">IF(OR(A227="",F227=""),"",DATEDIF(F227,Ayarlar!$B$3,"y"))</f>
        <v/>
      </c>
      <c r="J227" s="14" t="str">
        <f aca="false">IF(A227="","",IF(H227&lt;1,0,MAX(IF(H227&lt;5,14,IF(H227&lt;15,20,26)),IF(AND(I227&lt;&gt;"",OR(I227&lt;=18,I227&gt;=50)),20,0))))</f>
        <v/>
      </c>
      <c r="K227" s="17" t="str">
        <f aca="false">IF(A227="","",EDATE(E227,12*(H227+1)))</f>
        <v/>
      </c>
      <c r="L227" s="14" t="str">
        <f aca="false">IF(A227="","",K227-Ayarlar!$B$3)</f>
        <v/>
      </c>
      <c r="M227" s="18" t="str">
        <f aca="false">IF(A227="","",Veri_Guncel!H227)</f>
        <v/>
      </c>
      <c r="N227" s="18" t="str">
        <f aca="false">IF(A227="","",IFERROR(INDEX(Veri_Onceki!$H:$H,MATCH(A227,Veri_Onceki!$A:$A,0)),""))</f>
        <v/>
      </c>
      <c r="O227" s="14" t="str">
        <f aca="false">IF(A227="","",IF(AND(H227&gt;=1,EDATE(E227,12*H227)&gt;Ayarlar!$B$4,EDATE(E227,12*H227)&lt;=Ayarlar!$B$3),J227,0))</f>
        <v/>
      </c>
      <c r="P227" s="14" t="str">
        <f aca="false">IF(OR(A227="",N227=""),"",N227+O227-M227)</f>
        <v/>
      </c>
      <c r="Q227" s="16" t="str">
        <f aca="false">IF(A227="","",IF(M227&gt;=Ayarlar!$B$7,"ALARM",IF(M227&gt;=Ayarlar!$B$6,"Planla","")))</f>
        <v/>
      </c>
      <c r="R227" s="14" t="str">
        <f aca="false">IF(A227="","",IF(AND(L227&gt;=0,L227&lt;=Ayarlar!$B$9),"Evet",""))</f>
        <v/>
      </c>
      <c r="S227" s="16" t="str">
        <f aca="false">IF(A227="","",IF(N227="","Yeni personel",IF(P227&lt;0,"Kontrol et","")))</f>
        <v/>
      </c>
      <c r="T227" s="14" t="str">
        <f aca="false">IF(A227="","",IF(AND(G227=1,M227&gt;=Ayarlar!$B$6,OR(Ayarlar!$B$11="Tümü",C227=Ayarlar!$B$11)),M227+ROW()/100000,""))</f>
        <v/>
      </c>
    </row>
    <row r="228" customFormat="false" ht="15" hidden="false" customHeight="false" outlineLevel="0" collapsed="false">
      <c r="A228" s="18" t="str">
        <f aca="false">IF(Veri_Guncel!A228="","",Veri_Guncel!A228)</f>
        <v/>
      </c>
      <c r="B228" s="18" t="str">
        <f aca="false">IF($A228="","",Veri_Guncel!B228)</f>
        <v/>
      </c>
      <c r="C228" s="18" t="str">
        <f aca="false">IF($A228="","",Veri_Guncel!C228)</f>
        <v/>
      </c>
      <c r="D228" s="18" t="str">
        <f aca="false">IF($A228="","",Veri_Guncel!D228)</f>
        <v/>
      </c>
      <c r="E228" s="19" t="str">
        <f aca="false">IF($A228="","",Veri_Guncel!E228)</f>
        <v/>
      </c>
      <c r="F228" s="19" t="str">
        <f aca="false">IF($A228="","",Veri_Guncel!F228)</f>
        <v/>
      </c>
      <c r="G228" s="14" t="str">
        <f aca="false">IF(A228="","",IF(COUNTIF(Ayarlar!$A$15:$A$20,C228)&gt;0,1,0))</f>
        <v/>
      </c>
      <c r="H228" s="14" t="str">
        <f aca="false">IF(A228="","",DATEDIF(E228,Ayarlar!$B$3,"y"))</f>
        <v/>
      </c>
      <c r="I228" s="14" t="str">
        <f aca="false">IF(OR(A228="",F228=""),"",DATEDIF(F228,Ayarlar!$B$3,"y"))</f>
        <v/>
      </c>
      <c r="J228" s="14" t="str">
        <f aca="false">IF(A228="","",IF(H228&lt;1,0,MAX(IF(H228&lt;5,14,IF(H228&lt;15,20,26)),IF(AND(I228&lt;&gt;"",OR(I228&lt;=18,I228&gt;=50)),20,0))))</f>
        <v/>
      </c>
      <c r="K228" s="17" t="str">
        <f aca="false">IF(A228="","",EDATE(E228,12*(H228+1)))</f>
        <v/>
      </c>
      <c r="L228" s="14" t="str">
        <f aca="false">IF(A228="","",K228-Ayarlar!$B$3)</f>
        <v/>
      </c>
      <c r="M228" s="18" t="str">
        <f aca="false">IF(A228="","",Veri_Guncel!H228)</f>
        <v/>
      </c>
      <c r="N228" s="18" t="str">
        <f aca="false">IF(A228="","",IFERROR(INDEX(Veri_Onceki!$H:$H,MATCH(A228,Veri_Onceki!$A:$A,0)),""))</f>
        <v/>
      </c>
      <c r="O228" s="14" t="str">
        <f aca="false">IF(A228="","",IF(AND(H228&gt;=1,EDATE(E228,12*H228)&gt;Ayarlar!$B$4,EDATE(E228,12*H228)&lt;=Ayarlar!$B$3),J228,0))</f>
        <v/>
      </c>
      <c r="P228" s="14" t="str">
        <f aca="false">IF(OR(A228="",N228=""),"",N228+O228-M228)</f>
        <v/>
      </c>
      <c r="Q228" s="16" t="str">
        <f aca="false">IF(A228="","",IF(M228&gt;=Ayarlar!$B$7,"ALARM",IF(M228&gt;=Ayarlar!$B$6,"Planla","")))</f>
        <v/>
      </c>
      <c r="R228" s="14" t="str">
        <f aca="false">IF(A228="","",IF(AND(L228&gt;=0,L228&lt;=Ayarlar!$B$9),"Evet",""))</f>
        <v/>
      </c>
      <c r="S228" s="16" t="str">
        <f aca="false">IF(A228="","",IF(N228="","Yeni personel",IF(P228&lt;0,"Kontrol et","")))</f>
        <v/>
      </c>
      <c r="T228" s="14" t="str">
        <f aca="false">IF(A228="","",IF(AND(G228=1,M228&gt;=Ayarlar!$B$6,OR(Ayarlar!$B$11="Tümü",C228=Ayarlar!$B$11)),M228+ROW()/100000,""))</f>
        <v/>
      </c>
    </row>
    <row r="229" customFormat="false" ht="15" hidden="false" customHeight="false" outlineLevel="0" collapsed="false">
      <c r="A229" s="18" t="str">
        <f aca="false">IF(Veri_Guncel!A229="","",Veri_Guncel!A229)</f>
        <v/>
      </c>
      <c r="B229" s="18" t="str">
        <f aca="false">IF($A229="","",Veri_Guncel!B229)</f>
        <v/>
      </c>
      <c r="C229" s="18" t="str">
        <f aca="false">IF($A229="","",Veri_Guncel!C229)</f>
        <v/>
      </c>
      <c r="D229" s="18" t="str">
        <f aca="false">IF($A229="","",Veri_Guncel!D229)</f>
        <v/>
      </c>
      <c r="E229" s="19" t="str">
        <f aca="false">IF($A229="","",Veri_Guncel!E229)</f>
        <v/>
      </c>
      <c r="F229" s="19" t="str">
        <f aca="false">IF($A229="","",Veri_Guncel!F229)</f>
        <v/>
      </c>
      <c r="G229" s="14" t="str">
        <f aca="false">IF(A229="","",IF(COUNTIF(Ayarlar!$A$15:$A$20,C229)&gt;0,1,0))</f>
        <v/>
      </c>
      <c r="H229" s="14" t="str">
        <f aca="false">IF(A229="","",DATEDIF(E229,Ayarlar!$B$3,"y"))</f>
        <v/>
      </c>
      <c r="I229" s="14" t="str">
        <f aca="false">IF(OR(A229="",F229=""),"",DATEDIF(F229,Ayarlar!$B$3,"y"))</f>
        <v/>
      </c>
      <c r="J229" s="14" t="str">
        <f aca="false">IF(A229="","",IF(H229&lt;1,0,MAX(IF(H229&lt;5,14,IF(H229&lt;15,20,26)),IF(AND(I229&lt;&gt;"",OR(I229&lt;=18,I229&gt;=50)),20,0))))</f>
        <v/>
      </c>
      <c r="K229" s="17" t="str">
        <f aca="false">IF(A229="","",EDATE(E229,12*(H229+1)))</f>
        <v/>
      </c>
      <c r="L229" s="14" t="str">
        <f aca="false">IF(A229="","",K229-Ayarlar!$B$3)</f>
        <v/>
      </c>
      <c r="M229" s="18" t="str">
        <f aca="false">IF(A229="","",Veri_Guncel!H229)</f>
        <v/>
      </c>
      <c r="N229" s="18" t="str">
        <f aca="false">IF(A229="","",IFERROR(INDEX(Veri_Onceki!$H:$H,MATCH(A229,Veri_Onceki!$A:$A,0)),""))</f>
        <v/>
      </c>
      <c r="O229" s="14" t="str">
        <f aca="false">IF(A229="","",IF(AND(H229&gt;=1,EDATE(E229,12*H229)&gt;Ayarlar!$B$4,EDATE(E229,12*H229)&lt;=Ayarlar!$B$3),J229,0))</f>
        <v/>
      </c>
      <c r="P229" s="14" t="str">
        <f aca="false">IF(OR(A229="",N229=""),"",N229+O229-M229)</f>
        <v/>
      </c>
      <c r="Q229" s="16" t="str">
        <f aca="false">IF(A229="","",IF(M229&gt;=Ayarlar!$B$7,"ALARM",IF(M229&gt;=Ayarlar!$B$6,"Planla","")))</f>
        <v/>
      </c>
      <c r="R229" s="14" t="str">
        <f aca="false">IF(A229="","",IF(AND(L229&gt;=0,L229&lt;=Ayarlar!$B$9),"Evet",""))</f>
        <v/>
      </c>
      <c r="S229" s="16" t="str">
        <f aca="false">IF(A229="","",IF(N229="","Yeni personel",IF(P229&lt;0,"Kontrol et","")))</f>
        <v/>
      </c>
      <c r="T229" s="14" t="str">
        <f aca="false">IF(A229="","",IF(AND(G229=1,M229&gt;=Ayarlar!$B$6,OR(Ayarlar!$B$11="Tümü",C229=Ayarlar!$B$11)),M229+ROW()/100000,""))</f>
        <v/>
      </c>
    </row>
    <row r="230" customFormat="false" ht="15" hidden="false" customHeight="false" outlineLevel="0" collapsed="false">
      <c r="A230" s="18" t="str">
        <f aca="false">IF(Veri_Guncel!A230="","",Veri_Guncel!A230)</f>
        <v/>
      </c>
      <c r="B230" s="18" t="str">
        <f aca="false">IF($A230="","",Veri_Guncel!B230)</f>
        <v/>
      </c>
      <c r="C230" s="18" t="str">
        <f aca="false">IF($A230="","",Veri_Guncel!C230)</f>
        <v/>
      </c>
      <c r="D230" s="18" t="str">
        <f aca="false">IF($A230="","",Veri_Guncel!D230)</f>
        <v/>
      </c>
      <c r="E230" s="19" t="str">
        <f aca="false">IF($A230="","",Veri_Guncel!E230)</f>
        <v/>
      </c>
      <c r="F230" s="19" t="str">
        <f aca="false">IF($A230="","",Veri_Guncel!F230)</f>
        <v/>
      </c>
      <c r="G230" s="14" t="str">
        <f aca="false">IF(A230="","",IF(COUNTIF(Ayarlar!$A$15:$A$20,C230)&gt;0,1,0))</f>
        <v/>
      </c>
      <c r="H230" s="14" t="str">
        <f aca="false">IF(A230="","",DATEDIF(E230,Ayarlar!$B$3,"y"))</f>
        <v/>
      </c>
      <c r="I230" s="14" t="str">
        <f aca="false">IF(OR(A230="",F230=""),"",DATEDIF(F230,Ayarlar!$B$3,"y"))</f>
        <v/>
      </c>
      <c r="J230" s="14" t="str">
        <f aca="false">IF(A230="","",IF(H230&lt;1,0,MAX(IF(H230&lt;5,14,IF(H230&lt;15,20,26)),IF(AND(I230&lt;&gt;"",OR(I230&lt;=18,I230&gt;=50)),20,0))))</f>
        <v/>
      </c>
      <c r="K230" s="17" t="str">
        <f aca="false">IF(A230="","",EDATE(E230,12*(H230+1)))</f>
        <v/>
      </c>
      <c r="L230" s="14" t="str">
        <f aca="false">IF(A230="","",K230-Ayarlar!$B$3)</f>
        <v/>
      </c>
      <c r="M230" s="18" t="str">
        <f aca="false">IF(A230="","",Veri_Guncel!H230)</f>
        <v/>
      </c>
      <c r="N230" s="18" t="str">
        <f aca="false">IF(A230="","",IFERROR(INDEX(Veri_Onceki!$H:$H,MATCH(A230,Veri_Onceki!$A:$A,0)),""))</f>
        <v/>
      </c>
      <c r="O230" s="14" t="str">
        <f aca="false">IF(A230="","",IF(AND(H230&gt;=1,EDATE(E230,12*H230)&gt;Ayarlar!$B$4,EDATE(E230,12*H230)&lt;=Ayarlar!$B$3),J230,0))</f>
        <v/>
      </c>
      <c r="P230" s="14" t="str">
        <f aca="false">IF(OR(A230="",N230=""),"",N230+O230-M230)</f>
        <v/>
      </c>
      <c r="Q230" s="16" t="str">
        <f aca="false">IF(A230="","",IF(M230&gt;=Ayarlar!$B$7,"ALARM",IF(M230&gt;=Ayarlar!$B$6,"Planla","")))</f>
        <v/>
      </c>
      <c r="R230" s="14" t="str">
        <f aca="false">IF(A230="","",IF(AND(L230&gt;=0,L230&lt;=Ayarlar!$B$9),"Evet",""))</f>
        <v/>
      </c>
      <c r="S230" s="16" t="str">
        <f aca="false">IF(A230="","",IF(N230="","Yeni personel",IF(P230&lt;0,"Kontrol et","")))</f>
        <v/>
      </c>
      <c r="T230" s="14" t="str">
        <f aca="false">IF(A230="","",IF(AND(G230=1,M230&gt;=Ayarlar!$B$6,OR(Ayarlar!$B$11="Tümü",C230=Ayarlar!$B$11)),M230+ROW()/100000,""))</f>
        <v/>
      </c>
    </row>
    <row r="231" customFormat="false" ht="15" hidden="false" customHeight="false" outlineLevel="0" collapsed="false">
      <c r="A231" s="18" t="str">
        <f aca="false">IF(Veri_Guncel!A231="","",Veri_Guncel!A231)</f>
        <v/>
      </c>
      <c r="B231" s="18" t="str">
        <f aca="false">IF($A231="","",Veri_Guncel!B231)</f>
        <v/>
      </c>
      <c r="C231" s="18" t="str">
        <f aca="false">IF($A231="","",Veri_Guncel!C231)</f>
        <v/>
      </c>
      <c r="D231" s="18" t="str">
        <f aca="false">IF($A231="","",Veri_Guncel!D231)</f>
        <v/>
      </c>
      <c r="E231" s="19" t="str">
        <f aca="false">IF($A231="","",Veri_Guncel!E231)</f>
        <v/>
      </c>
      <c r="F231" s="19" t="str">
        <f aca="false">IF($A231="","",Veri_Guncel!F231)</f>
        <v/>
      </c>
      <c r="G231" s="14" t="str">
        <f aca="false">IF(A231="","",IF(COUNTIF(Ayarlar!$A$15:$A$20,C231)&gt;0,1,0))</f>
        <v/>
      </c>
      <c r="H231" s="14" t="str">
        <f aca="false">IF(A231="","",DATEDIF(E231,Ayarlar!$B$3,"y"))</f>
        <v/>
      </c>
      <c r="I231" s="14" t="str">
        <f aca="false">IF(OR(A231="",F231=""),"",DATEDIF(F231,Ayarlar!$B$3,"y"))</f>
        <v/>
      </c>
      <c r="J231" s="14" t="str">
        <f aca="false">IF(A231="","",IF(H231&lt;1,0,MAX(IF(H231&lt;5,14,IF(H231&lt;15,20,26)),IF(AND(I231&lt;&gt;"",OR(I231&lt;=18,I231&gt;=50)),20,0))))</f>
        <v/>
      </c>
      <c r="K231" s="17" t="str">
        <f aca="false">IF(A231="","",EDATE(E231,12*(H231+1)))</f>
        <v/>
      </c>
      <c r="L231" s="14" t="str">
        <f aca="false">IF(A231="","",K231-Ayarlar!$B$3)</f>
        <v/>
      </c>
      <c r="M231" s="18" t="str">
        <f aca="false">IF(A231="","",Veri_Guncel!H231)</f>
        <v/>
      </c>
      <c r="N231" s="18" t="str">
        <f aca="false">IF(A231="","",IFERROR(INDEX(Veri_Onceki!$H:$H,MATCH(A231,Veri_Onceki!$A:$A,0)),""))</f>
        <v/>
      </c>
      <c r="O231" s="14" t="str">
        <f aca="false">IF(A231="","",IF(AND(H231&gt;=1,EDATE(E231,12*H231)&gt;Ayarlar!$B$4,EDATE(E231,12*H231)&lt;=Ayarlar!$B$3),J231,0))</f>
        <v/>
      </c>
      <c r="P231" s="14" t="str">
        <f aca="false">IF(OR(A231="",N231=""),"",N231+O231-M231)</f>
        <v/>
      </c>
      <c r="Q231" s="16" t="str">
        <f aca="false">IF(A231="","",IF(M231&gt;=Ayarlar!$B$7,"ALARM",IF(M231&gt;=Ayarlar!$B$6,"Planla","")))</f>
        <v/>
      </c>
      <c r="R231" s="14" t="str">
        <f aca="false">IF(A231="","",IF(AND(L231&gt;=0,L231&lt;=Ayarlar!$B$9),"Evet",""))</f>
        <v/>
      </c>
      <c r="S231" s="16" t="str">
        <f aca="false">IF(A231="","",IF(N231="","Yeni personel",IF(P231&lt;0,"Kontrol et","")))</f>
        <v/>
      </c>
      <c r="T231" s="14" t="str">
        <f aca="false">IF(A231="","",IF(AND(G231=1,M231&gt;=Ayarlar!$B$6,OR(Ayarlar!$B$11="Tümü",C231=Ayarlar!$B$11)),M231+ROW()/100000,""))</f>
        <v/>
      </c>
    </row>
    <row r="232" customFormat="false" ht="15" hidden="false" customHeight="false" outlineLevel="0" collapsed="false">
      <c r="A232" s="18" t="str">
        <f aca="false">IF(Veri_Guncel!A232="","",Veri_Guncel!A232)</f>
        <v/>
      </c>
      <c r="B232" s="18" t="str">
        <f aca="false">IF($A232="","",Veri_Guncel!B232)</f>
        <v/>
      </c>
      <c r="C232" s="18" t="str">
        <f aca="false">IF($A232="","",Veri_Guncel!C232)</f>
        <v/>
      </c>
      <c r="D232" s="18" t="str">
        <f aca="false">IF($A232="","",Veri_Guncel!D232)</f>
        <v/>
      </c>
      <c r="E232" s="19" t="str">
        <f aca="false">IF($A232="","",Veri_Guncel!E232)</f>
        <v/>
      </c>
      <c r="F232" s="19" t="str">
        <f aca="false">IF($A232="","",Veri_Guncel!F232)</f>
        <v/>
      </c>
      <c r="G232" s="14" t="str">
        <f aca="false">IF(A232="","",IF(COUNTIF(Ayarlar!$A$15:$A$20,C232)&gt;0,1,0))</f>
        <v/>
      </c>
      <c r="H232" s="14" t="str">
        <f aca="false">IF(A232="","",DATEDIF(E232,Ayarlar!$B$3,"y"))</f>
        <v/>
      </c>
      <c r="I232" s="14" t="str">
        <f aca="false">IF(OR(A232="",F232=""),"",DATEDIF(F232,Ayarlar!$B$3,"y"))</f>
        <v/>
      </c>
      <c r="J232" s="14" t="str">
        <f aca="false">IF(A232="","",IF(H232&lt;1,0,MAX(IF(H232&lt;5,14,IF(H232&lt;15,20,26)),IF(AND(I232&lt;&gt;"",OR(I232&lt;=18,I232&gt;=50)),20,0))))</f>
        <v/>
      </c>
      <c r="K232" s="17" t="str">
        <f aca="false">IF(A232="","",EDATE(E232,12*(H232+1)))</f>
        <v/>
      </c>
      <c r="L232" s="14" t="str">
        <f aca="false">IF(A232="","",K232-Ayarlar!$B$3)</f>
        <v/>
      </c>
      <c r="M232" s="18" t="str">
        <f aca="false">IF(A232="","",Veri_Guncel!H232)</f>
        <v/>
      </c>
      <c r="N232" s="18" t="str">
        <f aca="false">IF(A232="","",IFERROR(INDEX(Veri_Onceki!$H:$H,MATCH(A232,Veri_Onceki!$A:$A,0)),""))</f>
        <v/>
      </c>
      <c r="O232" s="14" t="str">
        <f aca="false">IF(A232="","",IF(AND(H232&gt;=1,EDATE(E232,12*H232)&gt;Ayarlar!$B$4,EDATE(E232,12*H232)&lt;=Ayarlar!$B$3),J232,0))</f>
        <v/>
      </c>
      <c r="P232" s="14" t="str">
        <f aca="false">IF(OR(A232="",N232=""),"",N232+O232-M232)</f>
        <v/>
      </c>
      <c r="Q232" s="16" t="str">
        <f aca="false">IF(A232="","",IF(M232&gt;=Ayarlar!$B$7,"ALARM",IF(M232&gt;=Ayarlar!$B$6,"Planla","")))</f>
        <v/>
      </c>
      <c r="R232" s="14" t="str">
        <f aca="false">IF(A232="","",IF(AND(L232&gt;=0,L232&lt;=Ayarlar!$B$9),"Evet",""))</f>
        <v/>
      </c>
      <c r="S232" s="16" t="str">
        <f aca="false">IF(A232="","",IF(N232="","Yeni personel",IF(P232&lt;0,"Kontrol et","")))</f>
        <v/>
      </c>
      <c r="T232" s="14" t="str">
        <f aca="false">IF(A232="","",IF(AND(G232=1,M232&gt;=Ayarlar!$B$6,OR(Ayarlar!$B$11="Tümü",C232=Ayarlar!$B$11)),M232+ROW()/100000,""))</f>
        <v/>
      </c>
    </row>
    <row r="233" customFormat="false" ht="15" hidden="false" customHeight="false" outlineLevel="0" collapsed="false">
      <c r="A233" s="18" t="str">
        <f aca="false">IF(Veri_Guncel!A233="","",Veri_Guncel!A233)</f>
        <v/>
      </c>
      <c r="B233" s="18" t="str">
        <f aca="false">IF($A233="","",Veri_Guncel!B233)</f>
        <v/>
      </c>
      <c r="C233" s="18" t="str">
        <f aca="false">IF($A233="","",Veri_Guncel!C233)</f>
        <v/>
      </c>
      <c r="D233" s="18" t="str">
        <f aca="false">IF($A233="","",Veri_Guncel!D233)</f>
        <v/>
      </c>
      <c r="E233" s="19" t="str">
        <f aca="false">IF($A233="","",Veri_Guncel!E233)</f>
        <v/>
      </c>
      <c r="F233" s="19" t="str">
        <f aca="false">IF($A233="","",Veri_Guncel!F233)</f>
        <v/>
      </c>
      <c r="G233" s="14" t="str">
        <f aca="false">IF(A233="","",IF(COUNTIF(Ayarlar!$A$15:$A$20,C233)&gt;0,1,0))</f>
        <v/>
      </c>
      <c r="H233" s="14" t="str">
        <f aca="false">IF(A233="","",DATEDIF(E233,Ayarlar!$B$3,"y"))</f>
        <v/>
      </c>
      <c r="I233" s="14" t="str">
        <f aca="false">IF(OR(A233="",F233=""),"",DATEDIF(F233,Ayarlar!$B$3,"y"))</f>
        <v/>
      </c>
      <c r="J233" s="14" t="str">
        <f aca="false">IF(A233="","",IF(H233&lt;1,0,MAX(IF(H233&lt;5,14,IF(H233&lt;15,20,26)),IF(AND(I233&lt;&gt;"",OR(I233&lt;=18,I233&gt;=50)),20,0))))</f>
        <v/>
      </c>
      <c r="K233" s="17" t="str">
        <f aca="false">IF(A233="","",EDATE(E233,12*(H233+1)))</f>
        <v/>
      </c>
      <c r="L233" s="14" t="str">
        <f aca="false">IF(A233="","",K233-Ayarlar!$B$3)</f>
        <v/>
      </c>
      <c r="M233" s="18" t="str">
        <f aca="false">IF(A233="","",Veri_Guncel!H233)</f>
        <v/>
      </c>
      <c r="N233" s="18" t="str">
        <f aca="false">IF(A233="","",IFERROR(INDEX(Veri_Onceki!$H:$H,MATCH(A233,Veri_Onceki!$A:$A,0)),""))</f>
        <v/>
      </c>
      <c r="O233" s="14" t="str">
        <f aca="false">IF(A233="","",IF(AND(H233&gt;=1,EDATE(E233,12*H233)&gt;Ayarlar!$B$4,EDATE(E233,12*H233)&lt;=Ayarlar!$B$3),J233,0))</f>
        <v/>
      </c>
      <c r="P233" s="14" t="str">
        <f aca="false">IF(OR(A233="",N233=""),"",N233+O233-M233)</f>
        <v/>
      </c>
      <c r="Q233" s="16" t="str">
        <f aca="false">IF(A233="","",IF(M233&gt;=Ayarlar!$B$7,"ALARM",IF(M233&gt;=Ayarlar!$B$6,"Planla","")))</f>
        <v/>
      </c>
      <c r="R233" s="14" t="str">
        <f aca="false">IF(A233="","",IF(AND(L233&gt;=0,L233&lt;=Ayarlar!$B$9),"Evet",""))</f>
        <v/>
      </c>
      <c r="S233" s="16" t="str">
        <f aca="false">IF(A233="","",IF(N233="","Yeni personel",IF(P233&lt;0,"Kontrol et","")))</f>
        <v/>
      </c>
      <c r="T233" s="14" t="str">
        <f aca="false">IF(A233="","",IF(AND(G233=1,M233&gt;=Ayarlar!$B$6,OR(Ayarlar!$B$11="Tümü",C233=Ayarlar!$B$11)),M233+ROW()/100000,""))</f>
        <v/>
      </c>
    </row>
    <row r="234" customFormat="false" ht="15" hidden="false" customHeight="false" outlineLevel="0" collapsed="false">
      <c r="A234" s="18" t="str">
        <f aca="false">IF(Veri_Guncel!A234="","",Veri_Guncel!A234)</f>
        <v/>
      </c>
      <c r="B234" s="18" t="str">
        <f aca="false">IF($A234="","",Veri_Guncel!B234)</f>
        <v/>
      </c>
      <c r="C234" s="18" t="str">
        <f aca="false">IF($A234="","",Veri_Guncel!C234)</f>
        <v/>
      </c>
      <c r="D234" s="18" t="str">
        <f aca="false">IF($A234="","",Veri_Guncel!D234)</f>
        <v/>
      </c>
      <c r="E234" s="19" t="str">
        <f aca="false">IF($A234="","",Veri_Guncel!E234)</f>
        <v/>
      </c>
      <c r="F234" s="19" t="str">
        <f aca="false">IF($A234="","",Veri_Guncel!F234)</f>
        <v/>
      </c>
      <c r="G234" s="14" t="str">
        <f aca="false">IF(A234="","",IF(COUNTIF(Ayarlar!$A$15:$A$20,C234)&gt;0,1,0))</f>
        <v/>
      </c>
      <c r="H234" s="14" t="str">
        <f aca="false">IF(A234="","",DATEDIF(E234,Ayarlar!$B$3,"y"))</f>
        <v/>
      </c>
      <c r="I234" s="14" t="str">
        <f aca="false">IF(OR(A234="",F234=""),"",DATEDIF(F234,Ayarlar!$B$3,"y"))</f>
        <v/>
      </c>
      <c r="J234" s="14" t="str">
        <f aca="false">IF(A234="","",IF(H234&lt;1,0,MAX(IF(H234&lt;5,14,IF(H234&lt;15,20,26)),IF(AND(I234&lt;&gt;"",OR(I234&lt;=18,I234&gt;=50)),20,0))))</f>
        <v/>
      </c>
      <c r="K234" s="17" t="str">
        <f aca="false">IF(A234="","",EDATE(E234,12*(H234+1)))</f>
        <v/>
      </c>
      <c r="L234" s="14" t="str">
        <f aca="false">IF(A234="","",K234-Ayarlar!$B$3)</f>
        <v/>
      </c>
      <c r="M234" s="18" t="str">
        <f aca="false">IF(A234="","",Veri_Guncel!H234)</f>
        <v/>
      </c>
      <c r="N234" s="18" t="str">
        <f aca="false">IF(A234="","",IFERROR(INDEX(Veri_Onceki!$H:$H,MATCH(A234,Veri_Onceki!$A:$A,0)),""))</f>
        <v/>
      </c>
      <c r="O234" s="14" t="str">
        <f aca="false">IF(A234="","",IF(AND(H234&gt;=1,EDATE(E234,12*H234)&gt;Ayarlar!$B$4,EDATE(E234,12*H234)&lt;=Ayarlar!$B$3),J234,0))</f>
        <v/>
      </c>
      <c r="P234" s="14" t="str">
        <f aca="false">IF(OR(A234="",N234=""),"",N234+O234-M234)</f>
        <v/>
      </c>
      <c r="Q234" s="16" t="str">
        <f aca="false">IF(A234="","",IF(M234&gt;=Ayarlar!$B$7,"ALARM",IF(M234&gt;=Ayarlar!$B$6,"Planla","")))</f>
        <v/>
      </c>
      <c r="R234" s="14" t="str">
        <f aca="false">IF(A234="","",IF(AND(L234&gt;=0,L234&lt;=Ayarlar!$B$9),"Evet",""))</f>
        <v/>
      </c>
      <c r="S234" s="16" t="str">
        <f aca="false">IF(A234="","",IF(N234="","Yeni personel",IF(P234&lt;0,"Kontrol et","")))</f>
        <v/>
      </c>
      <c r="T234" s="14" t="str">
        <f aca="false">IF(A234="","",IF(AND(G234=1,M234&gt;=Ayarlar!$B$6,OR(Ayarlar!$B$11="Tümü",C234=Ayarlar!$B$11)),M234+ROW()/100000,""))</f>
        <v/>
      </c>
    </row>
    <row r="235" customFormat="false" ht="15" hidden="false" customHeight="false" outlineLevel="0" collapsed="false">
      <c r="A235" s="18" t="str">
        <f aca="false">IF(Veri_Guncel!A235="","",Veri_Guncel!A235)</f>
        <v/>
      </c>
      <c r="B235" s="18" t="str">
        <f aca="false">IF($A235="","",Veri_Guncel!B235)</f>
        <v/>
      </c>
      <c r="C235" s="18" t="str">
        <f aca="false">IF($A235="","",Veri_Guncel!C235)</f>
        <v/>
      </c>
      <c r="D235" s="18" t="str">
        <f aca="false">IF($A235="","",Veri_Guncel!D235)</f>
        <v/>
      </c>
      <c r="E235" s="19" t="str">
        <f aca="false">IF($A235="","",Veri_Guncel!E235)</f>
        <v/>
      </c>
      <c r="F235" s="19" t="str">
        <f aca="false">IF($A235="","",Veri_Guncel!F235)</f>
        <v/>
      </c>
      <c r="G235" s="14" t="str">
        <f aca="false">IF(A235="","",IF(COUNTIF(Ayarlar!$A$15:$A$20,C235)&gt;0,1,0))</f>
        <v/>
      </c>
      <c r="H235" s="14" t="str">
        <f aca="false">IF(A235="","",DATEDIF(E235,Ayarlar!$B$3,"y"))</f>
        <v/>
      </c>
      <c r="I235" s="14" t="str">
        <f aca="false">IF(OR(A235="",F235=""),"",DATEDIF(F235,Ayarlar!$B$3,"y"))</f>
        <v/>
      </c>
      <c r="J235" s="14" t="str">
        <f aca="false">IF(A235="","",IF(H235&lt;1,0,MAX(IF(H235&lt;5,14,IF(H235&lt;15,20,26)),IF(AND(I235&lt;&gt;"",OR(I235&lt;=18,I235&gt;=50)),20,0))))</f>
        <v/>
      </c>
      <c r="K235" s="17" t="str">
        <f aca="false">IF(A235="","",EDATE(E235,12*(H235+1)))</f>
        <v/>
      </c>
      <c r="L235" s="14" t="str">
        <f aca="false">IF(A235="","",K235-Ayarlar!$B$3)</f>
        <v/>
      </c>
      <c r="M235" s="18" t="str">
        <f aca="false">IF(A235="","",Veri_Guncel!H235)</f>
        <v/>
      </c>
      <c r="N235" s="18" t="str">
        <f aca="false">IF(A235="","",IFERROR(INDEX(Veri_Onceki!$H:$H,MATCH(A235,Veri_Onceki!$A:$A,0)),""))</f>
        <v/>
      </c>
      <c r="O235" s="14" t="str">
        <f aca="false">IF(A235="","",IF(AND(H235&gt;=1,EDATE(E235,12*H235)&gt;Ayarlar!$B$4,EDATE(E235,12*H235)&lt;=Ayarlar!$B$3),J235,0))</f>
        <v/>
      </c>
      <c r="P235" s="14" t="str">
        <f aca="false">IF(OR(A235="",N235=""),"",N235+O235-M235)</f>
        <v/>
      </c>
      <c r="Q235" s="16" t="str">
        <f aca="false">IF(A235="","",IF(M235&gt;=Ayarlar!$B$7,"ALARM",IF(M235&gt;=Ayarlar!$B$6,"Planla","")))</f>
        <v/>
      </c>
      <c r="R235" s="14" t="str">
        <f aca="false">IF(A235="","",IF(AND(L235&gt;=0,L235&lt;=Ayarlar!$B$9),"Evet",""))</f>
        <v/>
      </c>
      <c r="S235" s="16" t="str">
        <f aca="false">IF(A235="","",IF(N235="","Yeni personel",IF(P235&lt;0,"Kontrol et","")))</f>
        <v/>
      </c>
      <c r="T235" s="14" t="str">
        <f aca="false">IF(A235="","",IF(AND(G235=1,M235&gt;=Ayarlar!$B$6,OR(Ayarlar!$B$11="Tümü",C235=Ayarlar!$B$11)),M235+ROW()/100000,""))</f>
        <v/>
      </c>
    </row>
    <row r="236" customFormat="false" ht="15" hidden="false" customHeight="false" outlineLevel="0" collapsed="false">
      <c r="A236" s="18" t="str">
        <f aca="false">IF(Veri_Guncel!A236="","",Veri_Guncel!A236)</f>
        <v/>
      </c>
      <c r="B236" s="18" t="str">
        <f aca="false">IF($A236="","",Veri_Guncel!B236)</f>
        <v/>
      </c>
      <c r="C236" s="18" t="str">
        <f aca="false">IF($A236="","",Veri_Guncel!C236)</f>
        <v/>
      </c>
      <c r="D236" s="18" t="str">
        <f aca="false">IF($A236="","",Veri_Guncel!D236)</f>
        <v/>
      </c>
      <c r="E236" s="19" t="str">
        <f aca="false">IF($A236="","",Veri_Guncel!E236)</f>
        <v/>
      </c>
      <c r="F236" s="19" t="str">
        <f aca="false">IF($A236="","",Veri_Guncel!F236)</f>
        <v/>
      </c>
      <c r="G236" s="14" t="str">
        <f aca="false">IF(A236="","",IF(COUNTIF(Ayarlar!$A$15:$A$20,C236)&gt;0,1,0))</f>
        <v/>
      </c>
      <c r="H236" s="14" t="str">
        <f aca="false">IF(A236="","",DATEDIF(E236,Ayarlar!$B$3,"y"))</f>
        <v/>
      </c>
      <c r="I236" s="14" t="str">
        <f aca="false">IF(OR(A236="",F236=""),"",DATEDIF(F236,Ayarlar!$B$3,"y"))</f>
        <v/>
      </c>
      <c r="J236" s="14" t="str">
        <f aca="false">IF(A236="","",IF(H236&lt;1,0,MAX(IF(H236&lt;5,14,IF(H236&lt;15,20,26)),IF(AND(I236&lt;&gt;"",OR(I236&lt;=18,I236&gt;=50)),20,0))))</f>
        <v/>
      </c>
      <c r="K236" s="17" t="str">
        <f aca="false">IF(A236="","",EDATE(E236,12*(H236+1)))</f>
        <v/>
      </c>
      <c r="L236" s="14" t="str">
        <f aca="false">IF(A236="","",K236-Ayarlar!$B$3)</f>
        <v/>
      </c>
      <c r="M236" s="18" t="str">
        <f aca="false">IF(A236="","",Veri_Guncel!H236)</f>
        <v/>
      </c>
      <c r="N236" s="18" t="str">
        <f aca="false">IF(A236="","",IFERROR(INDEX(Veri_Onceki!$H:$H,MATCH(A236,Veri_Onceki!$A:$A,0)),""))</f>
        <v/>
      </c>
      <c r="O236" s="14" t="str">
        <f aca="false">IF(A236="","",IF(AND(H236&gt;=1,EDATE(E236,12*H236)&gt;Ayarlar!$B$4,EDATE(E236,12*H236)&lt;=Ayarlar!$B$3),J236,0))</f>
        <v/>
      </c>
      <c r="P236" s="14" t="str">
        <f aca="false">IF(OR(A236="",N236=""),"",N236+O236-M236)</f>
        <v/>
      </c>
      <c r="Q236" s="16" t="str">
        <f aca="false">IF(A236="","",IF(M236&gt;=Ayarlar!$B$7,"ALARM",IF(M236&gt;=Ayarlar!$B$6,"Planla","")))</f>
        <v/>
      </c>
      <c r="R236" s="14" t="str">
        <f aca="false">IF(A236="","",IF(AND(L236&gt;=0,L236&lt;=Ayarlar!$B$9),"Evet",""))</f>
        <v/>
      </c>
      <c r="S236" s="16" t="str">
        <f aca="false">IF(A236="","",IF(N236="","Yeni personel",IF(P236&lt;0,"Kontrol et","")))</f>
        <v/>
      </c>
      <c r="T236" s="14" t="str">
        <f aca="false">IF(A236="","",IF(AND(G236=1,M236&gt;=Ayarlar!$B$6,OR(Ayarlar!$B$11="Tümü",C236=Ayarlar!$B$11)),M236+ROW()/100000,""))</f>
        <v/>
      </c>
    </row>
    <row r="237" customFormat="false" ht="15" hidden="false" customHeight="false" outlineLevel="0" collapsed="false">
      <c r="A237" s="18" t="str">
        <f aca="false">IF(Veri_Guncel!A237="","",Veri_Guncel!A237)</f>
        <v/>
      </c>
      <c r="B237" s="18" t="str">
        <f aca="false">IF($A237="","",Veri_Guncel!B237)</f>
        <v/>
      </c>
      <c r="C237" s="18" t="str">
        <f aca="false">IF($A237="","",Veri_Guncel!C237)</f>
        <v/>
      </c>
      <c r="D237" s="18" t="str">
        <f aca="false">IF($A237="","",Veri_Guncel!D237)</f>
        <v/>
      </c>
      <c r="E237" s="19" t="str">
        <f aca="false">IF($A237="","",Veri_Guncel!E237)</f>
        <v/>
      </c>
      <c r="F237" s="19" t="str">
        <f aca="false">IF($A237="","",Veri_Guncel!F237)</f>
        <v/>
      </c>
      <c r="G237" s="14" t="str">
        <f aca="false">IF(A237="","",IF(COUNTIF(Ayarlar!$A$15:$A$20,C237)&gt;0,1,0))</f>
        <v/>
      </c>
      <c r="H237" s="14" t="str">
        <f aca="false">IF(A237="","",DATEDIF(E237,Ayarlar!$B$3,"y"))</f>
        <v/>
      </c>
      <c r="I237" s="14" t="str">
        <f aca="false">IF(OR(A237="",F237=""),"",DATEDIF(F237,Ayarlar!$B$3,"y"))</f>
        <v/>
      </c>
      <c r="J237" s="14" t="str">
        <f aca="false">IF(A237="","",IF(H237&lt;1,0,MAX(IF(H237&lt;5,14,IF(H237&lt;15,20,26)),IF(AND(I237&lt;&gt;"",OR(I237&lt;=18,I237&gt;=50)),20,0))))</f>
        <v/>
      </c>
      <c r="K237" s="17" t="str">
        <f aca="false">IF(A237="","",EDATE(E237,12*(H237+1)))</f>
        <v/>
      </c>
      <c r="L237" s="14" t="str">
        <f aca="false">IF(A237="","",K237-Ayarlar!$B$3)</f>
        <v/>
      </c>
      <c r="M237" s="18" t="str">
        <f aca="false">IF(A237="","",Veri_Guncel!H237)</f>
        <v/>
      </c>
      <c r="N237" s="18" t="str">
        <f aca="false">IF(A237="","",IFERROR(INDEX(Veri_Onceki!$H:$H,MATCH(A237,Veri_Onceki!$A:$A,0)),""))</f>
        <v/>
      </c>
      <c r="O237" s="14" t="str">
        <f aca="false">IF(A237="","",IF(AND(H237&gt;=1,EDATE(E237,12*H237)&gt;Ayarlar!$B$4,EDATE(E237,12*H237)&lt;=Ayarlar!$B$3),J237,0))</f>
        <v/>
      </c>
      <c r="P237" s="14" t="str">
        <f aca="false">IF(OR(A237="",N237=""),"",N237+O237-M237)</f>
        <v/>
      </c>
      <c r="Q237" s="16" t="str">
        <f aca="false">IF(A237="","",IF(M237&gt;=Ayarlar!$B$7,"ALARM",IF(M237&gt;=Ayarlar!$B$6,"Planla","")))</f>
        <v/>
      </c>
      <c r="R237" s="14" t="str">
        <f aca="false">IF(A237="","",IF(AND(L237&gt;=0,L237&lt;=Ayarlar!$B$9),"Evet",""))</f>
        <v/>
      </c>
      <c r="S237" s="16" t="str">
        <f aca="false">IF(A237="","",IF(N237="","Yeni personel",IF(P237&lt;0,"Kontrol et","")))</f>
        <v/>
      </c>
      <c r="T237" s="14" t="str">
        <f aca="false">IF(A237="","",IF(AND(G237=1,M237&gt;=Ayarlar!$B$6,OR(Ayarlar!$B$11="Tümü",C237=Ayarlar!$B$11)),M237+ROW()/100000,""))</f>
        <v/>
      </c>
    </row>
    <row r="238" customFormat="false" ht="15" hidden="false" customHeight="false" outlineLevel="0" collapsed="false">
      <c r="A238" s="18" t="str">
        <f aca="false">IF(Veri_Guncel!A238="","",Veri_Guncel!A238)</f>
        <v/>
      </c>
      <c r="B238" s="18" t="str">
        <f aca="false">IF($A238="","",Veri_Guncel!B238)</f>
        <v/>
      </c>
      <c r="C238" s="18" t="str">
        <f aca="false">IF($A238="","",Veri_Guncel!C238)</f>
        <v/>
      </c>
      <c r="D238" s="18" t="str">
        <f aca="false">IF($A238="","",Veri_Guncel!D238)</f>
        <v/>
      </c>
      <c r="E238" s="19" t="str">
        <f aca="false">IF($A238="","",Veri_Guncel!E238)</f>
        <v/>
      </c>
      <c r="F238" s="19" t="str">
        <f aca="false">IF($A238="","",Veri_Guncel!F238)</f>
        <v/>
      </c>
      <c r="G238" s="14" t="str">
        <f aca="false">IF(A238="","",IF(COUNTIF(Ayarlar!$A$15:$A$20,C238)&gt;0,1,0))</f>
        <v/>
      </c>
      <c r="H238" s="14" t="str">
        <f aca="false">IF(A238="","",DATEDIF(E238,Ayarlar!$B$3,"y"))</f>
        <v/>
      </c>
      <c r="I238" s="14" t="str">
        <f aca="false">IF(OR(A238="",F238=""),"",DATEDIF(F238,Ayarlar!$B$3,"y"))</f>
        <v/>
      </c>
      <c r="J238" s="14" t="str">
        <f aca="false">IF(A238="","",IF(H238&lt;1,0,MAX(IF(H238&lt;5,14,IF(H238&lt;15,20,26)),IF(AND(I238&lt;&gt;"",OR(I238&lt;=18,I238&gt;=50)),20,0))))</f>
        <v/>
      </c>
      <c r="K238" s="17" t="str">
        <f aca="false">IF(A238="","",EDATE(E238,12*(H238+1)))</f>
        <v/>
      </c>
      <c r="L238" s="14" t="str">
        <f aca="false">IF(A238="","",K238-Ayarlar!$B$3)</f>
        <v/>
      </c>
      <c r="M238" s="18" t="str">
        <f aca="false">IF(A238="","",Veri_Guncel!H238)</f>
        <v/>
      </c>
      <c r="N238" s="18" t="str">
        <f aca="false">IF(A238="","",IFERROR(INDEX(Veri_Onceki!$H:$H,MATCH(A238,Veri_Onceki!$A:$A,0)),""))</f>
        <v/>
      </c>
      <c r="O238" s="14" t="str">
        <f aca="false">IF(A238="","",IF(AND(H238&gt;=1,EDATE(E238,12*H238)&gt;Ayarlar!$B$4,EDATE(E238,12*H238)&lt;=Ayarlar!$B$3),J238,0))</f>
        <v/>
      </c>
      <c r="P238" s="14" t="str">
        <f aca="false">IF(OR(A238="",N238=""),"",N238+O238-M238)</f>
        <v/>
      </c>
      <c r="Q238" s="16" t="str">
        <f aca="false">IF(A238="","",IF(M238&gt;=Ayarlar!$B$7,"ALARM",IF(M238&gt;=Ayarlar!$B$6,"Planla","")))</f>
        <v/>
      </c>
      <c r="R238" s="14" t="str">
        <f aca="false">IF(A238="","",IF(AND(L238&gt;=0,L238&lt;=Ayarlar!$B$9),"Evet",""))</f>
        <v/>
      </c>
      <c r="S238" s="16" t="str">
        <f aca="false">IF(A238="","",IF(N238="","Yeni personel",IF(P238&lt;0,"Kontrol et","")))</f>
        <v/>
      </c>
      <c r="T238" s="14" t="str">
        <f aca="false">IF(A238="","",IF(AND(G238=1,M238&gt;=Ayarlar!$B$6,OR(Ayarlar!$B$11="Tümü",C238=Ayarlar!$B$11)),M238+ROW()/100000,""))</f>
        <v/>
      </c>
    </row>
    <row r="239" customFormat="false" ht="15" hidden="false" customHeight="false" outlineLevel="0" collapsed="false">
      <c r="A239" s="18" t="str">
        <f aca="false">IF(Veri_Guncel!A239="","",Veri_Guncel!A239)</f>
        <v/>
      </c>
      <c r="B239" s="18" t="str">
        <f aca="false">IF($A239="","",Veri_Guncel!B239)</f>
        <v/>
      </c>
      <c r="C239" s="18" t="str">
        <f aca="false">IF($A239="","",Veri_Guncel!C239)</f>
        <v/>
      </c>
      <c r="D239" s="18" t="str">
        <f aca="false">IF($A239="","",Veri_Guncel!D239)</f>
        <v/>
      </c>
      <c r="E239" s="19" t="str">
        <f aca="false">IF($A239="","",Veri_Guncel!E239)</f>
        <v/>
      </c>
      <c r="F239" s="19" t="str">
        <f aca="false">IF($A239="","",Veri_Guncel!F239)</f>
        <v/>
      </c>
      <c r="G239" s="14" t="str">
        <f aca="false">IF(A239="","",IF(COUNTIF(Ayarlar!$A$15:$A$20,C239)&gt;0,1,0))</f>
        <v/>
      </c>
      <c r="H239" s="14" t="str">
        <f aca="false">IF(A239="","",DATEDIF(E239,Ayarlar!$B$3,"y"))</f>
        <v/>
      </c>
      <c r="I239" s="14" t="str">
        <f aca="false">IF(OR(A239="",F239=""),"",DATEDIF(F239,Ayarlar!$B$3,"y"))</f>
        <v/>
      </c>
      <c r="J239" s="14" t="str">
        <f aca="false">IF(A239="","",IF(H239&lt;1,0,MAX(IF(H239&lt;5,14,IF(H239&lt;15,20,26)),IF(AND(I239&lt;&gt;"",OR(I239&lt;=18,I239&gt;=50)),20,0))))</f>
        <v/>
      </c>
      <c r="K239" s="17" t="str">
        <f aca="false">IF(A239="","",EDATE(E239,12*(H239+1)))</f>
        <v/>
      </c>
      <c r="L239" s="14" t="str">
        <f aca="false">IF(A239="","",K239-Ayarlar!$B$3)</f>
        <v/>
      </c>
      <c r="M239" s="18" t="str">
        <f aca="false">IF(A239="","",Veri_Guncel!H239)</f>
        <v/>
      </c>
      <c r="N239" s="18" t="str">
        <f aca="false">IF(A239="","",IFERROR(INDEX(Veri_Onceki!$H:$H,MATCH(A239,Veri_Onceki!$A:$A,0)),""))</f>
        <v/>
      </c>
      <c r="O239" s="14" t="str">
        <f aca="false">IF(A239="","",IF(AND(H239&gt;=1,EDATE(E239,12*H239)&gt;Ayarlar!$B$4,EDATE(E239,12*H239)&lt;=Ayarlar!$B$3),J239,0))</f>
        <v/>
      </c>
      <c r="P239" s="14" t="str">
        <f aca="false">IF(OR(A239="",N239=""),"",N239+O239-M239)</f>
        <v/>
      </c>
      <c r="Q239" s="16" t="str">
        <f aca="false">IF(A239="","",IF(M239&gt;=Ayarlar!$B$7,"ALARM",IF(M239&gt;=Ayarlar!$B$6,"Planla","")))</f>
        <v/>
      </c>
      <c r="R239" s="14" t="str">
        <f aca="false">IF(A239="","",IF(AND(L239&gt;=0,L239&lt;=Ayarlar!$B$9),"Evet",""))</f>
        <v/>
      </c>
      <c r="S239" s="16" t="str">
        <f aca="false">IF(A239="","",IF(N239="","Yeni personel",IF(P239&lt;0,"Kontrol et","")))</f>
        <v/>
      </c>
      <c r="T239" s="14" t="str">
        <f aca="false">IF(A239="","",IF(AND(G239=1,M239&gt;=Ayarlar!$B$6,OR(Ayarlar!$B$11="Tümü",C239=Ayarlar!$B$11)),M239+ROW()/100000,""))</f>
        <v/>
      </c>
    </row>
    <row r="240" customFormat="false" ht="15" hidden="false" customHeight="false" outlineLevel="0" collapsed="false">
      <c r="A240" s="18" t="str">
        <f aca="false">IF(Veri_Guncel!A240="","",Veri_Guncel!A240)</f>
        <v/>
      </c>
      <c r="B240" s="18" t="str">
        <f aca="false">IF($A240="","",Veri_Guncel!B240)</f>
        <v/>
      </c>
      <c r="C240" s="18" t="str">
        <f aca="false">IF($A240="","",Veri_Guncel!C240)</f>
        <v/>
      </c>
      <c r="D240" s="18" t="str">
        <f aca="false">IF($A240="","",Veri_Guncel!D240)</f>
        <v/>
      </c>
      <c r="E240" s="19" t="str">
        <f aca="false">IF($A240="","",Veri_Guncel!E240)</f>
        <v/>
      </c>
      <c r="F240" s="19" t="str">
        <f aca="false">IF($A240="","",Veri_Guncel!F240)</f>
        <v/>
      </c>
      <c r="G240" s="14" t="str">
        <f aca="false">IF(A240="","",IF(COUNTIF(Ayarlar!$A$15:$A$20,C240)&gt;0,1,0))</f>
        <v/>
      </c>
      <c r="H240" s="14" t="str">
        <f aca="false">IF(A240="","",DATEDIF(E240,Ayarlar!$B$3,"y"))</f>
        <v/>
      </c>
      <c r="I240" s="14" t="str">
        <f aca="false">IF(OR(A240="",F240=""),"",DATEDIF(F240,Ayarlar!$B$3,"y"))</f>
        <v/>
      </c>
      <c r="J240" s="14" t="str">
        <f aca="false">IF(A240="","",IF(H240&lt;1,0,MAX(IF(H240&lt;5,14,IF(H240&lt;15,20,26)),IF(AND(I240&lt;&gt;"",OR(I240&lt;=18,I240&gt;=50)),20,0))))</f>
        <v/>
      </c>
      <c r="K240" s="17" t="str">
        <f aca="false">IF(A240="","",EDATE(E240,12*(H240+1)))</f>
        <v/>
      </c>
      <c r="L240" s="14" t="str">
        <f aca="false">IF(A240="","",K240-Ayarlar!$B$3)</f>
        <v/>
      </c>
      <c r="M240" s="18" t="str">
        <f aca="false">IF(A240="","",Veri_Guncel!H240)</f>
        <v/>
      </c>
      <c r="N240" s="18" t="str">
        <f aca="false">IF(A240="","",IFERROR(INDEX(Veri_Onceki!$H:$H,MATCH(A240,Veri_Onceki!$A:$A,0)),""))</f>
        <v/>
      </c>
      <c r="O240" s="14" t="str">
        <f aca="false">IF(A240="","",IF(AND(H240&gt;=1,EDATE(E240,12*H240)&gt;Ayarlar!$B$4,EDATE(E240,12*H240)&lt;=Ayarlar!$B$3),J240,0))</f>
        <v/>
      </c>
      <c r="P240" s="14" t="str">
        <f aca="false">IF(OR(A240="",N240=""),"",N240+O240-M240)</f>
        <v/>
      </c>
      <c r="Q240" s="16" t="str">
        <f aca="false">IF(A240="","",IF(M240&gt;=Ayarlar!$B$7,"ALARM",IF(M240&gt;=Ayarlar!$B$6,"Planla","")))</f>
        <v/>
      </c>
      <c r="R240" s="14" t="str">
        <f aca="false">IF(A240="","",IF(AND(L240&gt;=0,L240&lt;=Ayarlar!$B$9),"Evet",""))</f>
        <v/>
      </c>
      <c r="S240" s="16" t="str">
        <f aca="false">IF(A240="","",IF(N240="","Yeni personel",IF(P240&lt;0,"Kontrol et","")))</f>
        <v/>
      </c>
      <c r="T240" s="14" t="str">
        <f aca="false">IF(A240="","",IF(AND(G240=1,M240&gt;=Ayarlar!$B$6,OR(Ayarlar!$B$11="Tümü",C240=Ayarlar!$B$11)),M240+ROW()/100000,""))</f>
        <v/>
      </c>
    </row>
    <row r="241" customFormat="false" ht="15" hidden="false" customHeight="false" outlineLevel="0" collapsed="false">
      <c r="A241" s="18" t="str">
        <f aca="false">IF(Veri_Guncel!A241="","",Veri_Guncel!A241)</f>
        <v/>
      </c>
      <c r="B241" s="18" t="str">
        <f aca="false">IF($A241="","",Veri_Guncel!B241)</f>
        <v/>
      </c>
      <c r="C241" s="18" t="str">
        <f aca="false">IF($A241="","",Veri_Guncel!C241)</f>
        <v/>
      </c>
      <c r="D241" s="18" t="str">
        <f aca="false">IF($A241="","",Veri_Guncel!D241)</f>
        <v/>
      </c>
      <c r="E241" s="19" t="str">
        <f aca="false">IF($A241="","",Veri_Guncel!E241)</f>
        <v/>
      </c>
      <c r="F241" s="19" t="str">
        <f aca="false">IF($A241="","",Veri_Guncel!F241)</f>
        <v/>
      </c>
      <c r="G241" s="14" t="str">
        <f aca="false">IF(A241="","",IF(COUNTIF(Ayarlar!$A$15:$A$20,C241)&gt;0,1,0))</f>
        <v/>
      </c>
      <c r="H241" s="14" t="str">
        <f aca="false">IF(A241="","",DATEDIF(E241,Ayarlar!$B$3,"y"))</f>
        <v/>
      </c>
      <c r="I241" s="14" t="str">
        <f aca="false">IF(OR(A241="",F241=""),"",DATEDIF(F241,Ayarlar!$B$3,"y"))</f>
        <v/>
      </c>
      <c r="J241" s="14" t="str">
        <f aca="false">IF(A241="","",IF(H241&lt;1,0,MAX(IF(H241&lt;5,14,IF(H241&lt;15,20,26)),IF(AND(I241&lt;&gt;"",OR(I241&lt;=18,I241&gt;=50)),20,0))))</f>
        <v/>
      </c>
      <c r="K241" s="17" t="str">
        <f aca="false">IF(A241="","",EDATE(E241,12*(H241+1)))</f>
        <v/>
      </c>
      <c r="L241" s="14" t="str">
        <f aca="false">IF(A241="","",K241-Ayarlar!$B$3)</f>
        <v/>
      </c>
      <c r="M241" s="18" t="str">
        <f aca="false">IF(A241="","",Veri_Guncel!H241)</f>
        <v/>
      </c>
      <c r="N241" s="18" t="str">
        <f aca="false">IF(A241="","",IFERROR(INDEX(Veri_Onceki!$H:$H,MATCH(A241,Veri_Onceki!$A:$A,0)),""))</f>
        <v/>
      </c>
      <c r="O241" s="14" t="str">
        <f aca="false">IF(A241="","",IF(AND(H241&gt;=1,EDATE(E241,12*H241)&gt;Ayarlar!$B$4,EDATE(E241,12*H241)&lt;=Ayarlar!$B$3),J241,0))</f>
        <v/>
      </c>
      <c r="P241" s="14" t="str">
        <f aca="false">IF(OR(A241="",N241=""),"",N241+O241-M241)</f>
        <v/>
      </c>
      <c r="Q241" s="16" t="str">
        <f aca="false">IF(A241="","",IF(M241&gt;=Ayarlar!$B$7,"ALARM",IF(M241&gt;=Ayarlar!$B$6,"Planla","")))</f>
        <v/>
      </c>
      <c r="R241" s="14" t="str">
        <f aca="false">IF(A241="","",IF(AND(L241&gt;=0,L241&lt;=Ayarlar!$B$9),"Evet",""))</f>
        <v/>
      </c>
      <c r="S241" s="16" t="str">
        <f aca="false">IF(A241="","",IF(N241="","Yeni personel",IF(P241&lt;0,"Kontrol et","")))</f>
        <v/>
      </c>
      <c r="T241" s="14" t="str">
        <f aca="false">IF(A241="","",IF(AND(G241=1,M241&gt;=Ayarlar!$B$6,OR(Ayarlar!$B$11="Tümü",C241=Ayarlar!$B$11)),M241+ROW()/100000,""))</f>
        <v/>
      </c>
    </row>
    <row r="242" customFormat="false" ht="15" hidden="false" customHeight="false" outlineLevel="0" collapsed="false">
      <c r="A242" s="18" t="str">
        <f aca="false">IF(Veri_Guncel!A242="","",Veri_Guncel!A242)</f>
        <v/>
      </c>
      <c r="B242" s="18" t="str">
        <f aca="false">IF($A242="","",Veri_Guncel!B242)</f>
        <v/>
      </c>
      <c r="C242" s="18" t="str">
        <f aca="false">IF($A242="","",Veri_Guncel!C242)</f>
        <v/>
      </c>
      <c r="D242" s="18" t="str">
        <f aca="false">IF($A242="","",Veri_Guncel!D242)</f>
        <v/>
      </c>
      <c r="E242" s="19" t="str">
        <f aca="false">IF($A242="","",Veri_Guncel!E242)</f>
        <v/>
      </c>
      <c r="F242" s="19" t="str">
        <f aca="false">IF($A242="","",Veri_Guncel!F242)</f>
        <v/>
      </c>
      <c r="G242" s="14" t="str">
        <f aca="false">IF(A242="","",IF(COUNTIF(Ayarlar!$A$15:$A$20,C242)&gt;0,1,0))</f>
        <v/>
      </c>
      <c r="H242" s="14" t="str">
        <f aca="false">IF(A242="","",DATEDIF(E242,Ayarlar!$B$3,"y"))</f>
        <v/>
      </c>
      <c r="I242" s="14" t="str">
        <f aca="false">IF(OR(A242="",F242=""),"",DATEDIF(F242,Ayarlar!$B$3,"y"))</f>
        <v/>
      </c>
      <c r="J242" s="14" t="str">
        <f aca="false">IF(A242="","",IF(H242&lt;1,0,MAX(IF(H242&lt;5,14,IF(H242&lt;15,20,26)),IF(AND(I242&lt;&gt;"",OR(I242&lt;=18,I242&gt;=50)),20,0))))</f>
        <v/>
      </c>
      <c r="K242" s="17" t="str">
        <f aca="false">IF(A242="","",EDATE(E242,12*(H242+1)))</f>
        <v/>
      </c>
      <c r="L242" s="14" t="str">
        <f aca="false">IF(A242="","",K242-Ayarlar!$B$3)</f>
        <v/>
      </c>
      <c r="M242" s="18" t="str">
        <f aca="false">IF(A242="","",Veri_Guncel!H242)</f>
        <v/>
      </c>
      <c r="N242" s="18" t="str">
        <f aca="false">IF(A242="","",IFERROR(INDEX(Veri_Onceki!$H:$H,MATCH(A242,Veri_Onceki!$A:$A,0)),""))</f>
        <v/>
      </c>
      <c r="O242" s="14" t="str">
        <f aca="false">IF(A242="","",IF(AND(H242&gt;=1,EDATE(E242,12*H242)&gt;Ayarlar!$B$4,EDATE(E242,12*H242)&lt;=Ayarlar!$B$3),J242,0))</f>
        <v/>
      </c>
      <c r="P242" s="14" t="str">
        <f aca="false">IF(OR(A242="",N242=""),"",N242+O242-M242)</f>
        <v/>
      </c>
      <c r="Q242" s="16" t="str">
        <f aca="false">IF(A242="","",IF(M242&gt;=Ayarlar!$B$7,"ALARM",IF(M242&gt;=Ayarlar!$B$6,"Planla","")))</f>
        <v/>
      </c>
      <c r="R242" s="14" t="str">
        <f aca="false">IF(A242="","",IF(AND(L242&gt;=0,L242&lt;=Ayarlar!$B$9),"Evet",""))</f>
        <v/>
      </c>
      <c r="S242" s="16" t="str">
        <f aca="false">IF(A242="","",IF(N242="","Yeni personel",IF(P242&lt;0,"Kontrol et","")))</f>
        <v/>
      </c>
      <c r="T242" s="14" t="str">
        <f aca="false">IF(A242="","",IF(AND(G242=1,M242&gt;=Ayarlar!$B$6,OR(Ayarlar!$B$11="Tümü",C242=Ayarlar!$B$11)),M242+ROW()/100000,""))</f>
        <v/>
      </c>
    </row>
    <row r="243" customFormat="false" ht="15" hidden="false" customHeight="false" outlineLevel="0" collapsed="false">
      <c r="A243" s="18" t="str">
        <f aca="false">IF(Veri_Guncel!A243="","",Veri_Guncel!A243)</f>
        <v/>
      </c>
      <c r="B243" s="18" t="str">
        <f aca="false">IF($A243="","",Veri_Guncel!B243)</f>
        <v/>
      </c>
      <c r="C243" s="18" t="str">
        <f aca="false">IF($A243="","",Veri_Guncel!C243)</f>
        <v/>
      </c>
      <c r="D243" s="18" t="str">
        <f aca="false">IF($A243="","",Veri_Guncel!D243)</f>
        <v/>
      </c>
      <c r="E243" s="19" t="str">
        <f aca="false">IF($A243="","",Veri_Guncel!E243)</f>
        <v/>
      </c>
      <c r="F243" s="19" t="str">
        <f aca="false">IF($A243="","",Veri_Guncel!F243)</f>
        <v/>
      </c>
      <c r="G243" s="14" t="str">
        <f aca="false">IF(A243="","",IF(COUNTIF(Ayarlar!$A$15:$A$20,C243)&gt;0,1,0))</f>
        <v/>
      </c>
      <c r="H243" s="14" t="str">
        <f aca="false">IF(A243="","",DATEDIF(E243,Ayarlar!$B$3,"y"))</f>
        <v/>
      </c>
      <c r="I243" s="14" t="str">
        <f aca="false">IF(OR(A243="",F243=""),"",DATEDIF(F243,Ayarlar!$B$3,"y"))</f>
        <v/>
      </c>
      <c r="J243" s="14" t="str">
        <f aca="false">IF(A243="","",IF(H243&lt;1,0,MAX(IF(H243&lt;5,14,IF(H243&lt;15,20,26)),IF(AND(I243&lt;&gt;"",OR(I243&lt;=18,I243&gt;=50)),20,0))))</f>
        <v/>
      </c>
      <c r="K243" s="17" t="str">
        <f aca="false">IF(A243="","",EDATE(E243,12*(H243+1)))</f>
        <v/>
      </c>
      <c r="L243" s="14" t="str">
        <f aca="false">IF(A243="","",K243-Ayarlar!$B$3)</f>
        <v/>
      </c>
      <c r="M243" s="18" t="str">
        <f aca="false">IF(A243="","",Veri_Guncel!H243)</f>
        <v/>
      </c>
      <c r="N243" s="18" t="str">
        <f aca="false">IF(A243="","",IFERROR(INDEX(Veri_Onceki!$H:$H,MATCH(A243,Veri_Onceki!$A:$A,0)),""))</f>
        <v/>
      </c>
      <c r="O243" s="14" t="str">
        <f aca="false">IF(A243="","",IF(AND(H243&gt;=1,EDATE(E243,12*H243)&gt;Ayarlar!$B$4,EDATE(E243,12*H243)&lt;=Ayarlar!$B$3),J243,0))</f>
        <v/>
      </c>
      <c r="P243" s="14" t="str">
        <f aca="false">IF(OR(A243="",N243=""),"",N243+O243-M243)</f>
        <v/>
      </c>
      <c r="Q243" s="16" t="str">
        <f aca="false">IF(A243="","",IF(M243&gt;=Ayarlar!$B$7,"ALARM",IF(M243&gt;=Ayarlar!$B$6,"Planla","")))</f>
        <v/>
      </c>
      <c r="R243" s="14" t="str">
        <f aca="false">IF(A243="","",IF(AND(L243&gt;=0,L243&lt;=Ayarlar!$B$9),"Evet",""))</f>
        <v/>
      </c>
      <c r="S243" s="16" t="str">
        <f aca="false">IF(A243="","",IF(N243="","Yeni personel",IF(P243&lt;0,"Kontrol et","")))</f>
        <v/>
      </c>
      <c r="T243" s="14" t="str">
        <f aca="false">IF(A243="","",IF(AND(G243=1,M243&gt;=Ayarlar!$B$6,OR(Ayarlar!$B$11="Tümü",C243=Ayarlar!$B$11)),M243+ROW()/100000,""))</f>
        <v/>
      </c>
    </row>
    <row r="244" customFormat="false" ht="15" hidden="false" customHeight="false" outlineLevel="0" collapsed="false">
      <c r="A244" s="18" t="str">
        <f aca="false">IF(Veri_Guncel!A244="","",Veri_Guncel!A244)</f>
        <v/>
      </c>
      <c r="B244" s="18" t="str">
        <f aca="false">IF($A244="","",Veri_Guncel!B244)</f>
        <v/>
      </c>
      <c r="C244" s="18" t="str">
        <f aca="false">IF($A244="","",Veri_Guncel!C244)</f>
        <v/>
      </c>
      <c r="D244" s="18" t="str">
        <f aca="false">IF($A244="","",Veri_Guncel!D244)</f>
        <v/>
      </c>
      <c r="E244" s="19" t="str">
        <f aca="false">IF($A244="","",Veri_Guncel!E244)</f>
        <v/>
      </c>
      <c r="F244" s="19" t="str">
        <f aca="false">IF($A244="","",Veri_Guncel!F244)</f>
        <v/>
      </c>
      <c r="G244" s="14" t="str">
        <f aca="false">IF(A244="","",IF(COUNTIF(Ayarlar!$A$15:$A$20,C244)&gt;0,1,0))</f>
        <v/>
      </c>
      <c r="H244" s="14" t="str">
        <f aca="false">IF(A244="","",DATEDIF(E244,Ayarlar!$B$3,"y"))</f>
        <v/>
      </c>
      <c r="I244" s="14" t="str">
        <f aca="false">IF(OR(A244="",F244=""),"",DATEDIF(F244,Ayarlar!$B$3,"y"))</f>
        <v/>
      </c>
      <c r="J244" s="14" t="str">
        <f aca="false">IF(A244="","",IF(H244&lt;1,0,MAX(IF(H244&lt;5,14,IF(H244&lt;15,20,26)),IF(AND(I244&lt;&gt;"",OR(I244&lt;=18,I244&gt;=50)),20,0))))</f>
        <v/>
      </c>
      <c r="K244" s="17" t="str">
        <f aca="false">IF(A244="","",EDATE(E244,12*(H244+1)))</f>
        <v/>
      </c>
      <c r="L244" s="14" t="str">
        <f aca="false">IF(A244="","",K244-Ayarlar!$B$3)</f>
        <v/>
      </c>
      <c r="M244" s="18" t="str">
        <f aca="false">IF(A244="","",Veri_Guncel!H244)</f>
        <v/>
      </c>
      <c r="N244" s="18" t="str">
        <f aca="false">IF(A244="","",IFERROR(INDEX(Veri_Onceki!$H:$H,MATCH(A244,Veri_Onceki!$A:$A,0)),""))</f>
        <v/>
      </c>
      <c r="O244" s="14" t="str">
        <f aca="false">IF(A244="","",IF(AND(H244&gt;=1,EDATE(E244,12*H244)&gt;Ayarlar!$B$4,EDATE(E244,12*H244)&lt;=Ayarlar!$B$3),J244,0))</f>
        <v/>
      </c>
      <c r="P244" s="14" t="str">
        <f aca="false">IF(OR(A244="",N244=""),"",N244+O244-M244)</f>
        <v/>
      </c>
      <c r="Q244" s="16" t="str">
        <f aca="false">IF(A244="","",IF(M244&gt;=Ayarlar!$B$7,"ALARM",IF(M244&gt;=Ayarlar!$B$6,"Planla","")))</f>
        <v/>
      </c>
      <c r="R244" s="14" t="str">
        <f aca="false">IF(A244="","",IF(AND(L244&gt;=0,L244&lt;=Ayarlar!$B$9),"Evet",""))</f>
        <v/>
      </c>
      <c r="S244" s="16" t="str">
        <f aca="false">IF(A244="","",IF(N244="","Yeni personel",IF(P244&lt;0,"Kontrol et","")))</f>
        <v/>
      </c>
      <c r="T244" s="14" t="str">
        <f aca="false">IF(A244="","",IF(AND(G244=1,M244&gt;=Ayarlar!$B$6,OR(Ayarlar!$B$11="Tümü",C244=Ayarlar!$B$11)),M244+ROW()/100000,""))</f>
        <v/>
      </c>
    </row>
    <row r="245" customFormat="false" ht="15" hidden="false" customHeight="false" outlineLevel="0" collapsed="false">
      <c r="A245" s="18" t="str">
        <f aca="false">IF(Veri_Guncel!A245="","",Veri_Guncel!A245)</f>
        <v/>
      </c>
      <c r="B245" s="18" t="str">
        <f aca="false">IF($A245="","",Veri_Guncel!B245)</f>
        <v/>
      </c>
      <c r="C245" s="18" t="str">
        <f aca="false">IF($A245="","",Veri_Guncel!C245)</f>
        <v/>
      </c>
      <c r="D245" s="18" t="str">
        <f aca="false">IF($A245="","",Veri_Guncel!D245)</f>
        <v/>
      </c>
      <c r="E245" s="19" t="str">
        <f aca="false">IF($A245="","",Veri_Guncel!E245)</f>
        <v/>
      </c>
      <c r="F245" s="19" t="str">
        <f aca="false">IF($A245="","",Veri_Guncel!F245)</f>
        <v/>
      </c>
      <c r="G245" s="14" t="str">
        <f aca="false">IF(A245="","",IF(COUNTIF(Ayarlar!$A$15:$A$20,C245)&gt;0,1,0))</f>
        <v/>
      </c>
      <c r="H245" s="14" t="str">
        <f aca="false">IF(A245="","",DATEDIF(E245,Ayarlar!$B$3,"y"))</f>
        <v/>
      </c>
      <c r="I245" s="14" t="str">
        <f aca="false">IF(OR(A245="",F245=""),"",DATEDIF(F245,Ayarlar!$B$3,"y"))</f>
        <v/>
      </c>
      <c r="J245" s="14" t="str">
        <f aca="false">IF(A245="","",IF(H245&lt;1,0,MAX(IF(H245&lt;5,14,IF(H245&lt;15,20,26)),IF(AND(I245&lt;&gt;"",OR(I245&lt;=18,I245&gt;=50)),20,0))))</f>
        <v/>
      </c>
      <c r="K245" s="17" t="str">
        <f aca="false">IF(A245="","",EDATE(E245,12*(H245+1)))</f>
        <v/>
      </c>
      <c r="L245" s="14" t="str">
        <f aca="false">IF(A245="","",K245-Ayarlar!$B$3)</f>
        <v/>
      </c>
      <c r="M245" s="18" t="str">
        <f aca="false">IF(A245="","",Veri_Guncel!H245)</f>
        <v/>
      </c>
      <c r="N245" s="18" t="str">
        <f aca="false">IF(A245="","",IFERROR(INDEX(Veri_Onceki!$H:$H,MATCH(A245,Veri_Onceki!$A:$A,0)),""))</f>
        <v/>
      </c>
      <c r="O245" s="14" t="str">
        <f aca="false">IF(A245="","",IF(AND(H245&gt;=1,EDATE(E245,12*H245)&gt;Ayarlar!$B$4,EDATE(E245,12*H245)&lt;=Ayarlar!$B$3),J245,0))</f>
        <v/>
      </c>
      <c r="P245" s="14" t="str">
        <f aca="false">IF(OR(A245="",N245=""),"",N245+O245-M245)</f>
        <v/>
      </c>
      <c r="Q245" s="16" t="str">
        <f aca="false">IF(A245="","",IF(M245&gt;=Ayarlar!$B$7,"ALARM",IF(M245&gt;=Ayarlar!$B$6,"Planla","")))</f>
        <v/>
      </c>
      <c r="R245" s="14" t="str">
        <f aca="false">IF(A245="","",IF(AND(L245&gt;=0,L245&lt;=Ayarlar!$B$9),"Evet",""))</f>
        <v/>
      </c>
      <c r="S245" s="16" t="str">
        <f aca="false">IF(A245="","",IF(N245="","Yeni personel",IF(P245&lt;0,"Kontrol et","")))</f>
        <v/>
      </c>
      <c r="T245" s="14" t="str">
        <f aca="false">IF(A245="","",IF(AND(G245=1,M245&gt;=Ayarlar!$B$6,OR(Ayarlar!$B$11="Tümü",C245=Ayarlar!$B$11)),M245+ROW()/100000,""))</f>
        <v/>
      </c>
    </row>
    <row r="246" customFormat="false" ht="15" hidden="false" customHeight="false" outlineLevel="0" collapsed="false">
      <c r="A246" s="18" t="str">
        <f aca="false">IF(Veri_Guncel!A246="","",Veri_Guncel!A246)</f>
        <v/>
      </c>
      <c r="B246" s="18" t="str">
        <f aca="false">IF($A246="","",Veri_Guncel!B246)</f>
        <v/>
      </c>
      <c r="C246" s="18" t="str">
        <f aca="false">IF($A246="","",Veri_Guncel!C246)</f>
        <v/>
      </c>
      <c r="D246" s="18" t="str">
        <f aca="false">IF($A246="","",Veri_Guncel!D246)</f>
        <v/>
      </c>
      <c r="E246" s="19" t="str">
        <f aca="false">IF($A246="","",Veri_Guncel!E246)</f>
        <v/>
      </c>
      <c r="F246" s="19" t="str">
        <f aca="false">IF($A246="","",Veri_Guncel!F246)</f>
        <v/>
      </c>
      <c r="G246" s="14" t="str">
        <f aca="false">IF(A246="","",IF(COUNTIF(Ayarlar!$A$15:$A$20,C246)&gt;0,1,0))</f>
        <v/>
      </c>
      <c r="H246" s="14" t="str">
        <f aca="false">IF(A246="","",DATEDIF(E246,Ayarlar!$B$3,"y"))</f>
        <v/>
      </c>
      <c r="I246" s="14" t="str">
        <f aca="false">IF(OR(A246="",F246=""),"",DATEDIF(F246,Ayarlar!$B$3,"y"))</f>
        <v/>
      </c>
      <c r="J246" s="14" t="str">
        <f aca="false">IF(A246="","",IF(H246&lt;1,0,MAX(IF(H246&lt;5,14,IF(H246&lt;15,20,26)),IF(AND(I246&lt;&gt;"",OR(I246&lt;=18,I246&gt;=50)),20,0))))</f>
        <v/>
      </c>
      <c r="K246" s="17" t="str">
        <f aca="false">IF(A246="","",EDATE(E246,12*(H246+1)))</f>
        <v/>
      </c>
      <c r="L246" s="14" t="str">
        <f aca="false">IF(A246="","",K246-Ayarlar!$B$3)</f>
        <v/>
      </c>
      <c r="M246" s="18" t="str">
        <f aca="false">IF(A246="","",Veri_Guncel!H246)</f>
        <v/>
      </c>
      <c r="N246" s="18" t="str">
        <f aca="false">IF(A246="","",IFERROR(INDEX(Veri_Onceki!$H:$H,MATCH(A246,Veri_Onceki!$A:$A,0)),""))</f>
        <v/>
      </c>
      <c r="O246" s="14" t="str">
        <f aca="false">IF(A246="","",IF(AND(H246&gt;=1,EDATE(E246,12*H246)&gt;Ayarlar!$B$4,EDATE(E246,12*H246)&lt;=Ayarlar!$B$3),J246,0))</f>
        <v/>
      </c>
      <c r="P246" s="14" t="str">
        <f aca="false">IF(OR(A246="",N246=""),"",N246+O246-M246)</f>
        <v/>
      </c>
      <c r="Q246" s="16" t="str">
        <f aca="false">IF(A246="","",IF(M246&gt;=Ayarlar!$B$7,"ALARM",IF(M246&gt;=Ayarlar!$B$6,"Planla","")))</f>
        <v/>
      </c>
      <c r="R246" s="14" t="str">
        <f aca="false">IF(A246="","",IF(AND(L246&gt;=0,L246&lt;=Ayarlar!$B$9),"Evet",""))</f>
        <v/>
      </c>
      <c r="S246" s="16" t="str">
        <f aca="false">IF(A246="","",IF(N246="","Yeni personel",IF(P246&lt;0,"Kontrol et","")))</f>
        <v/>
      </c>
      <c r="T246" s="14" t="str">
        <f aca="false">IF(A246="","",IF(AND(G246=1,M246&gt;=Ayarlar!$B$6,OR(Ayarlar!$B$11="Tümü",C246=Ayarlar!$B$11)),M246+ROW()/100000,""))</f>
        <v/>
      </c>
    </row>
    <row r="247" customFormat="false" ht="15" hidden="false" customHeight="false" outlineLevel="0" collapsed="false">
      <c r="A247" s="18" t="str">
        <f aca="false">IF(Veri_Guncel!A247="","",Veri_Guncel!A247)</f>
        <v/>
      </c>
      <c r="B247" s="18" t="str">
        <f aca="false">IF($A247="","",Veri_Guncel!B247)</f>
        <v/>
      </c>
      <c r="C247" s="18" t="str">
        <f aca="false">IF($A247="","",Veri_Guncel!C247)</f>
        <v/>
      </c>
      <c r="D247" s="18" t="str">
        <f aca="false">IF($A247="","",Veri_Guncel!D247)</f>
        <v/>
      </c>
      <c r="E247" s="19" t="str">
        <f aca="false">IF($A247="","",Veri_Guncel!E247)</f>
        <v/>
      </c>
      <c r="F247" s="19" t="str">
        <f aca="false">IF($A247="","",Veri_Guncel!F247)</f>
        <v/>
      </c>
      <c r="G247" s="14" t="str">
        <f aca="false">IF(A247="","",IF(COUNTIF(Ayarlar!$A$15:$A$20,C247)&gt;0,1,0))</f>
        <v/>
      </c>
      <c r="H247" s="14" t="str">
        <f aca="false">IF(A247="","",DATEDIF(E247,Ayarlar!$B$3,"y"))</f>
        <v/>
      </c>
      <c r="I247" s="14" t="str">
        <f aca="false">IF(OR(A247="",F247=""),"",DATEDIF(F247,Ayarlar!$B$3,"y"))</f>
        <v/>
      </c>
      <c r="J247" s="14" t="str">
        <f aca="false">IF(A247="","",IF(H247&lt;1,0,MAX(IF(H247&lt;5,14,IF(H247&lt;15,20,26)),IF(AND(I247&lt;&gt;"",OR(I247&lt;=18,I247&gt;=50)),20,0))))</f>
        <v/>
      </c>
      <c r="K247" s="17" t="str">
        <f aca="false">IF(A247="","",EDATE(E247,12*(H247+1)))</f>
        <v/>
      </c>
      <c r="L247" s="14" t="str">
        <f aca="false">IF(A247="","",K247-Ayarlar!$B$3)</f>
        <v/>
      </c>
      <c r="M247" s="18" t="str">
        <f aca="false">IF(A247="","",Veri_Guncel!H247)</f>
        <v/>
      </c>
      <c r="N247" s="18" t="str">
        <f aca="false">IF(A247="","",IFERROR(INDEX(Veri_Onceki!$H:$H,MATCH(A247,Veri_Onceki!$A:$A,0)),""))</f>
        <v/>
      </c>
      <c r="O247" s="14" t="str">
        <f aca="false">IF(A247="","",IF(AND(H247&gt;=1,EDATE(E247,12*H247)&gt;Ayarlar!$B$4,EDATE(E247,12*H247)&lt;=Ayarlar!$B$3),J247,0))</f>
        <v/>
      </c>
      <c r="P247" s="14" t="str">
        <f aca="false">IF(OR(A247="",N247=""),"",N247+O247-M247)</f>
        <v/>
      </c>
      <c r="Q247" s="16" t="str">
        <f aca="false">IF(A247="","",IF(M247&gt;=Ayarlar!$B$7,"ALARM",IF(M247&gt;=Ayarlar!$B$6,"Planla","")))</f>
        <v/>
      </c>
      <c r="R247" s="14" t="str">
        <f aca="false">IF(A247="","",IF(AND(L247&gt;=0,L247&lt;=Ayarlar!$B$9),"Evet",""))</f>
        <v/>
      </c>
      <c r="S247" s="16" t="str">
        <f aca="false">IF(A247="","",IF(N247="","Yeni personel",IF(P247&lt;0,"Kontrol et","")))</f>
        <v/>
      </c>
      <c r="T247" s="14" t="str">
        <f aca="false">IF(A247="","",IF(AND(G247=1,M247&gt;=Ayarlar!$B$6,OR(Ayarlar!$B$11="Tümü",C247=Ayarlar!$B$11)),M247+ROW()/100000,""))</f>
        <v/>
      </c>
    </row>
    <row r="248" customFormat="false" ht="15" hidden="false" customHeight="false" outlineLevel="0" collapsed="false">
      <c r="A248" s="18" t="str">
        <f aca="false">IF(Veri_Guncel!A248="","",Veri_Guncel!A248)</f>
        <v/>
      </c>
      <c r="B248" s="18" t="str">
        <f aca="false">IF($A248="","",Veri_Guncel!B248)</f>
        <v/>
      </c>
      <c r="C248" s="18" t="str">
        <f aca="false">IF($A248="","",Veri_Guncel!C248)</f>
        <v/>
      </c>
      <c r="D248" s="18" t="str">
        <f aca="false">IF($A248="","",Veri_Guncel!D248)</f>
        <v/>
      </c>
      <c r="E248" s="19" t="str">
        <f aca="false">IF($A248="","",Veri_Guncel!E248)</f>
        <v/>
      </c>
      <c r="F248" s="19" t="str">
        <f aca="false">IF($A248="","",Veri_Guncel!F248)</f>
        <v/>
      </c>
      <c r="G248" s="14" t="str">
        <f aca="false">IF(A248="","",IF(COUNTIF(Ayarlar!$A$15:$A$20,C248)&gt;0,1,0))</f>
        <v/>
      </c>
      <c r="H248" s="14" t="str">
        <f aca="false">IF(A248="","",DATEDIF(E248,Ayarlar!$B$3,"y"))</f>
        <v/>
      </c>
      <c r="I248" s="14" t="str">
        <f aca="false">IF(OR(A248="",F248=""),"",DATEDIF(F248,Ayarlar!$B$3,"y"))</f>
        <v/>
      </c>
      <c r="J248" s="14" t="str">
        <f aca="false">IF(A248="","",IF(H248&lt;1,0,MAX(IF(H248&lt;5,14,IF(H248&lt;15,20,26)),IF(AND(I248&lt;&gt;"",OR(I248&lt;=18,I248&gt;=50)),20,0))))</f>
        <v/>
      </c>
      <c r="K248" s="17" t="str">
        <f aca="false">IF(A248="","",EDATE(E248,12*(H248+1)))</f>
        <v/>
      </c>
      <c r="L248" s="14" t="str">
        <f aca="false">IF(A248="","",K248-Ayarlar!$B$3)</f>
        <v/>
      </c>
      <c r="M248" s="18" t="str">
        <f aca="false">IF(A248="","",Veri_Guncel!H248)</f>
        <v/>
      </c>
      <c r="N248" s="18" t="str">
        <f aca="false">IF(A248="","",IFERROR(INDEX(Veri_Onceki!$H:$H,MATCH(A248,Veri_Onceki!$A:$A,0)),""))</f>
        <v/>
      </c>
      <c r="O248" s="14" t="str">
        <f aca="false">IF(A248="","",IF(AND(H248&gt;=1,EDATE(E248,12*H248)&gt;Ayarlar!$B$4,EDATE(E248,12*H248)&lt;=Ayarlar!$B$3),J248,0))</f>
        <v/>
      </c>
      <c r="P248" s="14" t="str">
        <f aca="false">IF(OR(A248="",N248=""),"",N248+O248-M248)</f>
        <v/>
      </c>
      <c r="Q248" s="16" t="str">
        <f aca="false">IF(A248="","",IF(M248&gt;=Ayarlar!$B$7,"ALARM",IF(M248&gt;=Ayarlar!$B$6,"Planla","")))</f>
        <v/>
      </c>
      <c r="R248" s="14" t="str">
        <f aca="false">IF(A248="","",IF(AND(L248&gt;=0,L248&lt;=Ayarlar!$B$9),"Evet",""))</f>
        <v/>
      </c>
      <c r="S248" s="16" t="str">
        <f aca="false">IF(A248="","",IF(N248="","Yeni personel",IF(P248&lt;0,"Kontrol et","")))</f>
        <v/>
      </c>
      <c r="T248" s="14" t="str">
        <f aca="false">IF(A248="","",IF(AND(G248=1,M248&gt;=Ayarlar!$B$6,OR(Ayarlar!$B$11="Tümü",C248=Ayarlar!$B$11)),M248+ROW()/100000,""))</f>
        <v/>
      </c>
    </row>
    <row r="249" customFormat="false" ht="15" hidden="false" customHeight="false" outlineLevel="0" collapsed="false">
      <c r="A249" s="18" t="str">
        <f aca="false">IF(Veri_Guncel!A249="","",Veri_Guncel!A249)</f>
        <v/>
      </c>
      <c r="B249" s="18" t="str">
        <f aca="false">IF($A249="","",Veri_Guncel!B249)</f>
        <v/>
      </c>
      <c r="C249" s="18" t="str">
        <f aca="false">IF($A249="","",Veri_Guncel!C249)</f>
        <v/>
      </c>
      <c r="D249" s="18" t="str">
        <f aca="false">IF($A249="","",Veri_Guncel!D249)</f>
        <v/>
      </c>
      <c r="E249" s="19" t="str">
        <f aca="false">IF($A249="","",Veri_Guncel!E249)</f>
        <v/>
      </c>
      <c r="F249" s="19" t="str">
        <f aca="false">IF($A249="","",Veri_Guncel!F249)</f>
        <v/>
      </c>
      <c r="G249" s="14" t="str">
        <f aca="false">IF(A249="","",IF(COUNTIF(Ayarlar!$A$15:$A$20,C249)&gt;0,1,0))</f>
        <v/>
      </c>
      <c r="H249" s="14" t="str">
        <f aca="false">IF(A249="","",DATEDIF(E249,Ayarlar!$B$3,"y"))</f>
        <v/>
      </c>
      <c r="I249" s="14" t="str">
        <f aca="false">IF(OR(A249="",F249=""),"",DATEDIF(F249,Ayarlar!$B$3,"y"))</f>
        <v/>
      </c>
      <c r="J249" s="14" t="str">
        <f aca="false">IF(A249="","",IF(H249&lt;1,0,MAX(IF(H249&lt;5,14,IF(H249&lt;15,20,26)),IF(AND(I249&lt;&gt;"",OR(I249&lt;=18,I249&gt;=50)),20,0))))</f>
        <v/>
      </c>
      <c r="K249" s="17" t="str">
        <f aca="false">IF(A249="","",EDATE(E249,12*(H249+1)))</f>
        <v/>
      </c>
      <c r="L249" s="14" t="str">
        <f aca="false">IF(A249="","",K249-Ayarlar!$B$3)</f>
        <v/>
      </c>
      <c r="M249" s="18" t="str">
        <f aca="false">IF(A249="","",Veri_Guncel!H249)</f>
        <v/>
      </c>
      <c r="N249" s="18" t="str">
        <f aca="false">IF(A249="","",IFERROR(INDEX(Veri_Onceki!$H:$H,MATCH(A249,Veri_Onceki!$A:$A,0)),""))</f>
        <v/>
      </c>
      <c r="O249" s="14" t="str">
        <f aca="false">IF(A249="","",IF(AND(H249&gt;=1,EDATE(E249,12*H249)&gt;Ayarlar!$B$4,EDATE(E249,12*H249)&lt;=Ayarlar!$B$3),J249,0))</f>
        <v/>
      </c>
      <c r="P249" s="14" t="str">
        <f aca="false">IF(OR(A249="",N249=""),"",N249+O249-M249)</f>
        <v/>
      </c>
      <c r="Q249" s="16" t="str">
        <f aca="false">IF(A249="","",IF(M249&gt;=Ayarlar!$B$7,"ALARM",IF(M249&gt;=Ayarlar!$B$6,"Planla","")))</f>
        <v/>
      </c>
      <c r="R249" s="14" t="str">
        <f aca="false">IF(A249="","",IF(AND(L249&gt;=0,L249&lt;=Ayarlar!$B$9),"Evet",""))</f>
        <v/>
      </c>
      <c r="S249" s="16" t="str">
        <f aca="false">IF(A249="","",IF(N249="","Yeni personel",IF(P249&lt;0,"Kontrol et","")))</f>
        <v/>
      </c>
      <c r="T249" s="14" t="str">
        <f aca="false">IF(A249="","",IF(AND(G249=1,M249&gt;=Ayarlar!$B$6,OR(Ayarlar!$B$11="Tümü",C249=Ayarlar!$B$11)),M249+ROW()/100000,""))</f>
        <v/>
      </c>
    </row>
    <row r="250" customFormat="false" ht="15" hidden="false" customHeight="false" outlineLevel="0" collapsed="false">
      <c r="A250" s="18" t="str">
        <f aca="false">IF(Veri_Guncel!A250="","",Veri_Guncel!A250)</f>
        <v/>
      </c>
      <c r="B250" s="18" t="str">
        <f aca="false">IF($A250="","",Veri_Guncel!B250)</f>
        <v/>
      </c>
      <c r="C250" s="18" t="str">
        <f aca="false">IF($A250="","",Veri_Guncel!C250)</f>
        <v/>
      </c>
      <c r="D250" s="18" t="str">
        <f aca="false">IF($A250="","",Veri_Guncel!D250)</f>
        <v/>
      </c>
      <c r="E250" s="19" t="str">
        <f aca="false">IF($A250="","",Veri_Guncel!E250)</f>
        <v/>
      </c>
      <c r="F250" s="19" t="str">
        <f aca="false">IF($A250="","",Veri_Guncel!F250)</f>
        <v/>
      </c>
      <c r="G250" s="14" t="str">
        <f aca="false">IF(A250="","",IF(COUNTIF(Ayarlar!$A$15:$A$20,C250)&gt;0,1,0))</f>
        <v/>
      </c>
      <c r="H250" s="14" t="str">
        <f aca="false">IF(A250="","",DATEDIF(E250,Ayarlar!$B$3,"y"))</f>
        <v/>
      </c>
      <c r="I250" s="14" t="str">
        <f aca="false">IF(OR(A250="",F250=""),"",DATEDIF(F250,Ayarlar!$B$3,"y"))</f>
        <v/>
      </c>
      <c r="J250" s="14" t="str">
        <f aca="false">IF(A250="","",IF(H250&lt;1,0,MAX(IF(H250&lt;5,14,IF(H250&lt;15,20,26)),IF(AND(I250&lt;&gt;"",OR(I250&lt;=18,I250&gt;=50)),20,0))))</f>
        <v/>
      </c>
      <c r="K250" s="17" t="str">
        <f aca="false">IF(A250="","",EDATE(E250,12*(H250+1)))</f>
        <v/>
      </c>
      <c r="L250" s="14" t="str">
        <f aca="false">IF(A250="","",K250-Ayarlar!$B$3)</f>
        <v/>
      </c>
      <c r="M250" s="18" t="str">
        <f aca="false">IF(A250="","",Veri_Guncel!H250)</f>
        <v/>
      </c>
      <c r="N250" s="18" t="str">
        <f aca="false">IF(A250="","",IFERROR(INDEX(Veri_Onceki!$H:$H,MATCH(A250,Veri_Onceki!$A:$A,0)),""))</f>
        <v/>
      </c>
      <c r="O250" s="14" t="str">
        <f aca="false">IF(A250="","",IF(AND(H250&gt;=1,EDATE(E250,12*H250)&gt;Ayarlar!$B$4,EDATE(E250,12*H250)&lt;=Ayarlar!$B$3),J250,0))</f>
        <v/>
      </c>
      <c r="P250" s="14" t="str">
        <f aca="false">IF(OR(A250="",N250=""),"",N250+O250-M250)</f>
        <v/>
      </c>
      <c r="Q250" s="16" t="str">
        <f aca="false">IF(A250="","",IF(M250&gt;=Ayarlar!$B$7,"ALARM",IF(M250&gt;=Ayarlar!$B$6,"Planla","")))</f>
        <v/>
      </c>
      <c r="R250" s="14" t="str">
        <f aca="false">IF(A250="","",IF(AND(L250&gt;=0,L250&lt;=Ayarlar!$B$9),"Evet",""))</f>
        <v/>
      </c>
      <c r="S250" s="16" t="str">
        <f aca="false">IF(A250="","",IF(N250="","Yeni personel",IF(P250&lt;0,"Kontrol et","")))</f>
        <v/>
      </c>
      <c r="T250" s="14" t="str">
        <f aca="false">IF(A250="","",IF(AND(G250=1,M250&gt;=Ayarlar!$B$6,OR(Ayarlar!$B$11="Tümü",C250=Ayarlar!$B$11)),M250+ROW()/100000,""))</f>
        <v/>
      </c>
    </row>
    <row r="251" customFormat="false" ht="15" hidden="false" customHeight="false" outlineLevel="0" collapsed="false">
      <c r="A251" s="18" t="str">
        <f aca="false">IF(Veri_Guncel!A251="","",Veri_Guncel!A251)</f>
        <v/>
      </c>
      <c r="B251" s="18" t="str">
        <f aca="false">IF($A251="","",Veri_Guncel!B251)</f>
        <v/>
      </c>
      <c r="C251" s="18" t="str">
        <f aca="false">IF($A251="","",Veri_Guncel!C251)</f>
        <v/>
      </c>
      <c r="D251" s="18" t="str">
        <f aca="false">IF($A251="","",Veri_Guncel!D251)</f>
        <v/>
      </c>
      <c r="E251" s="19" t="str">
        <f aca="false">IF($A251="","",Veri_Guncel!E251)</f>
        <v/>
      </c>
      <c r="F251" s="19" t="str">
        <f aca="false">IF($A251="","",Veri_Guncel!F251)</f>
        <v/>
      </c>
      <c r="G251" s="14" t="str">
        <f aca="false">IF(A251="","",IF(COUNTIF(Ayarlar!$A$15:$A$20,C251)&gt;0,1,0))</f>
        <v/>
      </c>
      <c r="H251" s="14" t="str">
        <f aca="false">IF(A251="","",DATEDIF(E251,Ayarlar!$B$3,"y"))</f>
        <v/>
      </c>
      <c r="I251" s="14" t="str">
        <f aca="false">IF(OR(A251="",F251=""),"",DATEDIF(F251,Ayarlar!$B$3,"y"))</f>
        <v/>
      </c>
      <c r="J251" s="14" t="str">
        <f aca="false">IF(A251="","",IF(H251&lt;1,0,MAX(IF(H251&lt;5,14,IF(H251&lt;15,20,26)),IF(AND(I251&lt;&gt;"",OR(I251&lt;=18,I251&gt;=50)),20,0))))</f>
        <v/>
      </c>
      <c r="K251" s="17" t="str">
        <f aca="false">IF(A251="","",EDATE(E251,12*(H251+1)))</f>
        <v/>
      </c>
      <c r="L251" s="14" t="str">
        <f aca="false">IF(A251="","",K251-Ayarlar!$B$3)</f>
        <v/>
      </c>
      <c r="M251" s="18" t="str">
        <f aca="false">IF(A251="","",Veri_Guncel!H251)</f>
        <v/>
      </c>
      <c r="N251" s="18" t="str">
        <f aca="false">IF(A251="","",IFERROR(INDEX(Veri_Onceki!$H:$H,MATCH(A251,Veri_Onceki!$A:$A,0)),""))</f>
        <v/>
      </c>
      <c r="O251" s="14" t="str">
        <f aca="false">IF(A251="","",IF(AND(H251&gt;=1,EDATE(E251,12*H251)&gt;Ayarlar!$B$4,EDATE(E251,12*H251)&lt;=Ayarlar!$B$3),J251,0))</f>
        <v/>
      </c>
      <c r="P251" s="14" t="str">
        <f aca="false">IF(OR(A251="",N251=""),"",N251+O251-M251)</f>
        <v/>
      </c>
      <c r="Q251" s="16" t="str">
        <f aca="false">IF(A251="","",IF(M251&gt;=Ayarlar!$B$7,"ALARM",IF(M251&gt;=Ayarlar!$B$6,"Planla","")))</f>
        <v/>
      </c>
      <c r="R251" s="14" t="str">
        <f aca="false">IF(A251="","",IF(AND(L251&gt;=0,L251&lt;=Ayarlar!$B$9),"Evet",""))</f>
        <v/>
      </c>
      <c r="S251" s="16" t="str">
        <f aca="false">IF(A251="","",IF(N251="","Yeni personel",IF(P251&lt;0,"Kontrol et","")))</f>
        <v/>
      </c>
      <c r="T251" s="14" t="str">
        <f aca="false">IF(A251="","",IF(AND(G251=1,M251&gt;=Ayarlar!$B$6,OR(Ayarlar!$B$11="Tümü",C251=Ayarlar!$B$11)),M251+ROW()/100000,""))</f>
        <v/>
      </c>
    </row>
    <row r="252" customFormat="false" ht="15" hidden="false" customHeight="false" outlineLevel="0" collapsed="false">
      <c r="A252" s="18" t="str">
        <f aca="false">IF(Veri_Guncel!A252="","",Veri_Guncel!A252)</f>
        <v/>
      </c>
      <c r="B252" s="18" t="str">
        <f aca="false">IF($A252="","",Veri_Guncel!B252)</f>
        <v/>
      </c>
      <c r="C252" s="18" t="str">
        <f aca="false">IF($A252="","",Veri_Guncel!C252)</f>
        <v/>
      </c>
      <c r="D252" s="18" t="str">
        <f aca="false">IF($A252="","",Veri_Guncel!D252)</f>
        <v/>
      </c>
      <c r="E252" s="19" t="str">
        <f aca="false">IF($A252="","",Veri_Guncel!E252)</f>
        <v/>
      </c>
      <c r="F252" s="19" t="str">
        <f aca="false">IF($A252="","",Veri_Guncel!F252)</f>
        <v/>
      </c>
      <c r="G252" s="14" t="str">
        <f aca="false">IF(A252="","",IF(COUNTIF(Ayarlar!$A$15:$A$20,C252)&gt;0,1,0))</f>
        <v/>
      </c>
      <c r="H252" s="14" t="str">
        <f aca="false">IF(A252="","",DATEDIF(E252,Ayarlar!$B$3,"y"))</f>
        <v/>
      </c>
      <c r="I252" s="14" t="str">
        <f aca="false">IF(OR(A252="",F252=""),"",DATEDIF(F252,Ayarlar!$B$3,"y"))</f>
        <v/>
      </c>
      <c r="J252" s="14" t="str">
        <f aca="false">IF(A252="","",IF(H252&lt;1,0,MAX(IF(H252&lt;5,14,IF(H252&lt;15,20,26)),IF(AND(I252&lt;&gt;"",OR(I252&lt;=18,I252&gt;=50)),20,0))))</f>
        <v/>
      </c>
      <c r="K252" s="17" t="str">
        <f aca="false">IF(A252="","",EDATE(E252,12*(H252+1)))</f>
        <v/>
      </c>
      <c r="L252" s="14" t="str">
        <f aca="false">IF(A252="","",K252-Ayarlar!$B$3)</f>
        <v/>
      </c>
      <c r="M252" s="18" t="str">
        <f aca="false">IF(A252="","",Veri_Guncel!H252)</f>
        <v/>
      </c>
      <c r="N252" s="18" t="str">
        <f aca="false">IF(A252="","",IFERROR(INDEX(Veri_Onceki!$H:$H,MATCH(A252,Veri_Onceki!$A:$A,0)),""))</f>
        <v/>
      </c>
      <c r="O252" s="14" t="str">
        <f aca="false">IF(A252="","",IF(AND(H252&gt;=1,EDATE(E252,12*H252)&gt;Ayarlar!$B$4,EDATE(E252,12*H252)&lt;=Ayarlar!$B$3),J252,0))</f>
        <v/>
      </c>
      <c r="P252" s="14" t="str">
        <f aca="false">IF(OR(A252="",N252=""),"",N252+O252-M252)</f>
        <v/>
      </c>
      <c r="Q252" s="16" t="str">
        <f aca="false">IF(A252="","",IF(M252&gt;=Ayarlar!$B$7,"ALARM",IF(M252&gt;=Ayarlar!$B$6,"Planla","")))</f>
        <v/>
      </c>
      <c r="R252" s="14" t="str">
        <f aca="false">IF(A252="","",IF(AND(L252&gt;=0,L252&lt;=Ayarlar!$B$9),"Evet",""))</f>
        <v/>
      </c>
      <c r="S252" s="16" t="str">
        <f aca="false">IF(A252="","",IF(N252="","Yeni personel",IF(P252&lt;0,"Kontrol et","")))</f>
        <v/>
      </c>
      <c r="T252" s="14" t="str">
        <f aca="false">IF(A252="","",IF(AND(G252=1,M252&gt;=Ayarlar!$B$6,OR(Ayarlar!$B$11="Tümü",C252=Ayarlar!$B$11)),M252+ROW()/100000,""))</f>
        <v/>
      </c>
    </row>
    <row r="253" customFormat="false" ht="15" hidden="false" customHeight="false" outlineLevel="0" collapsed="false">
      <c r="A253" s="18" t="str">
        <f aca="false">IF(Veri_Guncel!A253="","",Veri_Guncel!A253)</f>
        <v/>
      </c>
      <c r="B253" s="18" t="str">
        <f aca="false">IF($A253="","",Veri_Guncel!B253)</f>
        <v/>
      </c>
      <c r="C253" s="18" t="str">
        <f aca="false">IF($A253="","",Veri_Guncel!C253)</f>
        <v/>
      </c>
      <c r="D253" s="18" t="str">
        <f aca="false">IF($A253="","",Veri_Guncel!D253)</f>
        <v/>
      </c>
      <c r="E253" s="19" t="str">
        <f aca="false">IF($A253="","",Veri_Guncel!E253)</f>
        <v/>
      </c>
      <c r="F253" s="19" t="str">
        <f aca="false">IF($A253="","",Veri_Guncel!F253)</f>
        <v/>
      </c>
      <c r="G253" s="14" t="str">
        <f aca="false">IF(A253="","",IF(COUNTIF(Ayarlar!$A$15:$A$20,C253)&gt;0,1,0))</f>
        <v/>
      </c>
      <c r="H253" s="14" t="str">
        <f aca="false">IF(A253="","",DATEDIF(E253,Ayarlar!$B$3,"y"))</f>
        <v/>
      </c>
      <c r="I253" s="14" t="str">
        <f aca="false">IF(OR(A253="",F253=""),"",DATEDIF(F253,Ayarlar!$B$3,"y"))</f>
        <v/>
      </c>
      <c r="J253" s="14" t="str">
        <f aca="false">IF(A253="","",IF(H253&lt;1,0,MAX(IF(H253&lt;5,14,IF(H253&lt;15,20,26)),IF(AND(I253&lt;&gt;"",OR(I253&lt;=18,I253&gt;=50)),20,0))))</f>
        <v/>
      </c>
      <c r="K253" s="17" t="str">
        <f aca="false">IF(A253="","",EDATE(E253,12*(H253+1)))</f>
        <v/>
      </c>
      <c r="L253" s="14" t="str">
        <f aca="false">IF(A253="","",K253-Ayarlar!$B$3)</f>
        <v/>
      </c>
      <c r="M253" s="18" t="str">
        <f aca="false">IF(A253="","",Veri_Guncel!H253)</f>
        <v/>
      </c>
      <c r="N253" s="18" t="str">
        <f aca="false">IF(A253="","",IFERROR(INDEX(Veri_Onceki!$H:$H,MATCH(A253,Veri_Onceki!$A:$A,0)),""))</f>
        <v/>
      </c>
      <c r="O253" s="14" t="str">
        <f aca="false">IF(A253="","",IF(AND(H253&gt;=1,EDATE(E253,12*H253)&gt;Ayarlar!$B$4,EDATE(E253,12*H253)&lt;=Ayarlar!$B$3),J253,0))</f>
        <v/>
      </c>
      <c r="P253" s="14" t="str">
        <f aca="false">IF(OR(A253="",N253=""),"",N253+O253-M253)</f>
        <v/>
      </c>
      <c r="Q253" s="16" t="str">
        <f aca="false">IF(A253="","",IF(M253&gt;=Ayarlar!$B$7,"ALARM",IF(M253&gt;=Ayarlar!$B$6,"Planla","")))</f>
        <v/>
      </c>
      <c r="R253" s="14" t="str">
        <f aca="false">IF(A253="","",IF(AND(L253&gt;=0,L253&lt;=Ayarlar!$B$9),"Evet",""))</f>
        <v/>
      </c>
      <c r="S253" s="16" t="str">
        <f aca="false">IF(A253="","",IF(N253="","Yeni personel",IF(P253&lt;0,"Kontrol et","")))</f>
        <v/>
      </c>
      <c r="T253" s="14" t="str">
        <f aca="false">IF(A253="","",IF(AND(G253=1,M253&gt;=Ayarlar!$B$6,OR(Ayarlar!$B$11="Tümü",C253=Ayarlar!$B$11)),M253+ROW()/100000,""))</f>
        <v/>
      </c>
    </row>
    <row r="254" customFormat="false" ht="15" hidden="false" customHeight="false" outlineLevel="0" collapsed="false">
      <c r="A254" s="18" t="str">
        <f aca="false">IF(Veri_Guncel!A254="","",Veri_Guncel!A254)</f>
        <v/>
      </c>
      <c r="B254" s="18" t="str">
        <f aca="false">IF($A254="","",Veri_Guncel!B254)</f>
        <v/>
      </c>
      <c r="C254" s="18" t="str">
        <f aca="false">IF($A254="","",Veri_Guncel!C254)</f>
        <v/>
      </c>
      <c r="D254" s="18" t="str">
        <f aca="false">IF($A254="","",Veri_Guncel!D254)</f>
        <v/>
      </c>
      <c r="E254" s="19" t="str">
        <f aca="false">IF($A254="","",Veri_Guncel!E254)</f>
        <v/>
      </c>
      <c r="F254" s="19" t="str">
        <f aca="false">IF($A254="","",Veri_Guncel!F254)</f>
        <v/>
      </c>
      <c r="G254" s="14" t="str">
        <f aca="false">IF(A254="","",IF(COUNTIF(Ayarlar!$A$15:$A$20,C254)&gt;0,1,0))</f>
        <v/>
      </c>
      <c r="H254" s="14" t="str">
        <f aca="false">IF(A254="","",DATEDIF(E254,Ayarlar!$B$3,"y"))</f>
        <v/>
      </c>
      <c r="I254" s="14" t="str">
        <f aca="false">IF(OR(A254="",F254=""),"",DATEDIF(F254,Ayarlar!$B$3,"y"))</f>
        <v/>
      </c>
      <c r="J254" s="14" t="str">
        <f aca="false">IF(A254="","",IF(H254&lt;1,0,MAX(IF(H254&lt;5,14,IF(H254&lt;15,20,26)),IF(AND(I254&lt;&gt;"",OR(I254&lt;=18,I254&gt;=50)),20,0))))</f>
        <v/>
      </c>
      <c r="K254" s="17" t="str">
        <f aca="false">IF(A254="","",EDATE(E254,12*(H254+1)))</f>
        <v/>
      </c>
      <c r="L254" s="14" t="str">
        <f aca="false">IF(A254="","",K254-Ayarlar!$B$3)</f>
        <v/>
      </c>
      <c r="M254" s="18" t="str">
        <f aca="false">IF(A254="","",Veri_Guncel!H254)</f>
        <v/>
      </c>
      <c r="N254" s="18" t="str">
        <f aca="false">IF(A254="","",IFERROR(INDEX(Veri_Onceki!$H:$H,MATCH(A254,Veri_Onceki!$A:$A,0)),""))</f>
        <v/>
      </c>
      <c r="O254" s="14" t="str">
        <f aca="false">IF(A254="","",IF(AND(H254&gt;=1,EDATE(E254,12*H254)&gt;Ayarlar!$B$4,EDATE(E254,12*H254)&lt;=Ayarlar!$B$3),J254,0))</f>
        <v/>
      </c>
      <c r="P254" s="14" t="str">
        <f aca="false">IF(OR(A254="",N254=""),"",N254+O254-M254)</f>
        <v/>
      </c>
      <c r="Q254" s="16" t="str">
        <f aca="false">IF(A254="","",IF(M254&gt;=Ayarlar!$B$7,"ALARM",IF(M254&gt;=Ayarlar!$B$6,"Planla","")))</f>
        <v/>
      </c>
      <c r="R254" s="14" t="str">
        <f aca="false">IF(A254="","",IF(AND(L254&gt;=0,L254&lt;=Ayarlar!$B$9),"Evet",""))</f>
        <v/>
      </c>
      <c r="S254" s="16" t="str">
        <f aca="false">IF(A254="","",IF(N254="","Yeni personel",IF(P254&lt;0,"Kontrol et","")))</f>
        <v/>
      </c>
      <c r="T254" s="14" t="str">
        <f aca="false">IF(A254="","",IF(AND(G254=1,M254&gt;=Ayarlar!$B$6,OR(Ayarlar!$B$11="Tümü",C254=Ayarlar!$B$11)),M254+ROW()/100000,""))</f>
        <v/>
      </c>
    </row>
    <row r="255" customFormat="false" ht="15" hidden="false" customHeight="false" outlineLevel="0" collapsed="false">
      <c r="A255" s="18" t="str">
        <f aca="false">IF(Veri_Guncel!A255="","",Veri_Guncel!A255)</f>
        <v/>
      </c>
      <c r="B255" s="18" t="str">
        <f aca="false">IF($A255="","",Veri_Guncel!B255)</f>
        <v/>
      </c>
      <c r="C255" s="18" t="str">
        <f aca="false">IF($A255="","",Veri_Guncel!C255)</f>
        <v/>
      </c>
      <c r="D255" s="18" t="str">
        <f aca="false">IF($A255="","",Veri_Guncel!D255)</f>
        <v/>
      </c>
      <c r="E255" s="19" t="str">
        <f aca="false">IF($A255="","",Veri_Guncel!E255)</f>
        <v/>
      </c>
      <c r="F255" s="19" t="str">
        <f aca="false">IF($A255="","",Veri_Guncel!F255)</f>
        <v/>
      </c>
      <c r="G255" s="14" t="str">
        <f aca="false">IF(A255="","",IF(COUNTIF(Ayarlar!$A$15:$A$20,C255)&gt;0,1,0))</f>
        <v/>
      </c>
      <c r="H255" s="14" t="str">
        <f aca="false">IF(A255="","",DATEDIF(E255,Ayarlar!$B$3,"y"))</f>
        <v/>
      </c>
      <c r="I255" s="14" t="str">
        <f aca="false">IF(OR(A255="",F255=""),"",DATEDIF(F255,Ayarlar!$B$3,"y"))</f>
        <v/>
      </c>
      <c r="J255" s="14" t="str">
        <f aca="false">IF(A255="","",IF(H255&lt;1,0,MAX(IF(H255&lt;5,14,IF(H255&lt;15,20,26)),IF(AND(I255&lt;&gt;"",OR(I255&lt;=18,I255&gt;=50)),20,0))))</f>
        <v/>
      </c>
      <c r="K255" s="17" t="str">
        <f aca="false">IF(A255="","",EDATE(E255,12*(H255+1)))</f>
        <v/>
      </c>
      <c r="L255" s="14" t="str">
        <f aca="false">IF(A255="","",K255-Ayarlar!$B$3)</f>
        <v/>
      </c>
      <c r="M255" s="18" t="str">
        <f aca="false">IF(A255="","",Veri_Guncel!H255)</f>
        <v/>
      </c>
      <c r="N255" s="18" t="str">
        <f aca="false">IF(A255="","",IFERROR(INDEX(Veri_Onceki!$H:$H,MATCH(A255,Veri_Onceki!$A:$A,0)),""))</f>
        <v/>
      </c>
      <c r="O255" s="14" t="str">
        <f aca="false">IF(A255="","",IF(AND(H255&gt;=1,EDATE(E255,12*H255)&gt;Ayarlar!$B$4,EDATE(E255,12*H255)&lt;=Ayarlar!$B$3),J255,0))</f>
        <v/>
      </c>
      <c r="P255" s="14" t="str">
        <f aca="false">IF(OR(A255="",N255=""),"",N255+O255-M255)</f>
        <v/>
      </c>
      <c r="Q255" s="16" t="str">
        <f aca="false">IF(A255="","",IF(M255&gt;=Ayarlar!$B$7,"ALARM",IF(M255&gt;=Ayarlar!$B$6,"Planla","")))</f>
        <v/>
      </c>
      <c r="R255" s="14" t="str">
        <f aca="false">IF(A255="","",IF(AND(L255&gt;=0,L255&lt;=Ayarlar!$B$9),"Evet",""))</f>
        <v/>
      </c>
      <c r="S255" s="16" t="str">
        <f aca="false">IF(A255="","",IF(N255="","Yeni personel",IF(P255&lt;0,"Kontrol et","")))</f>
        <v/>
      </c>
      <c r="T255" s="14" t="str">
        <f aca="false">IF(A255="","",IF(AND(G255=1,M255&gt;=Ayarlar!$B$6,OR(Ayarlar!$B$11="Tümü",C255=Ayarlar!$B$11)),M255+ROW()/100000,""))</f>
        <v/>
      </c>
    </row>
    <row r="256" customFormat="false" ht="15" hidden="false" customHeight="false" outlineLevel="0" collapsed="false">
      <c r="A256" s="18" t="str">
        <f aca="false">IF(Veri_Guncel!A256="","",Veri_Guncel!A256)</f>
        <v/>
      </c>
      <c r="B256" s="18" t="str">
        <f aca="false">IF($A256="","",Veri_Guncel!B256)</f>
        <v/>
      </c>
      <c r="C256" s="18" t="str">
        <f aca="false">IF($A256="","",Veri_Guncel!C256)</f>
        <v/>
      </c>
      <c r="D256" s="18" t="str">
        <f aca="false">IF($A256="","",Veri_Guncel!D256)</f>
        <v/>
      </c>
      <c r="E256" s="19" t="str">
        <f aca="false">IF($A256="","",Veri_Guncel!E256)</f>
        <v/>
      </c>
      <c r="F256" s="19" t="str">
        <f aca="false">IF($A256="","",Veri_Guncel!F256)</f>
        <v/>
      </c>
      <c r="G256" s="14" t="str">
        <f aca="false">IF(A256="","",IF(COUNTIF(Ayarlar!$A$15:$A$20,C256)&gt;0,1,0))</f>
        <v/>
      </c>
      <c r="H256" s="14" t="str">
        <f aca="false">IF(A256="","",DATEDIF(E256,Ayarlar!$B$3,"y"))</f>
        <v/>
      </c>
      <c r="I256" s="14" t="str">
        <f aca="false">IF(OR(A256="",F256=""),"",DATEDIF(F256,Ayarlar!$B$3,"y"))</f>
        <v/>
      </c>
      <c r="J256" s="14" t="str">
        <f aca="false">IF(A256="","",IF(H256&lt;1,0,MAX(IF(H256&lt;5,14,IF(H256&lt;15,20,26)),IF(AND(I256&lt;&gt;"",OR(I256&lt;=18,I256&gt;=50)),20,0))))</f>
        <v/>
      </c>
      <c r="K256" s="17" t="str">
        <f aca="false">IF(A256="","",EDATE(E256,12*(H256+1)))</f>
        <v/>
      </c>
      <c r="L256" s="14" t="str">
        <f aca="false">IF(A256="","",K256-Ayarlar!$B$3)</f>
        <v/>
      </c>
      <c r="M256" s="18" t="str">
        <f aca="false">IF(A256="","",Veri_Guncel!H256)</f>
        <v/>
      </c>
      <c r="N256" s="18" t="str">
        <f aca="false">IF(A256="","",IFERROR(INDEX(Veri_Onceki!$H:$H,MATCH(A256,Veri_Onceki!$A:$A,0)),""))</f>
        <v/>
      </c>
      <c r="O256" s="14" t="str">
        <f aca="false">IF(A256="","",IF(AND(H256&gt;=1,EDATE(E256,12*H256)&gt;Ayarlar!$B$4,EDATE(E256,12*H256)&lt;=Ayarlar!$B$3),J256,0))</f>
        <v/>
      </c>
      <c r="P256" s="14" t="str">
        <f aca="false">IF(OR(A256="",N256=""),"",N256+O256-M256)</f>
        <v/>
      </c>
      <c r="Q256" s="16" t="str">
        <f aca="false">IF(A256="","",IF(M256&gt;=Ayarlar!$B$7,"ALARM",IF(M256&gt;=Ayarlar!$B$6,"Planla","")))</f>
        <v/>
      </c>
      <c r="R256" s="14" t="str">
        <f aca="false">IF(A256="","",IF(AND(L256&gt;=0,L256&lt;=Ayarlar!$B$9),"Evet",""))</f>
        <v/>
      </c>
      <c r="S256" s="16" t="str">
        <f aca="false">IF(A256="","",IF(N256="","Yeni personel",IF(P256&lt;0,"Kontrol et","")))</f>
        <v/>
      </c>
      <c r="T256" s="14" t="str">
        <f aca="false">IF(A256="","",IF(AND(G256=1,M256&gt;=Ayarlar!$B$6,OR(Ayarlar!$B$11="Tümü",C256=Ayarlar!$B$11)),M256+ROW()/100000,""))</f>
        <v/>
      </c>
    </row>
    <row r="257" customFormat="false" ht="15" hidden="false" customHeight="false" outlineLevel="0" collapsed="false">
      <c r="A257" s="18" t="str">
        <f aca="false">IF(Veri_Guncel!A257="","",Veri_Guncel!A257)</f>
        <v/>
      </c>
      <c r="B257" s="18" t="str">
        <f aca="false">IF($A257="","",Veri_Guncel!B257)</f>
        <v/>
      </c>
      <c r="C257" s="18" t="str">
        <f aca="false">IF($A257="","",Veri_Guncel!C257)</f>
        <v/>
      </c>
      <c r="D257" s="18" t="str">
        <f aca="false">IF($A257="","",Veri_Guncel!D257)</f>
        <v/>
      </c>
      <c r="E257" s="19" t="str">
        <f aca="false">IF($A257="","",Veri_Guncel!E257)</f>
        <v/>
      </c>
      <c r="F257" s="19" t="str">
        <f aca="false">IF($A257="","",Veri_Guncel!F257)</f>
        <v/>
      </c>
      <c r="G257" s="14" t="str">
        <f aca="false">IF(A257="","",IF(COUNTIF(Ayarlar!$A$15:$A$20,C257)&gt;0,1,0))</f>
        <v/>
      </c>
      <c r="H257" s="14" t="str">
        <f aca="false">IF(A257="","",DATEDIF(E257,Ayarlar!$B$3,"y"))</f>
        <v/>
      </c>
      <c r="I257" s="14" t="str">
        <f aca="false">IF(OR(A257="",F257=""),"",DATEDIF(F257,Ayarlar!$B$3,"y"))</f>
        <v/>
      </c>
      <c r="J257" s="14" t="str">
        <f aca="false">IF(A257="","",IF(H257&lt;1,0,MAX(IF(H257&lt;5,14,IF(H257&lt;15,20,26)),IF(AND(I257&lt;&gt;"",OR(I257&lt;=18,I257&gt;=50)),20,0))))</f>
        <v/>
      </c>
      <c r="K257" s="17" t="str">
        <f aca="false">IF(A257="","",EDATE(E257,12*(H257+1)))</f>
        <v/>
      </c>
      <c r="L257" s="14" t="str">
        <f aca="false">IF(A257="","",K257-Ayarlar!$B$3)</f>
        <v/>
      </c>
      <c r="M257" s="18" t="str">
        <f aca="false">IF(A257="","",Veri_Guncel!H257)</f>
        <v/>
      </c>
      <c r="N257" s="18" t="str">
        <f aca="false">IF(A257="","",IFERROR(INDEX(Veri_Onceki!$H:$H,MATCH(A257,Veri_Onceki!$A:$A,0)),""))</f>
        <v/>
      </c>
      <c r="O257" s="14" t="str">
        <f aca="false">IF(A257="","",IF(AND(H257&gt;=1,EDATE(E257,12*H257)&gt;Ayarlar!$B$4,EDATE(E257,12*H257)&lt;=Ayarlar!$B$3),J257,0))</f>
        <v/>
      </c>
      <c r="P257" s="14" t="str">
        <f aca="false">IF(OR(A257="",N257=""),"",N257+O257-M257)</f>
        <v/>
      </c>
      <c r="Q257" s="16" t="str">
        <f aca="false">IF(A257="","",IF(M257&gt;=Ayarlar!$B$7,"ALARM",IF(M257&gt;=Ayarlar!$B$6,"Planla","")))</f>
        <v/>
      </c>
      <c r="R257" s="14" t="str">
        <f aca="false">IF(A257="","",IF(AND(L257&gt;=0,L257&lt;=Ayarlar!$B$9),"Evet",""))</f>
        <v/>
      </c>
      <c r="S257" s="16" t="str">
        <f aca="false">IF(A257="","",IF(N257="","Yeni personel",IF(P257&lt;0,"Kontrol et","")))</f>
        <v/>
      </c>
      <c r="T257" s="14" t="str">
        <f aca="false">IF(A257="","",IF(AND(G257=1,M257&gt;=Ayarlar!$B$6,OR(Ayarlar!$B$11="Tümü",C257=Ayarlar!$B$11)),M257+ROW()/100000,""))</f>
        <v/>
      </c>
    </row>
    <row r="258" customFormat="false" ht="15" hidden="false" customHeight="false" outlineLevel="0" collapsed="false">
      <c r="A258" s="18" t="str">
        <f aca="false">IF(Veri_Guncel!A258="","",Veri_Guncel!A258)</f>
        <v/>
      </c>
      <c r="B258" s="18" t="str">
        <f aca="false">IF($A258="","",Veri_Guncel!B258)</f>
        <v/>
      </c>
      <c r="C258" s="18" t="str">
        <f aca="false">IF($A258="","",Veri_Guncel!C258)</f>
        <v/>
      </c>
      <c r="D258" s="18" t="str">
        <f aca="false">IF($A258="","",Veri_Guncel!D258)</f>
        <v/>
      </c>
      <c r="E258" s="19" t="str">
        <f aca="false">IF($A258="","",Veri_Guncel!E258)</f>
        <v/>
      </c>
      <c r="F258" s="19" t="str">
        <f aca="false">IF($A258="","",Veri_Guncel!F258)</f>
        <v/>
      </c>
      <c r="G258" s="14" t="str">
        <f aca="false">IF(A258="","",IF(COUNTIF(Ayarlar!$A$15:$A$20,C258)&gt;0,1,0))</f>
        <v/>
      </c>
      <c r="H258" s="14" t="str">
        <f aca="false">IF(A258="","",DATEDIF(E258,Ayarlar!$B$3,"y"))</f>
        <v/>
      </c>
      <c r="I258" s="14" t="str">
        <f aca="false">IF(OR(A258="",F258=""),"",DATEDIF(F258,Ayarlar!$B$3,"y"))</f>
        <v/>
      </c>
      <c r="J258" s="14" t="str">
        <f aca="false">IF(A258="","",IF(H258&lt;1,0,MAX(IF(H258&lt;5,14,IF(H258&lt;15,20,26)),IF(AND(I258&lt;&gt;"",OR(I258&lt;=18,I258&gt;=50)),20,0))))</f>
        <v/>
      </c>
      <c r="K258" s="17" t="str">
        <f aca="false">IF(A258="","",EDATE(E258,12*(H258+1)))</f>
        <v/>
      </c>
      <c r="L258" s="14" t="str">
        <f aca="false">IF(A258="","",K258-Ayarlar!$B$3)</f>
        <v/>
      </c>
      <c r="M258" s="18" t="str">
        <f aca="false">IF(A258="","",Veri_Guncel!H258)</f>
        <v/>
      </c>
      <c r="N258" s="18" t="str">
        <f aca="false">IF(A258="","",IFERROR(INDEX(Veri_Onceki!$H:$H,MATCH(A258,Veri_Onceki!$A:$A,0)),""))</f>
        <v/>
      </c>
      <c r="O258" s="14" t="str">
        <f aca="false">IF(A258="","",IF(AND(H258&gt;=1,EDATE(E258,12*H258)&gt;Ayarlar!$B$4,EDATE(E258,12*H258)&lt;=Ayarlar!$B$3),J258,0))</f>
        <v/>
      </c>
      <c r="P258" s="14" t="str">
        <f aca="false">IF(OR(A258="",N258=""),"",N258+O258-M258)</f>
        <v/>
      </c>
      <c r="Q258" s="16" t="str">
        <f aca="false">IF(A258="","",IF(M258&gt;=Ayarlar!$B$7,"ALARM",IF(M258&gt;=Ayarlar!$B$6,"Planla","")))</f>
        <v/>
      </c>
      <c r="R258" s="14" t="str">
        <f aca="false">IF(A258="","",IF(AND(L258&gt;=0,L258&lt;=Ayarlar!$B$9),"Evet",""))</f>
        <v/>
      </c>
      <c r="S258" s="16" t="str">
        <f aca="false">IF(A258="","",IF(N258="","Yeni personel",IF(P258&lt;0,"Kontrol et","")))</f>
        <v/>
      </c>
      <c r="T258" s="14" t="str">
        <f aca="false">IF(A258="","",IF(AND(G258=1,M258&gt;=Ayarlar!$B$6,OR(Ayarlar!$B$11="Tümü",C258=Ayarlar!$B$11)),M258+ROW()/100000,""))</f>
        <v/>
      </c>
    </row>
    <row r="259" customFormat="false" ht="15" hidden="false" customHeight="false" outlineLevel="0" collapsed="false">
      <c r="A259" s="18" t="str">
        <f aca="false">IF(Veri_Guncel!A259="","",Veri_Guncel!A259)</f>
        <v/>
      </c>
      <c r="B259" s="18" t="str">
        <f aca="false">IF($A259="","",Veri_Guncel!B259)</f>
        <v/>
      </c>
      <c r="C259" s="18" t="str">
        <f aca="false">IF($A259="","",Veri_Guncel!C259)</f>
        <v/>
      </c>
      <c r="D259" s="18" t="str">
        <f aca="false">IF($A259="","",Veri_Guncel!D259)</f>
        <v/>
      </c>
      <c r="E259" s="19" t="str">
        <f aca="false">IF($A259="","",Veri_Guncel!E259)</f>
        <v/>
      </c>
      <c r="F259" s="19" t="str">
        <f aca="false">IF($A259="","",Veri_Guncel!F259)</f>
        <v/>
      </c>
      <c r="G259" s="14" t="str">
        <f aca="false">IF(A259="","",IF(COUNTIF(Ayarlar!$A$15:$A$20,C259)&gt;0,1,0))</f>
        <v/>
      </c>
      <c r="H259" s="14" t="str">
        <f aca="false">IF(A259="","",DATEDIF(E259,Ayarlar!$B$3,"y"))</f>
        <v/>
      </c>
      <c r="I259" s="14" t="str">
        <f aca="false">IF(OR(A259="",F259=""),"",DATEDIF(F259,Ayarlar!$B$3,"y"))</f>
        <v/>
      </c>
      <c r="J259" s="14" t="str">
        <f aca="false">IF(A259="","",IF(H259&lt;1,0,MAX(IF(H259&lt;5,14,IF(H259&lt;15,20,26)),IF(AND(I259&lt;&gt;"",OR(I259&lt;=18,I259&gt;=50)),20,0))))</f>
        <v/>
      </c>
      <c r="K259" s="17" t="str">
        <f aca="false">IF(A259="","",EDATE(E259,12*(H259+1)))</f>
        <v/>
      </c>
      <c r="L259" s="14" t="str">
        <f aca="false">IF(A259="","",K259-Ayarlar!$B$3)</f>
        <v/>
      </c>
      <c r="M259" s="18" t="str">
        <f aca="false">IF(A259="","",Veri_Guncel!H259)</f>
        <v/>
      </c>
      <c r="N259" s="18" t="str">
        <f aca="false">IF(A259="","",IFERROR(INDEX(Veri_Onceki!$H:$H,MATCH(A259,Veri_Onceki!$A:$A,0)),""))</f>
        <v/>
      </c>
      <c r="O259" s="14" t="str">
        <f aca="false">IF(A259="","",IF(AND(H259&gt;=1,EDATE(E259,12*H259)&gt;Ayarlar!$B$4,EDATE(E259,12*H259)&lt;=Ayarlar!$B$3),J259,0))</f>
        <v/>
      </c>
      <c r="P259" s="14" t="str">
        <f aca="false">IF(OR(A259="",N259=""),"",N259+O259-M259)</f>
        <v/>
      </c>
      <c r="Q259" s="16" t="str">
        <f aca="false">IF(A259="","",IF(M259&gt;=Ayarlar!$B$7,"ALARM",IF(M259&gt;=Ayarlar!$B$6,"Planla","")))</f>
        <v/>
      </c>
      <c r="R259" s="14" t="str">
        <f aca="false">IF(A259="","",IF(AND(L259&gt;=0,L259&lt;=Ayarlar!$B$9),"Evet",""))</f>
        <v/>
      </c>
      <c r="S259" s="16" t="str">
        <f aca="false">IF(A259="","",IF(N259="","Yeni personel",IF(P259&lt;0,"Kontrol et","")))</f>
        <v/>
      </c>
      <c r="T259" s="14" t="str">
        <f aca="false">IF(A259="","",IF(AND(G259=1,M259&gt;=Ayarlar!$B$6,OR(Ayarlar!$B$11="Tümü",C259=Ayarlar!$B$11)),M259+ROW()/100000,""))</f>
        <v/>
      </c>
    </row>
    <row r="260" customFormat="false" ht="15" hidden="false" customHeight="false" outlineLevel="0" collapsed="false">
      <c r="A260" s="18" t="str">
        <f aca="false">IF(Veri_Guncel!A260="","",Veri_Guncel!A260)</f>
        <v/>
      </c>
      <c r="B260" s="18" t="str">
        <f aca="false">IF($A260="","",Veri_Guncel!B260)</f>
        <v/>
      </c>
      <c r="C260" s="18" t="str">
        <f aca="false">IF($A260="","",Veri_Guncel!C260)</f>
        <v/>
      </c>
      <c r="D260" s="18" t="str">
        <f aca="false">IF($A260="","",Veri_Guncel!D260)</f>
        <v/>
      </c>
      <c r="E260" s="19" t="str">
        <f aca="false">IF($A260="","",Veri_Guncel!E260)</f>
        <v/>
      </c>
      <c r="F260" s="19" t="str">
        <f aca="false">IF($A260="","",Veri_Guncel!F260)</f>
        <v/>
      </c>
      <c r="G260" s="14" t="str">
        <f aca="false">IF(A260="","",IF(COUNTIF(Ayarlar!$A$15:$A$20,C260)&gt;0,1,0))</f>
        <v/>
      </c>
      <c r="H260" s="14" t="str">
        <f aca="false">IF(A260="","",DATEDIF(E260,Ayarlar!$B$3,"y"))</f>
        <v/>
      </c>
      <c r="I260" s="14" t="str">
        <f aca="false">IF(OR(A260="",F260=""),"",DATEDIF(F260,Ayarlar!$B$3,"y"))</f>
        <v/>
      </c>
      <c r="J260" s="14" t="str">
        <f aca="false">IF(A260="","",IF(H260&lt;1,0,MAX(IF(H260&lt;5,14,IF(H260&lt;15,20,26)),IF(AND(I260&lt;&gt;"",OR(I260&lt;=18,I260&gt;=50)),20,0))))</f>
        <v/>
      </c>
      <c r="K260" s="17" t="str">
        <f aca="false">IF(A260="","",EDATE(E260,12*(H260+1)))</f>
        <v/>
      </c>
      <c r="L260" s="14" t="str">
        <f aca="false">IF(A260="","",K260-Ayarlar!$B$3)</f>
        <v/>
      </c>
      <c r="M260" s="18" t="str">
        <f aca="false">IF(A260="","",Veri_Guncel!H260)</f>
        <v/>
      </c>
      <c r="N260" s="18" t="str">
        <f aca="false">IF(A260="","",IFERROR(INDEX(Veri_Onceki!$H:$H,MATCH(A260,Veri_Onceki!$A:$A,0)),""))</f>
        <v/>
      </c>
      <c r="O260" s="14" t="str">
        <f aca="false">IF(A260="","",IF(AND(H260&gt;=1,EDATE(E260,12*H260)&gt;Ayarlar!$B$4,EDATE(E260,12*H260)&lt;=Ayarlar!$B$3),J260,0))</f>
        <v/>
      </c>
      <c r="P260" s="14" t="str">
        <f aca="false">IF(OR(A260="",N260=""),"",N260+O260-M260)</f>
        <v/>
      </c>
      <c r="Q260" s="16" t="str">
        <f aca="false">IF(A260="","",IF(M260&gt;=Ayarlar!$B$7,"ALARM",IF(M260&gt;=Ayarlar!$B$6,"Planla","")))</f>
        <v/>
      </c>
      <c r="R260" s="14" t="str">
        <f aca="false">IF(A260="","",IF(AND(L260&gt;=0,L260&lt;=Ayarlar!$B$9),"Evet",""))</f>
        <v/>
      </c>
      <c r="S260" s="16" t="str">
        <f aca="false">IF(A260="","",IF(N260="","Yeni personel",IF(P260&lt;0,"Kontrol et","")))</f>
        <v/>
      </c>
      <c r="T260" s="14" t="str">
        <f aca="false">IF(A260="","",IF(AND(G260=1,M260&gt;=Ayarlar!$B$6,OR(Ayarlar!$B$11="Tümü",C260=Ayarlar!$B$11)),M260+ROW()/100000,""))</f>
        <v/>
      </c>
    </row>
    <row r="261" customFormat="false" ht="15" hidden="false" customHeight="false" outlineLevel="0" collapsed="false">
      <c r="A261" s="18" t="str">
        <f aca="false">IF(Veri_Guncel!A261="","",Veri_Guncel!A261)</f>
        <v/>
      </c>
      <c r="B261" s="18" t="str">
        <f aca="false">IF($A261="","",Veri_Guncel!B261)</f>
        <v/>
      </c>
      <c r="C261" s="18" t="str">
        <f aca="false">IF($A261="","",Veri_Guncel!C261)</f>
        <v/>
      </c>
      <c r="D261" s="18" t="str">
        <f aca="false">IF($A261="","",Veri_Guncel!D261)</f>
        <v/>
      </c>
      <c r="E261" s="19" t="str">
        <f aca="false">IF($A261="","",Veri_Guncel!E261)</f>
        <v/>
      </c>
      <c r="F261" s="19" t="str">
        <f aca="false">IF($A261="","",Veri_Guncel!F261)</f>
        <v/>
      </c>
      <c r="G261" s="14" t="str">
        <f aca="false">IF(A261="","",IF(COUNTIF(Ayarlar!$A$15:$A$20,C261)&gt;0,1,0))</f>
        <v/>
      </c>
      <c r="H261" s="14" t="str">
        <f aca="false">IF(A261="","",DATEDIF(E261,Ayarlar!$B$3,"y"))</f>
        <v/>
      </c>
      <c r="I261" s="14" t="str">
        <f aca="false">IF(OR(A261="",F261=""),"",DATEDIF(F261,Ayarlar!$B$3,"y"))</f>
        <v/>
      </c>
      <c r="J261" s="14" t="str">
        <f aca="false">IF(A261="","",IF(H261&lt;1,0,MAX(IF(H261&lt;5,14,IF(H261&lt;15,20,26)),IF(AND(I261&lt;&gt;"",OR(I261&lt;=18,I261&gt;=50)),20,0))))</f>
        <v/>
      </c>
      <c r="K261" s="17" t="str">
        <f aca="false">IF(A261="","",EDATE(E261,12*(H261+1)))</f>
        <v/>
      </c>
      <c r="L261" s="14" t="str">
        <f aca="false">IF(A261="","",K261-Ayarlar!$B$3)</f>
        <v/>
      </c>
      <c r="M261" s="18" t="str">
        <f aca="false">IF(A261="","",Veri_Guncel!H261)</f>
        <v/>
      </c>
      <c r="N261" s="18" t="str">
        <f aca="false">IF(A261="","",IFERROR(INDEX(Veri_Onceki!$H:$H,MATCH(A261,Veri_Onceki!$A:$A,0)),""))</f>
        <v/>
      </c>
      <c r="O261" s="14" t="str">
        <f aca="false">IF(A261="","",IF(AND(H261&gt;=1,EDATE(E261,12*H261)&gt;Ayarlar!$B$4,EDATE(E261,12*H261)&lt;=Ayarlar!$B$3),J261,0))</f>
        <v/>
      </c>
      <c r="P261" s="14" t="str">
        <f aca="false">IF(OR(A261="",N261=""),"",N261+O261-M261)</f>
        <v/>
      </c>
      <c r="Q261" s="16" t="str">
        <f aca="false">IF(A261="","",IF(M261&gt;=Ayarlar!$B$7,"ALARM",IF(M261&gt;=Ayarlar!$B$6,"Planla","")))</f>
        <v/>
      </c>
      <c r="R261" s="14" t="str">
        <f aca="false">IF(A261="","",IF(AND(L261&gt;=0,L261&lt;=Ayarlar!$B$9),"Evet",""))</f>
        <v/>
      </c>
      <c r="S261" s="16" t="str">
        <f aca="false">IF(A261="","",IF(N261="","Yeni personel",IF(P261&lt;0,"Kontrol et","")))</f>
        <v/>
      </c>
      <c r="T261" s="14" t="str">
        <f aca="false">IF(A261="","",IF(AND(G261=1,M261&gt;=Ayarlar!$B$6,OR(Ayarlar!$B$11="Tümü",C261=Ayarlar!$B$11)),M261+ROW()/100000,""))</f>
        <v/>
      </c>
    </row>
    <row r="262" customFormat="false" ht="15" hidden="false" customHeight="false" outlineLevel="0" collapsed="false">
      <c r="A262" s="18" t="str">
        <f aca="false">IF(Veri_Guncel!A262="","",Veri_Guncel!A262)</f>
        <v/>
      </c>
      <c r="B262" s="18" t="str">
        <f aca="false">IF($A262="","",Veri_Guncel!B262)</f>
        <v/>
      </c>
      <c r="C262" s="18" t="str">
        <f aca="false">IF($A262="","",Veri_Guncel!C262)</f>
        <v/>
      </c>
      <c r="D262" s="18" t="str">
        <f aca="false">IF($A262="","",Veri_Guncel!D262)</f>
        <v/>
      </c>
      <c r="E262" s="19" t="str">
        <f aca="false">IF($A262="","",Veri_Guncel!E262)</f>
        <v/>
      </c>
      <c r="F262" s="19" t="str">
        <f aca="false">IF($A262="","",Veri_Guncel!F262)</f>
        <v/>
      </c>
      <c r="G262" s="14" t="str">
        <f aca="false">IF(A262="","",IF(COUNTIF(Ayarlar!$A$15:$A$20,C262)&gt;0,1,0))</f>
        <v/>
      </c>
      <c r="H262" s="14" t="str">
        <f aca="false">IF(A262="","",DATEDIF(E262,Ayarlar!$B$3,"y"))</f>
        <v/>
      </c>
      <c r="I262" s="14" t="str">
        <f aca="false">IF(OR(A262="",F262=""),"",DATEDIF(F262,Ayarlar!$B$3,"y"))</f>
        <v/>
      </c>
      <c r="J262" s="14" t="str">
        <f aca="false">IF(A262="","",IF(H262&lt;1,0,MAX(IF(H262&lt;5,14,IF(H262&lt;15,20,26)),IF(AND(I262&lt;&gt;"",OR(I262&lt;=18,I262&gt;=50)),20,0))))</f>
        <v/>
      </c>
      <c r="K262" s="17" t="str">
        <f aca="false">IF(A262="","",EDATE(E262,12*(H262+1)))</f>
        <v/>
      </c>
      <c r="L262" s="14" t="str">
        <f aca="false">IF(A262="","",K262-Ayarlar!$B$3)</f>
        <v/>
      </c>
      <c r="M262" s="18" t="str">
        <f aca="false">IF(A262="","",Veri_Guncel!H262)</f>
        <v/>
      </c>
      <c r="N262" s="18" t="str">
        <f aca="false">IF(A262="","",IFERROR(INDEX(Veri_Onceki!$H:$H,MATCH(A262,Veri_Onceki!$A:$A,0)),""))</f>
        <v/>
      </c>
      <c r="O262" s="14" t="str">
        <f aca="false">IF(A262="","",IF(AND(H262&gt;=1,EDATE(E262,12*H262)&gt;Ayarlar!$B$4,EDATE(E262,12*H262)&lt;=Ayarlar!$B$3),J262,0))</f>
        <v/>
      </c>
      <c r="P262" s="14" t="str">
        <f aca="false">IF(OR(A262="",N262=""),"",N262+O262-M262)</f>
        <v/>
      </c>
      <c r="Q262" s="16" t="str">
        <f aca="false">IF(A262="","",IF(M262&gt;=Ayarlar!$B$7,"ALARM",IF(M262&gt;=Ayarlar!$B$6,"Planla","")))</f>
        <v/>
      </c>
      <c r="R262" s="14" t="str">
        <f aca="false">IF(A262="","",IF(AND(L262&gt;=0,L262&lt;=Ayarlar!$B$9),"Evet",""))</f>
        <v/>
      </c>
      <c r="S262" s="16" t="str">
        <f aca="false">IF(A262="","",IF(N262="","Yeni personel",IF(P262&lt;0,"Kontrol et","")))</f>
        <v/>
      </c>
      <c r="T262" s="14" t="str">
        <f aca="false">IF(A262="","",IF(AND(G262=1,M262&gt;=Ayarlar!$B$6,OR(Ayarlar!$B$11="Tümü",C262=Ayarlar!$B$11)),M262+ROW()/100000,""))</f>
        <v/>
      </c>
    </row>
    <row r="263" customFormat="false" ht="15" hidden="false" customHeight="false" outlineLevel="0" collapsed="false">
      <c r="A263" s="18" t="str">
        <f aca="false">IF(Veri_Guncel!A263="","",Veri_Guncel!A263)</f>
        <v/>
      </c>
      <c r="B263" s="18" t="str">
        <f aca="false">IF($A263="","",Veri_Guncel!B263)</f>
        <v/>
      </c>
      <c r="C263" s="18" t="str">
        <f aca="false">IF($A263="","",Veri_Guncel!C263)</f>
        <v/>
      </c>
      <c r="D263" s="18" t="str">
        <f aca="false">IF($A263="","",Veri_Guncel!D263)</f>
        <v/>
      </c>
      <c r="E263" s="19" t="str">
        <f aca="false">IF($A263="","",Veri_Guncel!E263)</f>
        <v/>
      </c>
      <c r="F263" s="19" t="str">
        <f aca="false">IF($A263="","",Veri_Guncel!F263)</f>
        <v/>
      </c>
      <c r="G263" s="14" t="str">
        <f aca="false">IF(A263="","",IF(COUNTIF(Ayarlar!$A$15:$A$20,C263)&gt;0,1,0))</f>
        <v/>
      </c>
      <c r="H263" s="14" t="str">
        <f aca="false">IF(A263="","",DATEDIF(E263,Ayarlar!$B$3,"y"))</f>
        <v/>
      </c>
      <c r="I263" s="14" t="str">
        <f aca="false">IF(OR(A263="",F263=""),"",DATEDIF(F263,Ayarlar!$B$3,"y"))</f>
        <v/>
      </c>
      <c r="J263" s="14" t="str">
        <f aca="false">IF(A263="","",IF(H263&lt;1,0,MAX(IF(H263&lt;5,14,IF(H263&lt;15,20,26)),IF(AND(I263&lt;&gt;"",OR(I263&lt;=18,I263&gt;=50)),20,0))))</f>
        <v/>
      </c>
      <c r="K263" s="17" t="str">
        <f aca="false">IF(A263="","",EDATE(E263,12*(H263+1)))</f>
        <v/>
      </c>
      <c r="L263" s="14" t="str">
        <f aca="false">IF(A263="","",K263-Ayarlar!$B$3)</f>
        <v/>
      </c>
      <c r="M263" s="18" t="str">
        <f aca="false">IF(A263="","",Veri_Guncel!H263)</f>
        <v/>
      </c>
      <c r="N263" s="18" t="str">
        <f aca="false">IF(A263="","",IFERROR(INDEX(Veri_Onceki!$H:$H,MATCH(A263,Veri_Onceki!$A:$A,0)),""))</f>
        <v/>
      </c>
      <c r="O263" s="14" t="str">
        <f aca="false">IF(A263="","",IF(AND(H263&gt;=1,EDATE(E263,12*H263)&gt;Ayarlar!$B$4,EDATE(E263,12*H263)&lt;=Ayarlar!$B$3),J263,0))</f>
        <v/>
      </c>
      <c r="P263" s="14" t="str">
        <f aca="false">IF(OR(A263="",N263=""),"",N263+O263-M263)</f>
        <v/>
      </c>
      <c r="Q263" s="16" t="str">
        <f aca="false">IF(A263="","",IF(M263&gt;=Ayarlar!$B$7,"ALARM",IF(M263&gt;=Ayarlar!$B$6,"Planla","")))</f>
        <v/>
      </c>
      <c r="R263" s="14" t="str">
        <f aca="false">IF(A263="","",IF(AND(L263&gt;=0,L263&lt;=Ayarlar!$B$9),"Evet",""))</f>
        <v/>
      </c>
      <c r="S263" s="16" t="str">
        <f aca="false">IF(A263="","",IF(N263="","Yeni personel",IF(P263&lt;0,"Kontrol et","")))</f>
        <v/>
      </c>
      <c r="T263" s="14" t="str">
        <f aca="false">IF(A263="","",IF(AND(G263=1,M263&gt;=Ayarlar!$B$6,OR(Ayarlar!$B$11="Tümü",C263=Ayarlar!$B$11)),M263+ROW()/100000,""))</f>
        <v/>
      </c>
    </row>
    <row r="264" customFormat="false" ht="15" hidden="false" customHeight="false" outlineLevel="0" collapsed="false">
      <c r="A264" s="18" t="str">
        <f aca="false">IF(Veri_Guncel!A264="","",Veri_Guncel!A264)</f>
        <v/>
      </c>
      <c r="B264" s="18" t="str">
        <f aca="false">IF($A264="","",Veri_Guncel!B264)</f>
        <v/>
      </c>
      <c r="C264" s="18" t="str">
        <f aca="false">IF($A264="","",Veri_Guncel!C264)</f>
        <v/>
      </c>
      <c r="D264" s="18" t="str">
        <f aca="false">IF($A264="","",Veri_Guncel!D264)</f>
        <v/>
      </c>
      <c r="E264" s="19" t="str">
        <f aca="false">IF($A264="","",Veri_Guncel!E264)</f>
        <v/>
      </c>
      <c r="F264" s="19" t="str">
        <f aca="false">IF($A264="","",Veri_Guncel!F264)</f>
        <v/>
      </c>
      <c r="G264" s="14" t="str">
        <f aca="false">IF(A264="","",IF(COUNTIF(Ayarlar!$A$15:$A$20,C264)&gt;0,1,0))</f>
        <v/>
      </c>
      <c r="H264" s="14" t="str">
        <f aca="false">IF(A264="","",DATEDIF(E264,Ayarlar!$B$3,"y"))</f>
        <v/>
      </c>
      <c r="I264" s="14" t="str">
        <f aca="false">IF(OR(A264="",F264=""),"",DATEDIF(F264,Ayarlar!$B$3,"y"))</f>
        <v/>
      </c>
      <c r="J264" s="14" t="str">
        <f aca="false">IF(A264="","",IF(H264&lt;1,0,MAX(IF(H264&lt;5,14,IF(H264&lt;15,20,26)),IF(AND(I264&lt;&gt;"",OR(I264&lt;=18,I264&gt;=50)),20,0))))</f>
        <v/>
      </c>
      <c r="K264" s="17" t="str">
        <f aca="false">IF(A264="","",EDATE(E264,12*(H264+1)))</f>
        <v/>
      </c>
      <c r="L264" s="14" t="str">
        <f aca="false">IF(A264="","",K264-Ayarlar!$B$3)</f>
        <v/>
      </c>
      <c r="M264" s="18" t="str">
        <f aca="false">IF(A264="","",Veri_Guncel!H264)</f>
        <v/>
      </c>
      <c r="N264" s="18" t="str">
        <f aca="false">IF(A264="","",IFERROR(INDEX(Veri_Onceki!$H:$H,MATCH(A264,Veri_Onceki!$A:$A,0)),""))</f>
        <v/>
      </c>
      <c r="O264" s="14" t="str">
        <f aca="false">IF(A264="","",IF(AND(H264&gt;=1,EDATE(E264,12*H264)&gt;Ayarlar!$B$4,EDATE(E264,12*H264)&lt;=Ayarlar!$B$3),J264,0))</f>
        <v/>
      </c>
      <c r="P264" s="14" t="str">
        <f aca="false">IF(OR(A264="",N264=""),"",N264+O264-M264)</f>
        <v/>
      </c>
      <c r="Q264" s="16" t="str">
        <f aca="false">IF(A264="","",IF(M264&gt;=Ayarlar!$B$7,"ALARM",IF(M264&gt;=Ayarlar!$B$6,"Planla","")))</f>
        <v/>
      </c>
      <c r="R264" s="14" t="str">
        <f aca="false">IF(A264="","",IF(AND(L264&gt;=0,L264&lt;=Ayarlar!$B$9),"Evet",""))</f>
        <v/>
      </c>
      <c r="S264" s="16" t="str">
        <f aca="false">IF(A264="","",IF(N264="","Yeni personel",IF(P264&lt;0,"Kontrol et","")))</f>
        <v/>
      </c>
      <c r="T264" s="14" t="str">
        <f aca="false">IF(A264="","",IF(AND(G264=1,M264&gt;=Ayarlar!$B$6,OR(Ayarlar!$B$11="Tümü",C264=Ayarlar!$B$11)),M264+ROW()/100000,""))</f>
        <v/>
      </c>
    </row>
    <row r="265" customFormat="false" ht="15" hidden="false" customHeight="false" outlineLevel="0" collapsed="false">
      <c r="A265" s="18" t="str">
        <f aca="false">IF(Veri_Guncel!A265="","",Veri_Guncel!A265)</f>
        <v/>
      </c>
      <c r="B265" s="18" t="str">
        <f aca="false">IF($A265="","",Veri_Guncel!B265)</f>
        <v/>
      </c>
      <c r="C265" s="18" t="str">
        <f aca="false">IF($A265="","",Veri_Guncel!C265)</f>
        <v/>
      </c>
      <c r="D265" s="18" t="str">
        <f aca="false">IF($A265="","",Veri_Guncel!D265)</f>
        <v/>
      </c>
      <c r="E265" s="19" t="str">
        <f aca="false">IF($A265="","",Veri_Guncel!E265)</f>
        <v/>
      </c>
      <c r="F265" s="19" t="str">
        <f aca="false">IF($A265="","",Veri_Guncel!F265)</f>
        <v/>
      </c>
      <c r="G265" s="14" t="str">
        <f aca="false">IF(A265="","",IF(COUNTIF(Ayarlar!$A$15:$A$20,C265)&gt;0,1,0))</f>
        <v/>
      </c>
      <c r="H265" s="14" t="str">
        <f aca="false">IF(A265="","",DATEDIF(E265,Ayarlar!$B$3,"y"))</f>
        <v/>
      </c>
      <c r="I265" s="14" t="str">
        <f aca="false">IF(OR(A265="",F265=""),"",DATEDIF(F265,Ayarlar!$B$3,"y"))</f>
        <v/>
      </c>
      <c r="J265" s="14" t="str">
        <f aca="false">IF(A265="","",IF(H265&lt;1,0,MAX(IF(H265&lt;5,14,IF(H265&lt;15,20,26)),IF(AND(I265&lt;&gt;"",OR(I265&lt;=18,I265&gt;=50)),20,0))))</f>
        <v/>
      </c>
      <c r="K265" s="17" t="str">
        <f aca="false">IF(A265="","",EDATE(E265,12*(H265+1)))</f>
        <v/>
      </c>
      <c r="L265" s="14" t="str">
        <f aca="false">IF(A265="","",K265-Ayarlar!$B$3)</f>
        <v/>
      </c>
      <c r="M265" s="18" t="str">
        <f aca="false">IF(A265="","",Veri_Guncel!H265)</f>
        <v/>
      </c>
      <c r="N265" s="18" t="str">
        <f aca="false">IF(A265="","",IFERROR(INDEX(Veri_Onceki!$H:$H,MATCH(A265,Veri_Onceki!$A:$A,0)),""))</f>
        <v/>
      </c>
      <c r="O265" s="14" t="str">
        <f aca="false">IF(A265="","",IF(AND(H265&gt;=1,EDATE(E265,12*H265)&gt;Ayarlar!$B$4,EDATE(E265,12*H265)&lt;=Ayarlar!$B$3),J265,0))</f>
        <v/>
      </c>
      <c r="P265" s="14" t="str">
        <f aca="false">IF(OR(A265="",N265=""),"",N265+O265-M265)</f>
        <v/>
      </c>
      <c r="Q265" s="16" t="str">
        <f aca="false">IF(A265="","",IF(M265&gt;=Ayarlar!$B$7,"ALARM",IF(M265&gt;=Ayarlar!$B$6,"Planla","")))</f>
        <v/>
      </c>
      <c r="R265" s="14" t="str">
        <f aca="false">IF(A265="","",IF(AND(L265&gt;=0,L265&lt;=Ayarlar!$B$9),"Evet",""))</f>
        <v/>
      </c>
      <c r="S265" s="16" t="str">
        <f aca="false">IF(A265="","",IF(N265="","Yeni personel",IF(P265&lt;0,"Kontrol et","")))</f>
        <v/>
      </c>
      <c r="T265" s="14" t="str">
        <f aca="false">IF(A265="","",IF(AND(G265=1,M265&gt;=Ayarlar!$B$6,OR(Ayarlar!$B$11="Tümü",C265=Ayarlar!$B$11)),M265+ROW()/100000,""))</f>
        <v/>
      </c>
    </row>
    <row r="266" customFormat="false" ht="15" hidden="false" customHeight="false" outlineLevel="0" collapsed="false">
      <c r="A266" s="18" t="str">
        <f aca="false">IF(Veri_Guncel!A266="","",Veri_Guncel!A266)</f>
        <v/>
      </c>
      <c r="B266" s="18" t="str">
        <f aca="false">IF($A266="","",Veri_Guncel!B266)</f>
        <v/>
      </c>
      <c r="C266" s="18" t="str">
        <f aca="false">IF($A266="","",Veri_Guncel!C266)</f>
        <v/>
      </c>
      <c r="D266" s="18" t="str">
        <f aca="false">IF($A266="","",Veri_Guncel!D266)</f>
        <v/>
      </c>
      <c r="E266" s="19" t="str">
        <f aca="false">IF($A266="","",Veri_Guncel!E266)</f>
        <v/>
      </c>
      <c r="F266" s="19" t="str">
        <f aca="false">IF($A266="","",Veri_Guncel!F266)</f>
        <v/>
      </c>
      <c r="G266" s="14" t="str">
        <f aca="false">IF(A266="","",IF(COUNTIF(Ayarlar!$A$15:$A$20,C266)&gt;0,1,0))</f>
        <v/>
      </c>
      <c r="H266" s="14" t="str">
        <f aca="false">IF(A266="","",DATEDIF(E266,Ayarlar!$B$3,"y"))</f>
        <v/>
      </c>
      <c r="I266" s="14" t="str">
        <f aca="false">IF(OR(A266="",F266=""),"",DATEDIF(F266,Ayarlar!$B$3,"y"))</f>
        <v/>
      </c>
      <c r="J266" s="14" t="str">
        <f aca="false">IF(A266="","",IF(H266&lt;1,0,MAX(IF(H266&lt;5,14,IF(H266&lt;15,20,26)),IF(AND(I266&lt;&gt;"",OR(I266&lt;=18,I266&gt;=50)),20,0))))</f>
        <v/>
      </c>
      <c r="K266" s="17" t="str">
        <f aca="false">IF(A266="","",EDATE(E266,12*(H266+1)))</f>
        <v/>
      </c>
      <c r="L266" s="14" t="str">
        <f aca="false">IF(A266="","",K266-Ayarlar!$B$3)</f>
        <v/>
      </c>
      <c r="M266" s="18" t="str">
        <f aca="false">IF(A266="","",Veri_Guncel!H266)</f>
        <v/>
      </c>
      <c r="N266" s="18" t="str">
        <f aca="false">IF(A266="","",IFERROR(INDEX(Veri_Onceki!$H:$H,MATCH(A266,Veri_Onceki!$A:$A,0)),""))</f>
        <v/>
      </c>
      <c r="O266" s="14" t="str">
        <f aca="false">IF(A266="","",IF(AND(H266&gt;=1,EDATE(E266,12*H266)&gt;Ayarlar!$B$4,EDATE(E266,12*H266)&lt;=Ayarlar!$B$3),J266,0))</f>
        <v/>
      </c>
      <c r="P266" s="14" t="str">
        <f aca="false">IF(OR(A266="",N266=""),"",N266+O266-M266)</f>
        <v/>
      </c>
      <c r="Q266" s="16" t="str">
        <f aca="false">IF(A266="","",IF(M266&gt;=Ayarlar!$B$7,"ALARM",IF(M266&gt;=Ayarlar!$B$6,"Planla","")))</f>
        <v/>
      </c>
      <c r="R266" s="14" t="str">
        <f aca="false">IF(A266="","",IF(AND(L266&gt;=0,L266&lt;=Ayarlar!$B$9),"Evet",""))</f>
        <v/>
      </c>
      <c r="S266" s="16" t="str">
        <f aca="false">IF(A266="","",IF(N266="","Yeni personel",IF(P266&lt;0,"Kontrol et","")))</f>
        <v/>
      </c>
      <c r="T266" s="14" t="str">
        <f aca="false">IF(A266="","",IF(AND(G266=1,M266&gt;=Ayarlar!$B$6,OR(Ayarlar!$B$11="Tümü",C266=Ayarlar!$B$11)),M266+ROW()/100000,""))</f>
        <v/>
      </c>
    </row>
    <row r="267" customFormat="false" ht="15" hidden="false" customHeight="false" outlineLevel="0" collapsed="false">
      <c r="A267" s="18" t="str">
        <f aca="false">IF(Veri_Guncel!A267="","",Veri_Guncel!A267)</f>
        <v/>
      </c>
      <c r="B267" s="18" t="str">
        <f aca="false">IF($A267="","",Veri_Guncel!B267)</f>
        <v/>
      </c>
      <c r="C267" s="18" t="str">
        <f aca="false">IF($A267="","",Veri_Guncel!C267)</f>
        <v/>
      </c>
      <c r="D267" s="18" t="str">
        <f aca="false">IF($A267="","",Veri_Guncel!D267)</f>
        <v/>
      </c>
      <c r="E267" s="19" t="str">
        <f aca="false">IF($A267="","",Veri_Guncel!E267)</f>
        <v/>
      </c>
      <c r="F267" s="19" t="str">
        <f aca="false">IF($A267="","",Veri_Guncel!F267)</f>
        <v/>
      </c>
      <c r="G267" s="14" t="str">
        <f aca="false">IF(A267="","",IF(COUNTIF(Ayarlar!$A$15:$A$20,C267)&gt;0,1,0))</f>
        <v/>
      </c>
      <c r="H267" s="14" t="str">
        <f aca="false">IF(A267="","",DATEDIF(E267,Ayarlar!$B$3,"y"))</f>
        <v/>
      </c>
      <c r="I267" s="14" t="str">
        <f aca="false">IF(OR(A267="",F267=""),"",DATEDIF(F267,Ayarlar!$B$3,"y"))</f>
        <v/>
      </c>
      <c r="J267" s="14" t="str">
        <f aca="false">IF(A267="","",IF(H267&lt;1,0,MAX(IF(H267&lt;5,14,IF(H267&lt;15,20,26)),IF(AND(I267&lt;&gt;"",OR(I267&lt;=18,I267&gt;=50)),20,0))))</f>
        <v/>
      </c>
      <c r="K267" s="17" t="str">
        <f aca="false">IF(A267="","",EDATE(E267,12*(H267+1)))</f>
        <v/>
      </c>
      <c r="L267" s="14" t="str">
        <f aca="false">IF(A267="","",K267-Ayarlar!$B$3)</f>
        <v/>
      </c>
      <c r="M267" s="18" t="str">
        <f aca="false">IF(A267="","",Veri_Guncel!H267)</f>
        <v/>
      </c>
      <c r="N267" s="18" t="str">
        <f aca="false">IF(A267="","",IFERROR(INDEX(Veri_Onceki!$H:$H,MATCH(A267,Veri_Onceki!$A:$A,0)),""))</f>
        <v/>
      </c>
      <c r="O267" s="14" t="str">
        <f aca="false">IF(A267="","",IF(AND(H267&gt;=1,EDATE(E267,12*H267)&gt;Ayarlar!$B$4,EDATE(E267,12*H267)&lt;=Ayarlar!$B$3),J267,0))</f>
        <v/>
      </c>
      <c r="P267" s="14" t="str">
        <f aca="false">IF(OR(A267="",N267=""),"",N267+O267-M267)</f>
        <v/>
      </c>
      <c r="Q267" s="16" t="str">
        <f aca="false">IF(A267="","",IF(M267&gt;=Ayarlar!$B$7,"ALARM",IF(M267&gt;=Ayarlar!$B$6,"Planla","")))</f>
        <v/>
      </c>
      <c r="R267" s="14" t="str">
        <f aca="false">IF(A267="","",IF(AND(L267&gt;=0,L267&lt;=Ayarlar!$B$9),"Evet",""))</f>
        <v/>
      </c>
      <c r="S267" s="16" t="str">
        <f aca="false">IF(A267="","",IF(N267="","Yeni personel",IF(P267&lt;0,"Kontrol et","")))</f>
        <v/>
      </c>
      <c r="T267" s="14" t="str">
        <f aca="false">IF(A267="","",IF(AND(G267=1,M267&gt;=Ayarlar!$B$6,OR(Ayarlar!$B$11="Tümü",C267=Ayarlar!$B$11)),M267+ROW()/100000,""))</f>
        <v/>
      </c>
    </row>
    <row r="268" customFormat="false" ht="15" hidden="false" customHeight="false" outlineLevel="0" collapsed="false">
      <c r="A268" s="18" t="str">
        <f aca="false">IF(Veri_Guncel!A268="","",Veri_Guncel!A268)</f>
        <v/>
      </c>
      <c r="B268" s="18" t="str">
        <f aca="false">IF($A268="","",Veri_Guncel!B268)</f>
        <v/>
      </c>
      <c r="C268" s="18" t="str">
        <f aca="false">IF($A268="","",Veri_Guncel!C268)</f>
        <v/>
      </c>
      <c r="D268" s="18" t="str">
        <f aca="false">IF($A268="","",Veri_Guncel!D268)</f>
        <v/>
      </c>
      <c r="E268" s="19" t="str">
        <f aca="false">IF($A268="","",Veri_Guncel!E268)</f>
        <v/>
      </c>
      <c r="F268" s="19" t="str">
        <f aca="false">IF($A268="","",Veri_Guncel!F268)</f>
        <v/>
      </c>
      <c r="G268" s="14" t="str">
        <f aca="false">IF(A268="","",IF(COUNTIF(Ayarlar!$A$15:$A$20,C268)&gt;0,1,0))</f>
        <v/>
      </c>
      <c r="H268" s="14" t="str">
        <f aca="false">IF(A268="","",DATEDIF(E268,Ayarlar!$B$3,"y"))</f>
        <v/>
      </c>
      <c r="I268" s="14" t="str">
        <f aca="false">IF(OR(A268="",F268=""),"",DATEDIF(F268,Ayarlar!$B$3,"y"))</f>
        <v/>
      </c>
      <c r="J268" s="14" t="str">
        <f aca="false">IF(A268="","",IF(H268&lt;1,0,MAX(IF(H268&lt;5,14,IF(H268&lt;15,20,26)),IF(AND(I268&lt;&gt;"",OR(I268&lt;=18,I268&gt;=50)),20,0))))</f>
        <v/>
      </c>
      <c r="K268" s="17" t="str">
        <f aca="false">IF(A268="","",EDATE(E268,12*(H268+1)))</f>
        <v/>
      </c>
      <c r="L268" s="14" t="str">
        <f aca="false">IF(A268="","",K268-Ayarlar!$B$3)</f>
        <v/>
      </c>
      <c r="M268" s="18" t="str">
        <f aca="false">IF(A268="","",Veri_Guncel!H268)</f>
        <v/>
      </c>
      <c r="N268" s="18" t="str">
        <f aca="false">IF(A268="","",IFERROR(INDEX(Veri_Onceki!$H:$H,MATCH(A268,Veri_Onceki!$A:$A,0)),""))</f>
        <v/>
      </c>
      <c r="O268" s="14" t="str">
        <f aca="false">IF(A268="","",IF(AND(H268&gt;=1,EDATE(E268,12*H268)&gt;Ayarlar!$B$4,EDATE(E268,12*H268)&lt;=Ayarlar!$B$3),J268,0))</f>
        <v/>
      </c>
      <c r="P268" s="14" t="str">
        <f aca="false">IF(OR(A268="",N268=""),"",N268+O268-M268)</f>
        <v/>
      </c>
      <c r="Q268" s="16" t="str">
        <f aca="false">IF(A268="","",IF(M268&gt;=Ayarlar!$B$7,"ALARM",IF(M268&gt;=Ayarlar!$B$6,"Planla","")))</f>
        <v/>
      </c>
      <c r="R268" s="14" t="str">
        <f aca="false">IF(A268="","",IF(AND(L268&gt;=0,L268&lt;=Ayarlar!$B$9),"Evet",""))</f>
        <v/>
      </c>
      <c r="S268" s="16" t="str">
        <f aca="false">IF(A268="","",IF(N268="","Yeni personel",IF(P268&lt;0,"Kontrol et","")))</f>
        <v/>
      </c>
      <c r="T268" s="14" t="str">
        <f aca="false">IF(A268="","",IF(AND(G268=1,M268&gt;=Ayarlar!$B$6,OR(Ayarlar!$B$11="Tümü",C268=Ayarlar!$B$11)),M268+ROW()/100000,""))</f>
        <v/>
      </c>
    </row>
    <row r="269" customFormat="false" ht="15" hidden="false" customHeight="false" outlineLevel="0" collapsed="false">
      <c r="A269" s="18" t="str">
        <f aca="false">IF(Veri_Guncel!A269="","",Veri_Guncel!A269)</f>
        <v/>
      </c>
      <c r="B269" s="18" t="str">
        <f aca="false">IF($A269="","",Veri_Guncel!B269)</f>
        <v/>
      </c>
      <c r="C269" s="18" t="str">
        <f aca="false">IF($A269="","",Veri_Guncel!C269)</f>
        <v/>
      </c>
      <c r="D269" s="18" t="str">
        <f aca="false">IF($A269="","",Veri_Guncel!D269)</f>
        <v/>
      </c>
      <c r="E269" s="19" t="str">
        <f aca="false">IF($A269="","",Veri_Guncel!E269)</f>
        <v/>
      </c>
      <c r="F269" s="19" t="str">
        <f aca="false">IF($A269="","",Veri_Guncel!F269)</f>
        <v/>
      </c>
      <c r="G269" s="14" t="str">
        <f aca="false">IF(A269="","",IF(COUNTIF(Ayarlar!$A$15:$A$20,C269)&gt;0,1,0))</f>
        <v/>
      </c>
      <c r="H269" s="14" t="str">
        <f aca="false">IF(A269="","",DATEDIF(E269,Ayarlar!$B$3,"y"))</f>
        <v/>
      </c>
      <c r="I269" s="14" t="str">
        <f aca="false">IF(OR(A269="",F269=""),"",DATEDIF(F269,Ayarlar!$B$3,"y"))</f>
        <v/>
      </c>
      <c r="J269" s="14" t="str">
        <f aca="false">IF(A269="","",IF(H269&lt;1,0,MAX(IF(H269&lt;5,14,IF(H269&lt;15,20,26)),IF(AND(I269&lt;&gt;"",OR(I269&lt;=18,I269&gt;=50)),20,0))))</f>
        <v/>
      </c>
      <c r="K269" s="17" t="str">
        <f aca="false">IF(A269="","",EDATE(E269,12*(H269+1)))</f>
        <v/>
      </c>
      <c r="L269" s="14" t="str">
        <f aca="false">IF(A269="","",K269-Ayarlar!$B$3)</f>
        <v/>
      </c>
      <c r="M269" s="18" t="str">
        <f aca="false">IF(A269="","",Veri_Guncel!H269)</f>
        <v/>
      </c>
      <c r="N269" s="18" t="str">
        <f aca="false">IF(A269="","",IFERROR(INDEX(Veri_Onceki!$H:$H,MATCH(A269,Veri_Onceki!$A:$A,0)),""))</f>
        <v/>
      </c>
      <c r="O269" s="14" t="str">
        <f aca="false">IF(A269="","",IF(AND(H269&gt;=1,EDATE(E269,12*H269)&gt;Ayarlar!$B$4,EDATE(E269,12*H269)&lt;=Ayarlar!$B$3),J269,0))</f>
        <v/>
      </c>
      <c r="P269" s="14" t="str">
        <f aca="false">IF(OR(A269="",N269=""),"",N269+O269-M269)</f>
        <v/>
      </c>
      <c r="Q269" s="16" t="str">
        <f aca="false">IF(A269="","",IF(M269&gt;=Ayarlar!$B$7,"ALARM",IF(M269&gt;=Ayarlar!$B$6,"Planla","")))</f>
        <v/>
      </c>
      <c r="R269" s="14" t="str">
        <f aca="false">IF(A269="","",IF(AND(L269&gt;=0,L269&lt;=Ayarlar!$B$9),"Evet",""))</f>
        <v/>
      </c>
      <c r="S269" s="16" t="str">
        <f aca="false">IF(A269="","",IF(N269="","Yeni personel",IF(P269&lt;0,"Kontrol et","")))</f>
        <v/>
      </c>
      <c r="T269" s="14" t="str">
        <f aca="false">IF(A269="","",IF(AND(G269=1,M269&gt;=Ayarlar!$B$6,OR(Ayarlar!$B$11="Tümü",C269=Ayarlar!$B$11)),M269+ROW()/100000,""))</f>
        <v/>
      </c>
    </row>
    <row r="270" customFormat="false" ht="15" hidden="false" customHeight="false" outlineLevel="0" collapsed="false">
      <c r="A270" s="18" t="str">
        <f aca="false">IF(Veri_Guncel!A270="","",Veri_Guncel!A270)</f>
        <v/>
      </c>
      <c r="B270" s="18" t="str">
        <f aca="false">IF($A270="","",Veri_Guncel!B270)</f>
        <v/>
      </c>
      <c r="C270" s="18" t="str">
        <f aca="false">IF($A270="","",Veri_Guncel!C270)</f>
        <v/>
      </c>
      <c r="D270" s="18" t="str">
        <f aca="false">IF($A270="","",Veri_Guncel!D270)</f>
        <v/>
      </c>
      <c r="E270" s="19" t="str">
        <f aca="false">IF($A270="","",Veri_Guncel!E270)</f>
        <v/>
      </c>
      <c r="F270" s="19" t="str">
        <f aca="false">IF($A270="","",Veri_Guncel!F270)</f>
        <v/>
      </c>
      <c r="G270" s="14" t="str">
        <f aca="false">IF(A270="","",IF(COUNTIF(Ayarlar!$A$15:$A$20,C270)&gt;0,1,0))</f>
        <v/>
      </c>
      <c r="H270" s="14" t="str">
        <f aca="false">IF(A270="","",DATEDIF(E270,Ayarlar!$B$3,"y"))</f>
        <v/>
      </c>
      <c r="I270" s="14" t="str">
        <f aca="false">IF(OR(A270="",F270=""),"",DATEDIF(F270,Ayarlar!$B$3,"y"))</f>
        <v/>
      </c>
      <c r="J270" s="14" t="str">
        <f aca="false">IF(A270="","",IF(H270&lt;1,0,MAX(IF(H270&lt;5,14,IF(H270&lt;15,20,26)),IF(AND(I270&lt;&gt;"",OR(I270&lt;=18,I270&gt;=50)),20,0))))</f>
        <v/>
      </c>
      <c r="K270" s="17" t="str">
        <f aca="false">IF(A270="","",EDATE(E270,12*(H270+1)))</f>
        <v/>
      </c>
      <c r="L270" s="14" t="str">
        <f aca="false">IF(A270="","",K270-Ayarlar!$B$3)</f>
        <v/>
      </c>
      <c r="M270" s="18" t="str">
        <f aca="false">IF(A270="","",Veri_Guncel!H270)</f>
        <v/>
      </c>
      <c r="N270" s="18" t="str">
        <f aca="false">IF(A270="","",IFERROR(INDEX(Veri_Onceki!$H:$H,MATCH(A270,Veri_Onceki!$A:$A,0)),""))</f>
        <v/>
      </c>
      <c r="O270" s="14" t="str">
        <f aca="false">IF(A270="","",IF(AND(H270&gt;=1,EDATE(E270,12*H270)&gt;Ayarlar!$B$4,EDATE(E270,12*H270)&lt;=Ayarlar!$B$3),J270,0))</f>
        <v/>
      </c>
      <c r="P270" s="14" t="str">
        <f aca="false">IF(OR(A270="",N270=""),"",N270+O270-M270)</f>
        <v/>
      </c>
      <c r="Q270" s="16" t="str">
        <f aca="false">IF(A270="","",IF(M270&gt;=Ayarlar!$B$7,"ALARM",IF(M270&gt;=Ayarlar!$B$6,"Planla","")))</f>
        <v/>
      </c>
      <c r="R270" s="14" t="str">
        <f aca="false">IF(A270="","",IF(AND(L270&gt;=0,L270&lt;=Ayarlar!$B$9),"Evet",""))</f>
        <v/>
      </c>
      <c r="S270" s="16" t="str">
        <f aca="false">IF(A270="","",IF(N270="","Yeni personel",IF(P270&lt;0,"Kontrol et","")))</f>
        <v/>
      </c>
      <c r="T270" s="14" t="str">
        <f aca="false">IF(A270="","",IF(AND(G270=1,M270&gt;=Ayarlar!$B$6,OR(Ayarlar!$B$11="Tümü",C270=Ayarlar!$B$11)),M270+ROW()/100000,""))</f>
        <v/>
      </c>
    </row>
    <row r="271" customFormat="false" ht="15" hidden="false" customHeight="false" outlineLevel="0" collapsed="false">
      <c r="A271" s="18" t="str">
        <f aca="false">IF(Veri_Guncel!A271="","",Veri_Guncel!A271)</f>
        <v/>
      </c>
      <c r="B271" s="18" t="str">
        <f aca="false">IF($A271="","",Veri_Guncel!B271)</f>
        <v/>
      </c>
      <c r="C271" s="18" t="str">
        <f aca="false">IF($A271="","",Veri_Guncel!C271)</f>
        <v/>
      </c>
      <c r="D271" s="18" t="str">
        <f aca="false">IF($A271="","",Veri_Guncel!D271)</f>
        <v/>
      </c>
      <c r="E271" s="19" t="str">
        <f aca="false">IF($A271="","",Veri_Guncel!E271)</f>
        <v/>
      </c>
      <c r="F271" s="19" t="str">
        <f aca="false">IF($A271="","",Veri_Guncel!F271)</f>
        <v/>
      </c>
      <c r="G271" s="14" t="str">
        <f aca="false">IF(A271="","",IF(COUNTIF(Ayarlar!$A$15:$A$20,C271)&gt;0,1,0))</f>
        <v/>
      </c>
      <c r="H271" s="14" t="str">
        <f aca="false">IF(A271="","",DATEDIF(E271,Ayarlar!$B$3,"y"))</f>
        <v/>
      </c>
      <c r="I271" s="14" t="str">
        <f aca="false">IF(OR(A271="",F271=""),"",DATEDIF(F271,Ayarlar!$B$3,"y"))</f>
        <v/>
      </c>
      <c r="J271" s="14" t="str">
        <f aca="false">IF(A271="","",IF(H271&lt;1,0,MAX(IF(H271&lt;5,14,IF(H271&lt;15,20,26)),IF(AND(I271&lt;&gt;"",OR(I271&lt;=18,I271&gt;=50)),20,0))))</f>
        <v/>
      </c>
      <c r="K271" s="17" t="str">
        <f aca="false">IF(A271="","",EDATE(E271,12*(H271+1)))</f>
        <v/>
      </c>
      <c r="L271" s="14" t="str">
        <f aca="false">IF(A271="","",K271-Ayarlar!$B$3)</f>
        <v/>
      </c>
      <c r="M271" s="18" t="str">
        <f aca="false">IF(A271="","",Veri_Guncel!H271)</f>
        <v/>
      </c>
      <c r="N271" s="18" t="str">
        <f aca="false">IF(A271="","",IFERROR(INDEX(Veri_Onceki!$H:$H,MATCH(A271,Veri_Onceki!$A:$A,0)),""))</f>
        <v/>
      </c>
      <c r="O271" s="14" t="str">
        <f aca="false">IF(A271="","",IF(AND(H271&gt;=1,EDATE(E271,12*H271)&gt;Ayarlar!$B$4,EDATE(E271,12*H271)&lt;=Ayarlar!$B$3),J271,0))</f>
        <v/>
      </c>
      <c r="P271" s="14" t="str">
        <f aca="false">IF(OR(A271="",N271=""),"",N271+O271-M271)</f>
        <v/>
      </c>
      <c r="Q271" s="16" t="str">
        <f aca="false">IF(A271="","",IF(M271&gt;=Ayarlar!$B$7,"ALARM",IF(M271&gt;=Ayarlar!$B$6,"Planla","")))</f>
        <v/>
      </c>
      <c r="R271" s="14" t="str">
        <f aca="false">IF(A271="","",IF(AND(L271&gt;=0,L271&lt;=Ayarlar!$B$9),"Evet",""))</f>
        <v/>
      </c>
      <c r="S271" s="16" t="str">
        <f aca="false">IF(A271="","",IF(N271="","Yeni personel",IF(P271&lt;0,"Kontrol et","")))</f>
        <v/>
      </c>
      <c r="T271" s="14" t="str">
        <f aca="false">IF(A271="","",IF(AND(G271=1,M271&gt;=Ayarlar!$B$6,OR(Ayarlar!$B$11="Tümü",C271=Ayarlar!$B$11)),M271+ROW()/100000,""))</f>
        <v/>
      </c>
    </row>
    <row r="272" customFormat="false" ht="15" hidden="false" customHeight="false" outlineLevel="0" collapsed="false">
      <c r="A272" s="18" t="str">
        <f aca="false">IF(Veri_Guncel!A272="","",Veri_Guncel!A272)</f>
        <v/>
      </c>
      <c r="B272" s="18" t="str">
        <f aca="false">IF($A272="","",Veri_Guncel!B272)</f>
        <v/>
      </c>
      <c r="C272" s="18" t="str">
        <f aca="false">IF($A272="","",Veri_Guncel!C272)</f>
        <v/>
      </c>
      <c r="D272" s="18" t="str">
        <f aca="false">IF($A272="","",Veri_Guncel!D272)</f>
        <v/>
      </c>
      <c r="E272" s="19" t="str">
        <f aca="false">IF($A272="","",Veri_Guncel!E272)</f>
        <v/>
      </c>
      <c r="F272" s="19" t="str">
        <f aca="false">IF($A272="","",Veri_Guncel!F272)</f>
        <v/>
      </c>
      <c r="G272" s="14" t="str">
        <f aca="false">IF(A272="","",IF(COUNTIF(Ayarlar!$A$15:$A$20,C272)&gt;0,1,0))</f>
        <v/>
      </c>
      <c r="H272" s="14" t="str">
        <f aca="false">IF(A272="","",DATEDIF(E272,Ayarlar!$B$3,"y"))</f>
        <v/>
      </c>
      <c r="I272" s="14" t="str">
        <f aca="false">IF(OR(A272="",F272=""),"",DATEDIF(F272,Ayarlar!$B$3,"y"))</f>
        <v/>
      </c>
      <c r="J272" s="14" t="str">
        <f aca="false">IF(A272="","",IF(H272&lt;1,0,MAX(IF(H272&lt;5,14,IF(H272&lt;15,20,26)),IF(AND(I272&lt;&gt;"",OR(I272&lt;=18,I272&gt;=50)),20,0))))</f>
        <v/>
      </c>
      <c r="K272" s="17" t="str">
        <f aca="false">IF(A272="","",EDATE(E272,12*(H272+1)))</f>
        <v/>
      </c>
      <c r="L272" s="14" t="str">
        <f aca="false">IF(A272="","",K272-Ayarlar!$B$3)</f>
        <v/>
      </c>
      <c r="M272" s="18" t="str">
        <f aca="false">IF(A272="","",Veri_Guncel!H272)</f>
        <v/>
      </c>
      <c r="N272" s="18" t="str">
        <f aca="false">IF(A272="","",IFERROR(INDEX(Veri_Onceki!$H:$H,MATCH(A272,Veri_Onceki!$A:$A,0)),""))</f>
        <v/>
      </c>
      <c r="O272" s="14" t="str">
        <f aca="false">IF(A272="","",IF(AND(H272&gt;=1,EDATE(E272,12*H272)&gt;Ayarlar!$B$4,EDATE(E272,12*H272)&lt;=Ayarlar!$B$3),J272,0))</f>
        <v/>
      </c>
      <c r="P272" s="14" t="str">
        <f aca="false">IF(OR(A272="",N272=""),"",N272+O272-M272)</f>
        <v/>
      </c>
      <c r="Q272" s="16" t="str">
        <f aca="false">IF(A272="","",IF(M272&gt;=Ayarlar!$B$7,"ALARM",IF(M272&gt;=Ayarlar!$B$6,"Planla","")))</f>
        <v/>
      </c>
      <c r="R272" s="14" t="str">
        <f aca="false">IF(A272="","",IF(AND(L272&gt;=0,L272&lt;=Ayarlar!$B$9),"Evet",""))</f>
        <v/>
      </c>
      <c r="S272" s="16" t="str">
        <f aca="false">IF(A272="","",IF(N272="","Yeni personel",IF(P272&lt;0,"Kontrol et","")))</f>
        <v/>
      </c>
      <c r="T272" s="14" t="str">
        <f aca="false">IF(A272="","",IF(AND(G272=1,M272&gt;=Ayarlar!$B$6,OR(Ayarlar!$B$11="Tümü",C272=Ayarlar!$B$11)),M272+ROW()/100000,""))</f>
        <v/>
      </c>
    </row>
    <row r="273" customFormat="false" ht="15" hidden="false" customHeight="false" outlineLevel="0" collapsed="false">
      <c r="A273" s="18" t="str">
        <f aca="false">IF(Veri_Guncel!A273="","",Veri_Guncel!A273)</f>
        <v/>
      </c>
      <c r="B273" s="18" t="str">
        <f aca="false">IF($A273="","",Veri_Guncel!B273)</f>
        <v/>
      </c>
      <c r="C273" s="18" t="str">
        <f aca="false">IF($A273="","",Veri_Guncel!C273)</f>
        <v/>
      </c>
      <c r="D273" s="18" t="str">
        <f aca="false">IF($A273="","",Veri_Guncel!D273)</f>
        <v/>
      </c>
      <c r="E273" s="19" t="str">
        <f aca="false">IF($A273="","",Veri_Guncel!E273)</f>
        <v/>
      </c>
      <c r="F273" s="19" t="str">
        <f aca="false">IF($A273="","",Veri_Guncel!F273)</f>
        <v/>
      </c>
      <c r="G273" s="14" t="str">
        <f aca="false">IF(A273="","",IF(COUNTIF(Ayarlar!$A$15:$A$20,C273)&gt;0,1,0))</f>
        <v/>
      </c>
      <c r="H273" s="14" t="str">
        <f aca="false">IF(A273="","",DATEDIF(E273,Ayarlar!$B$3,"y"))</f>
        <v/>
      </c>
      <c r="I273" s="14" t="str">
        <f aca="false">IF(OR(A273="",F273=""),"",DATEDIF(F273,Ayarlar!$B$3,"y"))</f>
        <v/>
      </c>
      <c r="J273" s="14" t="str">
        <f aca="false">IF(A273="","",IF(H273&lt;1,0,MAX(IF(H273&lt;5,14,IF(H273&lt;15,20,26)),IF(AND(I273&lt;&gt;"",OR(I273&lt;=18,I273&gt;=50)),20,0))))</f>
        <v/>
      </c>
      <c r="K273" s="17" t="str">
        <f aca="false">IF(A273="","",EDATE(E273,12*(H273+1)))</f>
        <v/>
      </c>
      <c r="L273" s="14" t="str">
        <f aca="false">IF(A273="","",K273-Ayarlar!$B$3)</f>
        <v/>
      </c>
      <c r="M273" s="18" t="str">
        <f aca="false">IF(A273="","",Veri_Guncel!H273)</f>
        <v/>
      </c>
      <c r="N273" s="18" t="str">
        <f aca="false">IF(A273="","",IFERROR(INDEX(Veri_Onceki!$H:$H,MATCH(A273,Veri_Onceki!$A:$A,0)),""))</f>
        <v/>
      </c>
      <c r="O273" s="14" t="str">
        <f aca="false">IF(A273="","",IF(AND(H273&gt;=1,EDATE(E273,12*H273)&gt;Ayarlar!$B$4,EDATE(E273,12*H273)&lt;=Ayarlar!$B$3),J273,0))</f>
        <v/>
      </c>
      <c r="P273" s="14" t="str">
        <f aca="false">IF(OR(A273="",N273=""),"",N273+O273-M273)</f>
        <v/>
      </c>
      <c r="Q273" s="16" t="str">
        <f aca="false">IF(A273="","",IF(M273&gt;=Ayarlar!$B$7,"ALARM",IF(M273&gt;=Ayarlar!$B$6,"Planla","")))</f>
        <v/>
      </c>
      <c r="R273" s="14" t="str">
        <f aca="false">IF(A273="","",IF(AND(L273&gt;=0,L273&lt;=Ayarlar!$B$9),"Evet",""))</f>
        <v/>
      </c>
      <c r="S273" s="16" t="str">
        <f aca="false">IF(A273="","",IF(N273="","Yeni personel",IF(P273&lt;0,"Kontrol et","")))</f>
        <v/>
      </c>
      <c r="T273" s="14" t="str">
        <f aca="false">IF(A273="","",IF(AND(G273=1,M273&gt;=Ayarlar!$B$6,OR(Ayarlar!$B$11="Tümü",C273=Ayarlar!$B$11)),M273+ROW()/100000,""))</f>
        <v/>
      </c>
    </row>
    <row r="274" customFormat="false" ht="15" hidden="false" customHeight="false" outlineLevel="0" collapsed="false">
      <c r="A274" s="18" t="str">
        <f aca="false">IF(Veri_Guncel!A274="","",Veri_Guncel!A274)</f>
        <v/>
      </c>
      <c r="B274" s="18" t="str">
        <f aca="false">IF($A274="","",Veri_Guncel!B274)</f>
        <v/>
      </c>
      <c r="C274" s="18" t="str">
        <f aca="false">IF($A274="","",Veri_Guncel!C274)</f>
        <v/>
      </c>
      <c r="D274" s="18" t="str">
        <f aca="false">IF($A274="","",Veri_Guncel!D274)</f>
        <v/>
      </c>
      <c r="E274" s="19" t="str">
        <f aca="false">IF($A274="","",Veri_Guncel!E274)</f>
        <v/>
      </c>
      <c r="F274" s="19" t="str">
        <f aca="false">IF($A274="","",Veri_Guncel!F274)</f>
        <v/>
      </c>
      <c r="G274" s="14" t="str">
        <f aca="false">IF(A274="","",IF(COUNTIF(Ayarlar!$A$15:$A$20,C274)&gt;0,1,0))</f>
        <v/>
      </c>
      <c r="H274" s="14" t="str">
        <f aca="false">IF(A274="","",DATEDIF(E274,Ayarlar!$B$3,"y"))</f>
        <v/>
      </c>
      <c r="I274" s="14" t="str">
        <f aca="false">IF(OR(A274="",F274=""),"",DATEDIF(F274,Ayarlar!$B$3,"y"))</f>
        <v/>
      </c>
      <c r="J274" s="14" t="str">
        <f aca="false">IF(A274="","",IF(H274&lt;1,0,MAX(IF(H274&lt;5,14,IF(H274&lt;15,20,26)),IF(AND(I274&lt;&gt;"",OR(I274&lt;=18,I274&gt;=50)),20,0))))</f>
        <v/>
      </c>
      <c r="K274" s="17" t="str">
        <f aca="false">IF(A274="","",EDATE(E274,12*(H274+1)))</f>
        <v/>
      </c>
      <c r="L274" s="14" t="str">
        <f aca="false">IF(A274="","",K274-Ayarlar!$B$3)</f>
        <v/>
      </c>
      <c r="M274" s="18" t="str">
        <f aca="false">IF(A274="","",Veri_Guncel!H274)</f>
        <v/>
      </c>
      <c r="N274" s="18" t="str">
        <f aca="false">IF(A274="","",IFERROR(INDEX(Veri_Onceki!$H:$H,MATCH(A274,Veri_Onceki!$A:$A,0)),""))</f>
        <v/>
      </c>
      <c r="O274" s="14" t="str">
        <f aca="false">IF(A274="","",IF(AND(H274&gt;=1,EDATE(E274,12*H274)&gt;Ayarlar!$B$4,EDATE(E274,12*H274)&lt;=Ayarlar!$B$3),J274,0))</f>
        <v/>
      </c>
      <c r="P274" s="14" t="str">
        <f aca="false">IF(OR(A274="",N274=""),"",N274+O274-M274)</f>
        <v/>
      </c>
      <c r="Q274" s="16" t="str">
        <f aca="false">IF(A274="","",IF(M274&gt;=Ayarlar!$B$7,"ALARM",IF(M274&gt;=Ayarlar!$B$6,"Planla","")))</f>
        <v/>
      </c>
      <c r="R274" s="14" t="str">
        <f aca="false">IF(A274="","",IF(AND(L274&gt;=0,L274&lt;=Ayarlar!$B$9),"Evet",""))</f>
        <v/>
      </c>
      <c r="S274" s="16" t="str">
        <f aca="false">IF(A274="","",IF(N274="","Yeni personel",IF(P274&lt;0,"Kontrol et","")))</f>
        <v/>
      </c>
      <c r="T274" s="14" t="str">
        <f aca="false">IF(A274="","",IF(AND(G274=1,M274&gt;=Ayarlar!$B$6,OR(Ayarlar!$B$11="Tümü",C274=Ayarlar!$B$11)),M274+ROW()/100000,""))</f>
        <v/>
      </c>
    </row>
    <row r="275" customFormat="false" ht="15" hidden="false" customHeight="false" outlineLevel="0" collapsed="false">
      <c r="A275" s="18" t="str">
        <f aca="false">IF(Veri_Guncel!A275="","",Veri_Guncel!A275)</f>
        <v/>
      </c>
      <c r="B275" s="18" t="str">
        <f aca="false">IF($A275="","",Veri_Guncel!B275)</f>
        <v/>
      </c>
      <c r="C275" s="18" t="str">
        <f aca="false">IF($A275="","",Veri_Guncel!C275)</f>
        <v/>
      </c>
      <c r="D275" s="18" t="str">
        <f aca="false">IF($A275="","",Veri_Guncel!D275)</f>
        <v/>
      </c>
      <c r="E275" s="19" t="str">
        <f aca="false">IF($A275="","",Veri_Guncel!E275)</f>
        <v/>
      </c>
      <c r="F275" s="19" t="str">
        <f aca="false">IF($A275="","",Veri_Guncel!F275)</f>
        <v/>
      </c>
      <c r="G275" s="14" t="str">
        <f aca="false">IF(A275="","",IF(COUNTIF(Ayarlar!$A$15:$A$20,C275)&gt;0,1,0))</f>
        <v/>
      </c>
      <c r="H275" s="14" t="str">
        <f aca="false">IF(A275="","",DATEDIF(E275,Ayarlar!$B$3,"y"))</f>
        <v/>
      </c>
      <c r="I275" s="14" t="str">
        <f aca="false">IF(OR(A275="",F275=""),"",DATEDIF(F275,Ayarlar!$B$3,"y"))</f>
        <v/>
      </c>
      <c r="J275" s="14" t="str">
        <f aca="false">IF(A275="","",IF(H275&lt;1,0,MAX(IF(H275&lt;5,14,IF(H275&lt;15,20,26)),IF(AND(I275&lt;&gt;"",OR(I275&lt;=18,I275&gt;=50)),20,0))))</f>
        <v/>
      </c>
      <c r="K275" s="17" t="str">
        <f aca="false">IF(A275="","",EDATE(E275,12*(H275+1)))</f>
        <v/>
      </c>
      <c r="L275" s="14" t="str">
        <f aca="false">IF(A275="","",K275-Ayarlar!$B$3)</f>
        <v/>
      </c>
      <c r="M275" s="18" t="str">
        <f aca="false">IF(A275="","",Veri_Guncel!H275)</f>
        <v/>
      </c>
      <c r="N275" s="18" t="str">
        <f aca="false">IF(A275="","",IFERROR(INDEX(Veri_Onceki!$H:$H,MATCH(A275,Veri_Onceki!$A:$A,0)),""))</f>
        <v/>
      </c>
      <c r="O275" s="14" t="str">
        <f aca="false">IF(A275="","",IF(AND(H275&gt;=1,EDATE(E275,12*H275)&gt;Ayarlar!$B$4,EDATE(E275,12*H275)&lt;=Ayarlar!$B$3),J275,0))</f>
        <v/>
      </c>
      <c r="P275" s="14" t="str">
        <f aca="false">IF(OR(A275="",N275=""),"",N275+O275-M275)</f>
        <v/>
      </c>
      <c r="Q275" s="16" t="str">
        <f aca="false">IF(A275="","",IF(M275&gt;=Ayarlar!$B$7,"ALARM",IF(M275&gt;=Ayarlar!$B$6,"Planla","")))</f>
        <v/>
      </c>
      <c r="R275" s="14" t="str">
        <f aca="false">IF(A275="","",IF(AND(L275&gt;=0,L275&lt;=Ayarlar!$B$9),"Evet",""))</f>
        <v/>
      </c>
      <c r="S275" s="16" t="str">
        <f aca="false">IF(A275="","",IF(N275="","Yeni personel",IF(P275&lt;0,"Kontrol et","")))</f>
        <v/>
      </c>
      <c r="T275" s="14" t="str">
        <f aca="false">IF(A275="","",IF(AND(G275=1,M275&gt;=Ayarlar!$B$6,OR(Ayarlar!$B$11="Tümü",C275=Ayarlar!$B$11)),M275+ROW()/100000,""))</f>
        <v/>
      </c>
    </row>
    <row r="276" customFormat="false" ht="15" hidden="false" customHeight="false" outlineLevel="0" collapsed="false">
      <c r="A276" s="18" t="str">
        <f aca="false">IF(Veri_Guncel!A276="","",Veri_Guncel!A276)</f>
        <v/>
      </c>
      <c r="B276" s="18" t="str">
        <f aca="false">IF($A276="","",Veri_Guncel!B276)</f>
        <v/>
      </c>
      <c r="C276" s="18" t="str">
        <f aca="false">IF($A276="","",Veri_Guncel!C276)</f>
        <v/>
      </c>
      <c r="D276" s="18" t="str">
        <f aca="false">IF($A276="","",Veri_Guncel!D276)</f>
        <v/>
      </c>
      <c r="E276" s="19" t="str">
        <f aca="false">IF($A276="","",Veri_Guncel!E276)</f>
        <v/>
      </c>
      <c r="F276" s="19" t="str">
        <f aca="false">IF($A276="","",Veri_Guncel!F276)</f>
        <v/>
      </c>
      <c r="G276" s="14" t="str">
        <f aca="false">IF(A276="","",IF(COUNTIF(Ayarlar!$A$15:$A$20,C276)&gt;0,1,0))</f>
        <v/>
      </c>
      <c r="H276" s="14" t="str">
        <f aca="false">IF(A276="","",DATEDIF(E276,Ayarlar!$B$3,"y"))</f>
        <v/>
      </c>
      <c r="I276" s="14" t="str">
        <f aca="false">IF(OR(A276="",F276=""),"",DATEDIF(F276,Ayarlar!$B$3,"y"))</f>
        <v/>
      </c>
      <c r="J276" s="14" t="str">
        <f aca="false">IF(A276="","",IF(H276&lt;1,0,MAX(IF(H276&lt;5,14,IF(H276&lt;15,20,26)),IF(AND(I276&lt;&gt;"",OR(I276&lt;=18,I276&gt;=50)),20,0))))</f>
        <v/>
      </c>
      <c r="K276" s="17" t="str">
        <f aca="false">IF(A276="","",EDATE(E276,12*(H276+1)))</f>
        <v/>
      </c>
      <c r="L276" s="14" t="str">
        <f aca="false">IF(A276="","",K276-Ayarlar!$B$3)</f>
        <v/>
      </c>
      <c r="M276" s="18" t="str">
        <f aca="false">IF(A276="","",Veri_Guncel!H276)</f>
        <v/>
      </c>
      <c r="N276" s="18" t="str">
        <f aca="false">IF(A276="","",IFERROR(INDEX(Veri_Onceki!$H:$H,MATCH(A276,Veri_Onceki!$A:$A,0)),""))</f>
        <v/>
      </c>
      <c r="O276" s="14" t="str">
        <f aca="false">IF(A276="","",IF(AND(H276&gt;=1,EDATE(E276,12*H276)&gt;Ayarlar!$B$4,EDATE(E276,12*H276)&lt;=Ayarlar!$B$3),J276,0))</f>
        <v/>
      </c>
      <c r="P276" s="14" t="str">
        <f aca="false">IF(OR(A276="",N276=""),"",N276+O276-M276)</f>
        <v/>
      </c>
      <c r="Q276" s="16" t="str">
        <f aca="false">IF(A276="","",IF(M276&gt;=Ayarlar!$B$7,"ALARM",IF(M276&gt;=Ayarlar!$B$6,"Planla","")))</f>
        <v/>
      </c>
      <c r="R276" s="14" t="str">
        <f aca="false">IF(A276="","",IF(AND(L276&gt;=0,L276&lt;=Ayarlar!$B$9),"Evet",""))</f>
        <v/>
      </c>
      <c r="S276" s="16" t="str">
        <f aca="false">IF(A276="","",IF(N276="","Yeni personel",IF(P276&lt;0,"Kontrol et","")))</f>
        <v/>
      </c>
      <c r="T276" s="14" t="str">
        <f aca="false">IF(A276="","",IF(AND(G276=1,M276&gt;=Ayarlar!$B$6,OR(Ayarlar!$B$11="Tümü",C276=Ayarlar!$B$11)),M276+ROW()/100000,""))</f>
        <v/>
      </c>
    </row>
    <row r="277" customFormat="false" ht="15" hidden="false" customHeight="false" outlineLevel="0" collapsed="false">
      <c r="A277" s="18" t="str">
        <f aca="false">IF(Veri_Guncel!A277="","",Veri_Guncel!A277)</f>
        <v/>
      </c>
      <c r="B277" s="18" t="str">
        <f aca="false">IF($A277="","",Veri_Guncel!B277)</f>
        <v/>
      </c>
      <c r="C277" s="18" t="str">
        <f aca="false">IF($A277="","",Veri_Guncel!C277)</f>
        <v/>
      </c>
      <c r="D277" s="18" t="str">
        <f aca="false">IF($A277="","",Veri_Guncel!D277)</f>
        <v/>
      </c>
      <c r="E277" s="19" t="str">
        <f aca="false">IF($A277="","",Veri_Guncel!E277)</f>
        <v/>
      </c>
      <c r="F277" s="19" t="str">
        <f aca="false">IF($A277="","",Veri_Guncel!F277)</f>
        <v/>
      </c>
      <c r="G277" s="14" t="str">
        <f aca="false">IF(A277="","",IF(COUNTIF(Ayarlar!$A$15:$A$20,C277)&gt;0,1,0))</f>
        <v/>
      </c>
      <c r="H277" s="14" t="str">
        <f aca="false">IF(A277="","",DATEDIF(E277,Ayarlar!$B$3,"y"))</f>
        <v/>
      </c>
      <c r="I277" s="14" t="str">
        <f aca="false">IF(OR(A277="",F277=""),"",DATEDIF(F277,Ayarlar!$B$3,"y"))</f>
        <v/>
      </c>
      <c r="J277" s="14" t="str">
        <f aca="false">IF(A277="","",IF(H277&lt;1,0,MAX(IF(H277&lt;5,14,IF(H277&lt;15,20,26)),IF(AND(I277&lt;&gt;"",OR(I277&lt;=18,I277&gt;=50)),20,0))))</f>
        <v/>
      </c>
      <c r="K277" s="17" t="str">
        <f aca="false">IF(A277="","",EDATE(E277,12*(H277+1)))</f>
        <v/>
      </c>
      <c r="L277" s="14" t="str">
        <f aca="false">IF(A277="","",K277-Ayarlar!$B$3)</f>
        <v/>
      </c>
      <c r="M277" s="18" t="str">
        <f aca="false">IF(A277="","",Veri_Guncel!H277)</f>
        <v/>
      </c>
      <c r="N277" s="18" t="str">
        <f aca="false">IF(A277="","",IFERROR(INDEX(Veri_Onceki!$H:$H,MATCH(A277,Veri_Onceki!$A:$A,0)),""))</f>
        <v/>
      </c>
      <c r="O277" s="14" t="str">
        <f aca="false">IF(A277="","",IF(AND(H277&gt;=1,EDATE(E277,12*H277)&gt;Ayarlar!$B$4,EDATE(E277,12*H277)&lt;=Ayarlar!$B$3),J277,0))</f>
        <v/>
      </c>
      <c r="P277" s="14" t="str">
        <f aca="false">IF(OR(A277="",N277=""),"",N277+O277-M277)</f>
        <v/>
      </c>
      <c r="Q277" s="16" t="str">
        <f aca="false">IF(A277="","",IF(M277&gt;=Ayarlar!$B$7,"ALARM",IF(M277&gt;=Ayarlar!$B$6,"Planla","")))</f>
        <v/>
      </c>
      <c r="R277" s="14" t="str">
        <f aca="false">IF(A277="","",IF(AND(L277&gt;=0,L277&lt;=Ayarlar!$B$9),"Evet",""))</f>
        <v/>
      </c>
      <c r="S277" s="16" t="str">
        <f aca="false">IF(A277="","",IF(N277="","Yeni personel",IF(P277&lt;0,"Kontrol et","")))</f>
        <v/>
      </c>
      <c r="T277" s="14" t="str">
        <f aca="false">IF(A277="","",IF(AND(G277=1,M277&gt;=Ayarlar!$B$6,OR(Ayarlar!$B$11="Tümü",C277=Ayarlar!$B$11)),M277+ROW()/100000,""))</f>
        <v/>
      </c>
    </row>
    <row r="278" customFormat="false" ht="15" hidden="false" customHeight="false" outlineLevel="0" collapsed="false">
      <c r="A278" s="18" t="str">
        <f aca="false">IF(Veri_Guncel!A278="","",Veri_Guncel!A278)</f>
        <v/>
      </c>
      <c r="B278" s="18" t="str">
        <f aca="false">IF($A278="","",Veri_Guncel!B278)</f>
        <v/>
      </c>
      <c r="C278" s="18" t="str">
        <f aca="false">IF($A278="","",Veri_Guncel!C278)</f>
        <v/>
      </c>
      <c r="D278" s="18" t="str">
        <f aca="false">IF($A278="","",Veri_Guncel!D278)</f>
        <v/>
      </c>
      <c r="E278" s="19" t="str">
        <f aca="false">IF($A278="","",Veri_Guncel!E278)</f>
        <v/>
      </c>
      <c r="F278" s="19" t="str">
        <f aca="false">IF($A278="","",Veri_Guncel!F278)</f>
        <v/>
      </c>
      <c r="G278" s="14" t="str">
        <f aca="false">IF(A278="","",IF(COUNTIF(Ayarlar!$A$15:$A$20,C278)&gt;0,1,0))</f>
        <v/>
      </c>
      <c r="H278" s="14" t="str">
        <f aca="false">IF(A278="","",DATEDIF(E278,Ayarlar!$B$3,"y"))</f>
        <v/>
      </c>
      <c r="I278" s="14" t="str">
        <f aca="false">IF(OR(A278="",F278=""),"",DATEDIF(F278,Ayarlar!$B$3,"y"))</f>
        <v/>
      </c>
      <c r="J278" s="14" t="str">
        <f aca="false">IF(A278="","",IF(H278&lt;1,0,MAX(IF(H278&lt;5,14,IF(H278&lt;15,20,26)),IF(AND(I278&lt;&gt;"",OR(I278&lt;=18,I278&gt;=50)),20,0))))</f>
        <v/>
      </c>
      <c r="K278" s="17" t="str">
        <f aca="false">IF(A278="","",EDATE(E278,12*(H278+1)))</f>
        <v/>
      </c>
      <c r="L278" s="14" t="str">
        <f aca="false">IF(A278="","",K278-Ayarlar!$B$3)</f>
        <v/>
      </c>
      <c r="M278" s="18" t="str">
        <f aca="false">IF(A278="","",Veri_Guncel!H278)</f>
        <v/>
      </c>
      <c r="N278" s="18" t="str">
        <f aca="false">IF(A278="","",IFERROR(INDEX(Veri_Onceki!$H:$H,MATCH(A278,Veri_Onceki!$A:$A,0)),""))</f>
        <v/>
      </c>
      <c r="O278" s="14" t="str">
        <f aca="false">IF(A278="","",IF(AND(H278&gt;=1,EDATE(E278,12*H278)&gt;Ayarlar!$B$4,EDATE(E278,12*H278)&lt;=Ayarlar!$B$3),J278,0))</f>
        <v/>
      </c>
      <c r="P278" s="14" t="str">
        <f aca="false">IF(OR(A278="",N278=""),"",N278+O278-M278)</f>
        <v/>
      </c>
      <c r="Q278" s="16" t="str">
        <f aca="false">IF(A278="","",IF(M278&gt;=Ayarlar!$B$7,"ALARM",IF(M278&gt;=Ayarlar!$B$6,"Planla","")))</f>
        <v/>
      </c>
      <c r="R278" s="14" t="str">
        <f aca="false">IF(A278="","",IF(AND(L278&gt;=0,L278&lt;=Ayarlar!$B$9),"Evet",""))</f>
        <v/>
      </c>
      <c r="S278" s="16" t="str">
        <f aca="false">IF(A278="","",IF(N278="","Yeni personel",IF(P278&lt;0,"Kontrol et","")))</f>
        <v/>
      </c>
      <c r="T278" s="14" t="str">
        <f aca="false">IF(A278="","",IF(AND(G278=1,M278&gt;=Ayarlar!$B$6,OR(Ayarlar!$B$11="Tümü",C278=Ayarlar!$B$11)),M278+ROW()/100000,""))</f>
        <v/>
      </c>
    </row>
    <row r="279" customFormat="false" ht="15" hidden="false" customHeight="false" outlineLevel="0" collapsed="false">
      <c r="A279" s="18" t="str">
        <f aca="false">IF(Veri_Guncel!A279="","",Veri_Guncel!A279)</f>
        <v/>
      </c>
      <c r="B279" s="18" t="str">
        <f aca="false">IF($A279="","",Veri_Guncel!B279)</f>
        <v/>
      </c>
      <c r="C279" s="18" t="str">
        <f aca="false">IF($A279="","",Veri_Guncel!C279)</f>
        <v/>
      </c>
      <c r="D279" s="18" t="str">
        <f aca="false">IF($A279="","",Veri_Guncel!D279)</f>
        <v/>
      </c>
      <c r="E279" s="19" t="str">
        <f aca="false">IF($A279="","",Veri_Guncel!E279)</f>
        <v/>
      </c>
      <c r="F279" s="19" t="str">
        <f aca="false">IF($A279="","",Veri_Guncel!F279)</f>
        <v/>
      </c>
      <c r="G279" s="14" t="str">
        <f aca="false">IF(A279="","",IF(COUNTIF(Ayarlar!$A$15:$A$20,C279)&gt;0,1,0))</f>
        <v/>
      </c>
      <c r="H279" s="14" t="str">
        <f aca="false">IF(A279="","",DATEDIF(E279,Ayarlar!$B$3,"y"))</f>
        <v/>
      </c>
      <c r="I279" s="14" t="str">
        <f aca="false">IF(OR(A279="",F279=""),"",DATEDIF(F279,Ayarlar!$B$3,"y"))</f>
        <v/>
      </c>
      <c r="J279" s="14" t="str">
        <f aca="false">IF(A279="","",IF(H279&lt;1,0,MAX(IF(H279&lt;5,14,IF(H279&lt;15,20,26)),IF(AND(I279&lt;&gt;"",OR(I279&lt;=18,I279&gt;=50)),20,0))))</f>
        <v/>
      </c>
      <c r="K279" s="17" t="str">
        <f aca="false">IF(A279="","",EDATE(E279,12*(H279+1)))</f>
        <v/>
      </c>
      <c r="L279" s="14" t="str">
        <f aca="false">IF(A279="","",K279-Ayarlar!$B$3)</f>
        <v/>
      </c>
      <c r="M279" s="18" t="str">
        <f aca="false">IF(A279="","",Veri_Guncel!H279)</f>
        <v/>
      </c>
      <c r="N279" s="18" t="str">
        <f aca="false">IF(A279="","",IFERROR(INDEX(Veri_Onceki!$H:$H,MATCH(A279,Veri_Onceki!$A:$A,0)),""))</f>
        <v/>
      </c>
      <c r="O279" s="14" t="str">
        <f aca="false">IF(A279="","",IF(AND(H279&gt;=1,EDATE(E279,12*H279)&gt;Ayarlar!$B$4,EDATE(E279,12*H279)&lt;=Ayarlar!$B$3),J279,0))</f>
        <v/>
      </c>
      <c r="P279" s="14" t="str">
        <f aca="false">IF(OR(A279="",N279=""),"",N279+O279-M279)</f>
        <v/>
      </c>
      <c r="Q279" s="16" t="str">
        <f aca="false">IF(A279="","",IF(M279&gt;=Ayarlar!$B$7,"ALARM",IF(M279&gt;=Ayarlar!$B$6,"Planla","")))</f>
        <v/>
      </c>
      <c r="R279" s="14" t="str">
        <f aca="false">IF(A279="","",IF(AND(L279&gt;=0,L279&lt;=Ayarlar!$B$9),"Evet",""))</f>
        <v/>
      </c>
      <c r="S279" s="16" t="str">
        <f aca="false">IF(A279="","",IF(N279="","Yeni personel",IF(P279&lt;0,"Kontrol et","")))</f>
        <v/>
      </c>
      <c r="T279" s="14" t="str">
        <f aca="false">IF(A279="","",IF(AND(G279=1,M279&gt;=Ayarlar!$B$6,OR(Ayarlar!$B$11="Tümü",C279=Ayarlar!$B$11)),M279+ROW()/100000,""))</f>
        <v/>
      </c>
    </row>
    <row r="280" customFormat="false" ht="15" hidden="false" customHeight="false" outlineLevel="0" collapsed="false">
      <c r="A280" s="18" t="str">
        <f aca="false">IF(Veri_Guncel!A280="","",Veri_Guncel!A280)</f>
        <v/>
      </c>
      <c r="B280" s="18" t="str">
        <f aca="false">IF($A280="","",Veri_Guncel!B280)</f>
        <v/>
      </c>
      <c r="C280" s="18" t="str">
        <f aca="false">IF($A280="","",Veri_Guncel!C280)</f>
        <v/>
      </c>
      <c r="D280" s="18" t="str">
        <f aca="false">IF($A280="","",Veri_Guncel!D280)</f>
        <v/>
      </c>
      <c r="E280" s="19" t="str">
        <f aca="false">IF($A280="","",Veri_Guncel!E280)</f>
        <v/>
      </c>
      <c r="F280" s="19" t="str">
        <f aca="false">IF($A280="","",Veri_Guncel!F280)</f>
        <v/>
      </c>
      <c r="G280" s="14" t="str">
        <f aca="false">IF(A280="","",IF(COUNTIF(Ayarlar!$A$15:$A$20,C280)&gt;0,1,0))</f>
        <v/>
      </c>
      <c r="H280" s="14" t="str">
        <f aca="false">IF(A280="","",DATEDIF(E280,Ayarlar!$B$3,"y"))</f>
        <v/>
      </c>
      <c r="I280" s="14" t="str">
        <f aca="false">IF(OR(A280="",F280=""),"",DATEDIF(F280,Ayarlar!$B$3,"y"))</f>
        <v/>
      </c>
      <c r="J280" s="14" t="str">
        <f aca="false">IF(A280="","",IF(H280&lt;1,0,MAX(IF(H280&lt;5,14,IF(H280&lt;15,20,26)),IF(AND(I280&lt;&gt;"",OR(I280&lt;=18,I280&gt;=50)),20,0))))</f>
        <v/>
      </c>
      <c r="K280" s="17" t="str">
        <f aca="false">IF(A280="","",EDATE(E280,12*(H280+1)))</f>
        <v/>
      </c>
      <c r="L280" s="14" t="str">
        <f aca="false">IF(A280="","",K280-Ayarlar!$B$3)</f>
        <v/>
      </c>
      <c r="M280" s="18" t="str">
        <f aca="false">IF(A280="","",Veri_Guncel!H280)</f>
        <v/>
      </c>
      <c r="N280" s="18" t="str">
        <f aca="false">IF(A280="","",IFERROR(INDEX(Veri_Onceki!$H:$H,MATCH(A280,Veri_Onceki!$A:$A,0)),""))</f>
        <v/>
      </c>
      <c r="O280" s="14" t="str">
        <f aca="false">IF(A280="","",IF(AND(H280&gt;=1,EDATE(E280,12*H280)&gt;Ayarlar!$B$4,EDATE(E280,12*H280)&lt;=Ayarlar!$B$3),J280,0))</f>
        <v/>
      </c>
      <c r="P280" s="14" t="str">
        <f aca="false">IF(OR(A280="",N280=""),"",N280+O280-M280)</f>
        <v/>
      </c>
      <c r="Q280" s="16" t="str">
        <f aca="false">IF(A280="","",IF(M280&gt;=Ayarlar!$B$7,"ALARM",IF(M280&gt;=Ayarlar!$B$6,"Planla","")))</f>
        <v/>
      </c>
      <c r="R280" s="14" t="str">
        <f aca="false">IF(A280="","",IF(AND(L280&gt;=0,L280&lt;=Ayarlar!$B$9),"Evet",""))</f>
        <v/>
      </c>
      <c r="S280" s="16" t="str">
        <f aca="false">IF(A280="","",IF(N280="","Yeni personel",IF(P280&lt;0,"Kontrol et","")))</f>
        <v/>
      </c>
      <c r="T280" s="14" t="str">
        <f aca="false">IF(A280="","",IF(AND(G280=1,M280&gt;=Ayarlar!$B$6,OR(Ayarlar!$B$11="Tümü",C280=Ayarlar!$B$11)),M280+ROW()/100000,""))</f>
        <v/>
      </c>
    </row>
    <row r="281" customFormat="false" ht="15" hidden="false" customHeight="false" outlineLevel="0" collapsed="false">
      <c r="A281" s="18" t="str">
        <f aca="false">IF(Veri_Guncel!A281="","",Veri_Guncel!A281)</f>
        <v/>
      </c>
      <c r="B281" s="18" t="str">
        <f aca="false">IF($A281="","",Veri_Guncel!B281)</f>
        <v/>
      </c>
      <c r="C281" s="18" t="str">
        <f aca="false">IF($A281="","",Veri_Guncel!C281)</f>
        <v/>
      </c>
      <c r="D281" s="18" t="str">
        <f aca="false">IF($A281="","",Veri_Guncel!D281)</f>
        <v/>
      </c>
      <c r="E281" s="19" t="str">
        <f aca="false">IF($A281="","",Veri_Guncel!E281)</f>
        <v/>
      </c>
      <c r="F281" s="19" t="str">
        <f aca="false">IF($A281="","",Veri_Guncel!F281)</f>
        <v/>
      </c>
      <c r="G281" s="14" t="str">
        <f aca="false">IF(A281="","",IF(COUNTIF(Ayarlar!$A$15:$A$20,C281)&gt;0,1,0))</f>
        <v/>
      </c>
      <c r="H281" s="14" t="str">
        <f aca="false">IF(A281="","",DATEDIF(E281,Ayarlar!$B$3,"y"))</f>
        <v/>
      </c>
      <c r="I281" s="14" t="str">
        <f aca="false">IF(OR(A281="",F281=""),"",DATEDIF(F281,Ayarlar!$B$3,"y"))</f>
        <v/>
      </c>
      <c r="J281" s="14" t="str">
        <f aca="false">IF(A281="","",IF(H281&lt;1,0,MAX(IF(H281&lt;5,14,IF(H281&lt;15,20,26)),IF(AND(I281&lt;&gt;"",OR(I281&lt;=18,I281&gt;=50)),20,0))))</f>
        <v/>
      </c>
      <c r="K281" s="17" t="str">
        <f aca="false">IF(A281="","",EDATE(E281,12*(H281+1)))</f>
        <v/>
      </c>
      <c r="L281" s="14" t="str">
        <f aca="false">IF(A281="","",K281-Ayarlar!$B$3)</f>
        <v/>
      </c>
      <c r="M281" s="18" t="str">
        <f aca="false">IF(A281="","",Veri_Guncel!H281)</f>
        <v/>
      </c>
      <c r="N281" s="18" t="str">
        <f aca="false">IF(A281="","",IFERROR(INDEX(Veri_Onceki!$H:$H,MATCH(A281,Veri_Onceki!$A:$A,0)),""))</f>
        <v/>
      </c>
      <c r="O281" s="14" t="str">
        <f aca="false">IF(A281="","",IF(AND(H281&gt;=1,EDATE(E281,12*H281)&gt;Ayarlar!$B$4,EDATE(E281,12*H281)&lt;=Ayarlar!$B$3),J281,0))</f>
        <v/>
      </c>
      <c r="P281" s="14" t="str">
        <f aca="false">IF(OR(A281="",N281=""),"",N281+O281-M281)</f>
        <v/>
      </c>
      <c r="Q281" s="16" t="str">
        <f aca="false">IF(A281="","",IF(M281&gt;=Ayarlar!$B$7,"ALARM",IF(M281&gt;=Ayarlar!$B$6,"Planla","")))</f>
        <v/>
      </c>
      <c r="R281" s="14" t="str">
        <f aca="false">IF(A281="","",IF(AND(L281&gt;=0,L281&lt;=Ayarlar!$B$9),"Evet",""))</f>
        <v/>
      </c>
      <c r="S281" s="16" t="str">
        <f aca="false">IF(A281="","",IF(N281="","Yeni personel",IF(P281&lt;0,"Kontrol et","")))</f>
        <v/>
      </c>
      <c r="T281" s="14" t="str">
        <f aca="false">IF(A281="","",IF(AND(G281=1,M281&gt;=Ayarlar!$B$6,OR(Ayarlar!$B$11="Tümü",C281=Ayarlar!$B$11)),M281+ROW()/100000,""))</f>
        <v/>
      </c>
    </row>
    <row r="282" customFormat="false" ht="15" hidden="false" customHeight="false" outlineLevel="0" collapsed="false">
      <c r="A282" s="18" t="str">
        <f aca="false">IF(Veri_Guncel!A282="","",Veri_Guncel!A282)</f>
        <v/>
      </c>
      <c r="B282" s="18" t="str">
        <f aca="false">IF($A282="","",Veri_Guncel!B282)</f>
        <v/>
      </c>
      <c r="C282" s="18" t="str">
        <f aca="false">IF($A282="","",Veri_Guncel!C282)</f>
        <v/>
      </c>
      <c r="D282" s="18" t="str">
        <f aca="false">IF($A282="","",Veri_Guncel!D282)</f>
        <v/>
      </c>
      <c r="E282" s="19" t="str">
        <f aca="false">IF($A282="","",Veri_Guncel!E282)</f>
        <v/>
      </c>
      <c r="F282" s="19" t="str">
        <f aca="false">IF($A282="","",Veri_Guncel!F282)</f>
        <v/>
      </c>
      <c r="G282" s="14" t="str">
        <f aca="false">IF(A282="","",IF(COUNTIF(Ayarlar!$A$15:$A$20,C282)&gt;0,1,0))</f>
        <v/>
      </c>
      <c r="H282" s="14" t="str">
        <f aca="false">IF(A282="","",DATEDIF(E282,Ayarlar!$B$3,"y"))</f>
        <v/>
      </c>
      <c r="I282" s="14" t="str">
        <f aca="false">IF(OR(A282="",F282=""),"",DATEDIF(F282,Ayarlar!$B$3,"y"))</f>
        <v/>
      </c>
      <c r="J282" s="14" t="str">
        <f aca="false">IF(A282="","",IF(H282&lt;1,0,MAX(IF(H282&lt;5,14,IF(H282&lt;15,20,26)),IF(AND(I282&lt;&gt;"",OR(I282&lt;=18,I282&gt;=50)),20,0))))</f>
        <v/>
      </c>
      <c r="K282" s="17" t="str">
        <f aca="false">IF(A282="","",EDATE(E282,12*(H282+1)))</f>
        <v/>
      </c>
      <c r="L282" s="14" t="str">
        <f aca="false">IF(A282="","",K282-Ayarlar!$B$3)</f>
        <v/>
      </c>
      <c r="M282" s="18" t="str">
        <f aca="false">IF(A282="","",Veri_Guncel!H282)</f>
        <v/>
      </c>
      <c r="N282" s="18" t="str">
        <f aca="false">IF(A282="","",IFERROR(INDEX(Veri_Onceki!$H:$H,MATCH(A282,Veri_Onceki!$A:$A,0)),""))</f>
        <v/>
      </c>
      <c r="O282" s="14" t="str">
        <f aca="false">IF(A282="","",IF(AND(H282&gt;=1,EDATE(E282,12*H282)&gt;Ayarlar!$B$4,EDATE(E282,12*H282)&lt;=Ayarlar!$B$3),J282,0))</f>
        <v/>
      </c>
      <c r="P282" s="14" t="str">
        <f aca="false">IF(OR(A282="",N282=""),"",N282+O282-M282)</f>
        <v/>
      </c>
      <c r="Q282" s="16" t="str">
        <f aca="false">IF(A282="","",IF(M282&gt;=Ayarlar!$B$7,"ALARM",IF(M282&gt;=Ayarlar!$B$6,"Planla","")))</f>
        <v/>
      </c>
      <c r="R282" s="14" t="str">
        <f aca="false">IF(A282="","",IF(AND(L282&gt;=0,L282&lt;=Ayarlar!$B$9),"Evet",""))</f>
        <v/>
      </c>
      <c r="S282" s="16" t="str">
        <f aca="false">IF(A282="","",IF(N282="","Yeni personel",IF(P282&lt;0,"Kontrol et","")))</f>
        <v/>
      </c>
      <c r="T282" s="14" t="str">
        <f aca="false">IF(A282="","",IF(AND(G282=1,M282&gt;=Ayarlar!$B$6,OR(Ayarlar!$B$11="Tümü",C282=Ayarlar!$B$11)),M282+ROW()/100000,""))</f>
        <v/>
      </c>
    </row>
    <row r="283" customFormat="false" ht="15" hidden="false" customHeight="false" outlineLevel="0" collapsed="false">
      <c r="A283" s="18" t="str">
        <f aca="false">IF(Veri_Guncel!A283="","",Veri_Guncel!A283)</f>
        <v/>
      </c>
      <c r="B283" s="18" t="str">
        <f aca="false">IF($A283="","",Veri_Guncel!B283)</f>
        <v/>
      </c>
      <c r="C283" s="18" t="str">
        <f aca="false">IF($A283="","",Veri_Guncel!C283)</f>
        <v/>
      </c>
      <c r="D283" s="18" t="str">
        <f aca="false">IF($A283="","",Veri_Guncel!D283)</f>
        <v/>
      </c>
      <c r="E283" s="19" t="str">
        <f aca="false">IF($A283="","",Veri_Guncel!E283)</f>
        <v/>
      </c>
      <c r="F283" s="19" t="str">
        <f aca="false">IF($A283="","",Veri_Guncel!F283)</f>
        <v/>
      </c>
      <c r="G283" s="14" t="str">
        <f aca="false">IF(A283="","",IF(COUNTIF(Ayarlar!$A$15:$A$20,C283)&gt;0,1,0))</f>
        <v/>
      </c>
      <c r="H283" s="14" t="str">
        <f aca="false">IF(A283="","",DATEDIF(E283,Ayarlar!$B$3,"y"))</f>
        <v/>
      </c>
      <c r="I283" s="14" t="str">
        <f aca="false">IF(OR(A283="",F283=""),"",DATEDIF(F283,Ayarlar!$B$3,"y"))</f>
        <v/>
      </c>
      <c r="J283" s="14" t="str">
        <f aca="false">IF(A283="","",IF(H283&lt;1,0,MAX(IF(H283&lt;5,14,IF(H283&lt;15,20,26)),IF(AND(I283&lt;&gt;"",OR(I283&lt;=18,I283&gt;=50)),20,0))))</f>
        <v/>
      </c>
      <c r="K283" s="17" t="str">
        <f aca="false">IF(A283="","",EDATE(E283,12*(H283+1)))</f>
        <v/>
      </c>
      <c r="L283" s="14" t="str">
        <f aca="false">IF(A283="","",K283-Ayarlar!$B$3)</f>
        <v/>
      </c>
      <c r="M283" s="18" t="str">
        <f aca="false">IF(A283="","",Veri_Guncel!H283)</f>
        <v/>
      </c>
      <c r="N283" s="18" t="str">
        <f aca="false">IF(A283="","",IFERROR(INDEX(Veri_Onceki!$H:$H,MATCH(A283,Veri_Onceki!$A:$A,0)),""))</f>
        <v/>
      </c>
      <c r="O283" s="14" t="str">
        <f aca="false">IF(A283="","",IF(AND(H283&gt;=1,EDATE(E283,12*H283)&gt;Ayarlar!$B$4,EDATE(E283,12*H283)&lt;=Ayarlar!$B$3),J283,0))</f>
        <v/>
      </c>
      <c r="P283" s="14" t="str">
        <f aca="false">IF(OR(A283="",N283=""),"",N283+O283-M283)</f>
        <v/>
      </c>
      <c r="Q283" s="16" t="str">
        <f aca="false">IF(A283="","",IF(M283&gt;=Ayarlar!$B$7,"ALARM",IF(M283&gt;=Ayarlar!$B$6,"Planla","")))</f>
        <v/>
      </c>
      <c r="R283" s="14" t="str">
        <f aca="false">IF(A283="","",IF(AND(L283&gt;=0,L283&lt;=Ayarlar!$B$9),"Evet",""))</f>
        <v/>
      </c>
      <c r="S283" s="16" t="str">
        <f aca="false">IF(A283="","",IF(N283="","Yeni personel",IF(P283&lt;0,"Kontrol et","")))</f>
        <v/>
      </c>
      <c r="T283" s="14" t="str">
        <f aca="false">IF(A283="","",IF(AND(G283=1,M283&gt;=Ayarlar!$B$6,OR(Ayarlar!$B$11="Tümü",C283=Ayarlar!$B$11)),M283+ROW()/100000,""))</f>
        <v/>
      </c>
    </row>
    <row r="284" customFormat="false" ht="15" hidden="false" customHeight="false" outlineLevel="0" collapsed="false">
      <c r="A284" s="18" t="str">
        <f aca="false">IF(Veri_Guncel!A284="","",Veri_Guncel!A284)</f>
        <v/>
      </c>
      <c r="B284" s="18" t="str">
        <f aca="false">IF($A284="","",Veri_Guncel!B284)</f>
        <v/>
      </c>
      <c r="C284" s="18" t="str">
        <f aca="false">IF($A284="","",Veri_Guncel!C284)</f>
        <v/>
      </c>
      <c r="D284" s="18" t="str">
        <f aca="false">IF($A284="","",Veri_Guncel!D284)</f>
        <v/>
      </c>
      <c r="E284" s="19" t="str">
        <f aca="false">IF($A284="","",Veri_Guncel!E284)</f>
        <v/>
      </c>
      <c r="F284" s="19" t="str">
        <f aca="false">IF($A284="","",Veri_Guncel!F284)</f>
        <v/>
      </c>
      <c r="G284" s="14" t="str">
        <f aca="false">IF(A284="","",IF(COUNTIF(Ayarlar!$A$15:$A$20,C284)&gt;0,1,0))</f>
        <v/>
      </c>
      <c r="H284" s="14" t="str">
        <f aca="false">IF(A284="","",DATEDIF(E284,Ayarlar!$B$3,"y"))</f>
        <v/>
      </c>
      <c r="I284" s="14" t="str">
        <f aca="false">IF(OR(A284="",F284=""),"",DATEDIF(F284,Ayarlar!$B$3,"y"))</f>
        <v/>
      </c>
      <c r="J284" s="14" t="str">
        <f aca="false">IF(A284="","",IF(H284&lt;1,0,MAX(IF(H284&lt;5,14,IF(H284&lt;15,20,26)),IF(AND(I284&lt;&gt;"",OR(I284&lt;=18,I284&gt;=50)),20,0))))</f>
        <v/>
      </c>
      <c r="K284" s="17" t="str">
        <f aca="false">IF(A284="","",EDATE(E284,12*(H284+1)))</f>
        <v/>
      </c>
      <c r="L284" s="14" t="str">
        <f aca="false">IF(A284="","",K284-Ayarlar!$B$3)</f>
        <v/>
      </c>
      <c r="M284" s="18" t="str">
        <f aca="false">IF(A284="","",Veri_Guncel!H284)</f>
        <v/>
      </c>
      <c r="N284" s="18" t="str">
        <f aca="false">IF(A284="","",IFERROR(INDEX(Veri_Onceki!$H:$H,MATCH(A284,Veri_Onceki!$A:$A,0)),""))</f>
        <v/>
      </c>
      <c r="O284" s="14" t="str">
        <f aca="false">IF(A284="","",IF(AND(H284&gt;=1,EDATE(E284,12*H284)&gt;Ayarlar!$B$4,EDATE(E284,12*H284)&lt;=Ayarlar!$B$3),J284,0))</f>
        <v/>
      </c>
      <c r="P284" s="14" t="str">
        <f aca="false">IF(OR(A284="",N284=""),"",N284+O284-M284)</f>
        <v/>
      </c>
      <c r="Q284" s="16" t="str">
        <f aca="false">IF(A284="","",IF(M284&gt;=Ayarlar!$B$7,"ALARM",IF(M284&gt;=Ayarlar!$B$6,"Planla","")))</f>
        <v/>
      </c>
      <c r="R284" s="14" t="str">
        <f aca="false">IF(A284="","",IF(AND(L284&gt;=0,L284&lt;=Ayarlar!$B$9),"Evet",""))</f>
        <v/>
      </c>
      <c r="S284" s="16" t="str">
        <f aca="false">IF(A284="","",IF(N284="","Yeni personel",IF(P284&lt;0,"Kontrol et","")))</f>
        <v/>
      </c>
      <c r="T284" s="14" t="str">
        <f aca="false">IF(A284="","",IF(AND(G284=1,M284&gt;=Ayarlar!$B$6,OR(Ayarlar!$B$11="Tümü",C284=Ayarlar!$B$11)),M284+ROW()/100000,""))</f>
        <v/>
      </c>
    </row>
    <row r="285" customFormat="false" ht="15" hidden="false" customHeight="false" outlineLevel="0" collapsed="false">
      <c r="A285" s="18" t="str">
        <f aca="false">IF(Veri_Guncel!A285="","",Veri_Guncel!A285)</f>
        <v/>
      </c>
      <c r="B285" s="18" t="str">
        <f aca="false">IF($A285="","",Veri_Guncel!B285)</f>
        <v/>
      </c>
      <c r="C285" s="18" t="str">
        <f aca="false">IF($A285="","",Veri_Guncel!C285)</f>
        <v/>
      </c>
      <c r="D285" s="18" t="str">
        <f aca="false">IF($A285="","",Veri_Guncel!D285)</f>
        <v/>
      </c>
      <c r="E285" s="19" t="str">
        <f aca="false">IF($A285="","",Veri_Guncel!E285)</f>
        <v/>
      </c>
      <c r="F285" s="19" t="str">
        <f aca="false">IF($A285="","",Veri_Guncel!F285)</f>
        <v/>
      </c>
      <c r="G285" s="14" t="str">
        <f aca="false">IF(A285="","",IF(COUNTIF(Ayarlar!$A$15:$A$20,C285)&gt;0,1,0))</f>
        <v/>
      </c>
      <c r="H285" s="14" t="str">
        <f aca="false">IF(A285="","",DATEDIF(E285,Ayarlar!$B$3,"y"))</f>
        <v/>
      </c>
      <c r="I285" s="14" t="str">
        <f aca="false">IF(OR(A285="",F285=""),"",DATEDIF(F285,Ayarlar!$B$3,"y"))</f>
        <v/>
      </c>
      <c r="J285" s="14" t="str">
        <f aca="false">IF(A285="","",IF(H285&lt;1,0,MAX(IF(H285&lt;5,14,IF(H285&lt;15,20,26)),IF(AND(I285&lt;&gt;"",OR(I285&lt;=18,I285&gt;=50)),20,0))))</f>
        <v/>
      </c>
      <c r="K285" s="17" t="str">
        <f aca="false">IF(A285="","",EDATE(E285,12*(H285+1)))</f>
        <v/>
      </c>
      <c r="L285" s="14" t="str">
        <f aca="false">IF(A285="","",K285-Ayarlar!$B$3)</f>
        <v/>
      </c>
      <c r="M285" s="18" t="str">
        <f aca="false">IF(A285="","",Veri_Guncel!H285)</f>
        <v/>
      </c>
      <c r="N285" s="18" t="str">
        <f aca="false">IF(A285="","",IFERROR(INDEX(Veri_Onceki!$H:$H,MATCH(A285,Veri_Onceki!$A:$A,0)),""))</f>
        <v/>
      </c>
      <c r="O285" s="14" t="str">
        <f aca="false">IF(A285="","",IF(AND(H285&gt;=1,EDATE(E285,12*H285)&gt;Ayarlar!$B$4,EDATE(E285,12*H285)&lt;=Ayarlar!$B$3),J285,0))</f>
        <v/>
      </c>
      <c r="P285" s="14" t="str">
        <f aca="false">IF(OR(A285="",N285=""),"",N285+O285-M285)</f>
        <v/>
      </c>
      <c r="Q285" s="16" t="str">
        <f aca="false">IF(A285="","",IF(M285&gt;=Ayarlar!$B$7,"ALARM",IF(M285&gt;=Ayarlar!$B$6,"Planla","")))</f>
        <v/>
      </c>
      <c r="R285" s="14" t="str">
        <f aca="false">IF(A285="","",IF(AND(L285&gt;=0,L285&lt;=Ayarlar!$B$9),"Evet",""))</f>
        <v/>
      </c>
      <c r="S285" s="16" t="str">
        <f aca="false">IF(A285="","",IF(N285="","Yeni personel",IF(P285&lt;0,"Kontrol et","")))</f>
        <v/>
      </c>
      <c r="T285" s="14" t="str">
        <f aca="false">IF(A285="","",IF(AND(G285=1,M285&gt;=Ayarlar!$B$6,OR(Ayarlar!$B$11="Tümü",C285=Ayarlar!$B$11)),M285+ROW()/100000,""))</f>
        <v/>
      </c>
    </row>
    <row r="286" customFormat="false" ht="15" hidden="false" customHeight="false" outlineLevel="0" collapsed="false">
      <c r="A286" s="18" t="str">
        <f aca="false">IF(Veri_Guncel!A286="","",Veri_Guncel!A286)</f>
        <v/>
      </c>
      <c r="B286" s="18" t="str">
        <f aca="false">IF($A286="","",Veri_Guncel!B286)</f>
        <v/>
      </c>
      <c r="C286" s="18" t="str">
        <f aca="false">IF($A286="","",Veri_Guncel!C286)</f>
        <v/>
      </c>
      <c r="D286" s="18" t="str">
        <f aca="false">IF($A286="","",Veri_Guncel!D286)</f>
        <v/>
      </c>
      <c r="E286" s="19" t="str">
        <f aca="false">IF($A286="","",Veri_Guncel!E286)</f>
        <v/>
      </c>
      <c r="F286" s="19" t="str">
        <f aca="false">IF($A286="","",Veri_Guncel!F286)</f>
        <v/>
      </c>
      <c r="G286" s="14" t="str">
        <f aca="false">IF(A286="","",IF(COUNTIF(Ayarlar!$A$15:$A$20,C286)&gt;0,1,0))</f>
        <v/>
      </c>
      <c r="H286" s="14" t="str">
        <f aca="false">IF(A286="","",DATEDIF(E286,Ayarlar!$B$3,"y"))</f>
        <v/>
      </c>
      <c r="I286" s="14" t="str">
        <f aca="false">IF(OR(A286="",F286=""),"",DATEDIF(F286,Ayarlar!$B$3,"y"))</f>
        <v/>
      </c>
      <c r="J286" s="14" t="str">
        <f aca="false">IF(A286="","",IF(H286&lt;1,0,MAX(IF(H286&lt;5,14,IF(H286&lt;15,20,26)),IF(AND(I286&lt;&gt;"",OR(I286&lt;=18,I286&gt;=50)),20,0))))</f>
        <v/>
      </c>
      <c r="K286" s="17" t="str">
        <f aca="false">IF(A286="","",EDATE(E286,12*(H286+1)))</f>
        <v/>
      </c>
      <c r="L286" s="14" t="str">
        <f aca="false">IF(A286="","",K286-Ayarlar!$B$3)</f>
        <v/>
      </c>
      <c r="M286" s="18" t="str">
        <f aca="false">IF(A286="","",Veri_Guncel!H286)</f>
        <v/>
      </c>
      <c r="N286" s="18" t="str">
        <f aca="false">IF(A286="","",IFERROR(INDEX(Veri_Onceki!$H:$H,MATCH(A286,Veri_Onceki!$A:$A,0)),""))</f>
        <v/>
      </c>
      <c r="O286" s="14" t="str">
        <f aca="false">IF(A286="","",IF(AND(H286&gt;=1,EDATE(E286,12*H286)&gt;Ayarlar!$B$4,EDATE(E286,12*H286)&lt;=Ayarlar!$B$3),J286,0))</f>
        <v/>
      </c>
      <c r="P286" s="14" t="str">
        <f aca="false">IF(OR(A286="",N286=""),"",N286+O286-M286)</f>
        <v/>
      </c>
      <c r="Q286" s="16" t="str">
        <f aca="false">IF(A286="","",IF(M286&gt;=Ayarlar!$B$7,"ALARM",IF(M286&gt;=Ayarlar!$B$6,"Planla","")))</f>
        <v/>
      </c>
      <c r="R286" s="14" t="str">
        <f aca="false">IF(A286="","",IF(AND(L286&gt;=0,L286&lt;=Ayarlar!$B$9),"Evet",""))</f>
        <v/>
      </c>
      <c r="S286" s="16" t="str">
        <f aca="false">IF(A286="","",IF(N286="","Yeni personel",IF(P286&lt;0,"Kontrol et","")))</f>
        <v/>
      </c>
      <c r="T286" s="14" t="str">
        <f aca="false">IF(A286="","",IF(AND(G286=1,M286&gt;=Ayarlar!$B$6,OR(Ayarlar!$B$11="Tümü",C286=Ayarlar!$B$11)),M286+ROW()/100000,""))</f>
        <v/>
      </c>
    </row>
    <row r="287" customFormat="false" ht="15" hidden="false" customHeight="false" outlineLevel="0" collapsed="false">
      <c r="A287" s="18" t="str">
        <f aca="false">IF(Veri_Guncel!A287="","",Veri_Guncel!A287)</f>
        <v/>
      </c>
      <c r="B287" s="18" t="str">
        <f aca="false">IF($A287="","",Veri_Guncel!B287)</f>
        <v/>
      </c>
      <c r="C287" s="18" t="str">
        <f aca="false">IF($A287="","",Veri_Guncel!C287)</f>
        <v/>
      </c>
      <c r="D287" s="18" t="str">
        <f aca="false">IF($A287="","",Veri_Guncel!D287)</f>
        <v/>
      </c>
      <c r="E287" s="19" t="str">
        <f aca="false">IF($A287="","",Veri_Guncel!E287)</f>
        <v/>
      </c>
      <c r="F287" s="19" t="str">
        <f aca="false">IF($A287="","",Veri_Guncel!F287)</f>
        <v/>
      </c>
      <c r="G287" s="14" t="str">
        <f aca="false">IF(A287="","",IF(COUNTIF(Ayarlar!$A$15:$A$20,C287)&gt;0,1,0))</f>
        <v/>
      </c>
      <c r="H287" s="14" t="str">
        <f aca="false">IF(A287="","",DATEDIF(E287,Ayarlar!$B$3,"y"))</f>
        <v/>
      </c>
      <c r="I287" s="14" t="str">
        <f aca="false">IF(OR(A287="",F287=""),"",DATEDIF(F287,Ayarlar!$B$3,"y"))</f>
        <v/>
      </c>
      <c r="J287" s="14" t="str">
        <f aca="false">IF(A287="","",IF(H287&lt;1,0,MAX(IF(H287&lt;5,14,IF(H287&lt;15,20,26)),IF(AND(I287&lt;&gt;"",OR(I287&lt;=18,I287&gt;=50)),20,0))))</f>
        <v/>
      </c>
      <c r="K287" s="17" t="str">
        <f aca="false">IF(A287="","",EDATE(E287,12*(H287+1)))</f>
        <v/>
      </c>
      <c r="L287" s="14" t="str">
        <f aca="false">IF(A287="","",K287-Ayarlar!$B$3)</f>
        <v/>
      </c>
      <c r="M287" s="18" t="str">
        <f aca="false">IF(A287="","",Veri_Guncel!H287)</f>
        <v/>
      </c>
      <c r="N287" s="18" t="str">
        <f aca="false">IF(A287="","",IFERROR(INDEX(Veri_Onceki!$H:$H,MATCH(A287,Veri_Onceki!$A:$A,0)),""))</f>
        <v/>
      </c>
      <c r="O287" s="14" t="str">
        <f aca="false">IF(A287="","",IF(AND(H287&gt;=1,EDATE(E287,12*H287)&gt;Ayarlar!$B$4,EDATE(E287,12*H287)&lt;=Ayarlar!$B$3),J287,0))</f>
        <v/>
      </c>
      <c r="P287" s="14" t="str">
        <f aca="false">IF(OR(A287="",N287=""),"",N287+O287-M287)</f>
        <v/>
      </c>
      <c r="Q287" s="16" t="str">
        <f aca="false">IF(A287="","",IF(M287&gt;=Ayarlar!$B$7,"ALARM",IF(M287&gt;=Ayarlar!$B$6,"Planla","")))</f>
        <v/>
      </c>
      <c r="R287" s="14" t="str">
        <f aca="false">IF(A287="","",IF(AND(L287&gt;=0,L287&lt;=Ayarlar!$B$9),"Evet",""))</f>
        <v/>
      </c>
      <c r="S287" s="16" t="str">
        <f aca="false">IF(A287="","",IF(N287="","Yeni personel",IF(P287&lt;0,"Kontrol et","")))</f>
        <v/>
      </c>
      <c r="T287" s="14" t="str">
        <f aca="false">IF(A287="","",IF(AND(G287=1,M287&gt;=Ayarlar!$B$6,OR(Ayarlar!$B$11="Tümü",C287=Ayarlar!$B$11)),M287+ROW()/100000,""))</f>
        <v/>
      </c>
    </row>
    <row r="288" customFormat="false" ht="15" hidden="false" customHeight="false" outlineLevel="0" collapsed="false">
      <c r="A288" s="18" t="str">
        <f aca="false">IF(Veri_Guncel!A288="","",Veri_Guncel!A288)</f>
        <v/>
      </c>
      <c r="B288" s="18" t="str">
        <f aca="false">IF($A288="","",Veri_Guncel!B288)</f>
        <v/>
      </c>
      <c r="C288" s="18" t="str">
        <f aca="false">IF($A288="","",Veri_Guncel!C288)</f>
        <v/>
      </c>
      <c r="D288" s="18" t="str">
        <f aca="false">IF($A288="","",Veri_Guncel!D288)</f>
        <v/>
      </c>
      <c r="E288" s="19" t="str">
        <f aca="false">IF($A288="","",Veri_Guncel!E288)</f>
        <v/>
      </c>
      <c r="F288" s="19" t="str">
        <f aca="false">IF($A288="","",Veri_Guncel!F288)</f>
        <v/>
      </c>
      <c r="G288" s="14" t="str">
        <f aca="false">IF(A288="","",IF(COUNTIF(Ayarlar!$A$15:$A$20,C288)&gt;0,1,0))</f>
        <v/>
      </c>
      <c r="H288" s="14" t="str">
        <f aca="false">IF(A288="","",DATEDIF(E288,Ayarlar!$B$3,"y"))</f>
        <v/>
      </c>
      <c r="I288" s="14" t="str">
        <f aca="false">IF(OR(A288="",F288=""),"",DATEDIF(F288,Ayarlar!$B$3,"y"))</f>
        <v/>
      </c>
      <c r="J288" s="14" t="str">
        <f aca="false">IF(A288="","",IF(H288&lt;1,0,MAX(IF(H288&lt;5,14,IF(H288&lt;15,20,26)),IF(AND(I288&lt;&gt;"",OR(I288&lt;=18,I288&gt;=50)),20,0))))</f>
        <v/>
      </c>
      <c r="K288" s="17" t="str">
        <f aca="false">IF(A288="","",EDATE(E288,12*(H288+1)))</f>
        <v/>
      </c>
      <c r="L288" s="14" t="str">
        <f aca="false">IF(A288="","",K288-Ayarlar!$B$3)</f>
        <v/>
      </c>
      <c r="M288" s="18" t="str">
        <f aca="false">IF(A288="","",Veri_Guncel!H288)</f>
        <v/>
      </c>
      <c r="N288" s="18" t="str">
        <f aca="false">IF(A288="","",IFERROR(INDEX(Veri_Onceki!$H:$H,MATCH(A288,Veri_Onceki!$A:$A,0)),""))</f>
        <v/>
      </c>
      <c r="O288" s="14" t="str">
        <f aca="false">IF(A288="","",IF(AND(H288&gt;=1,EDATE(E288,12*H288)&gt;Ayarlar!$B$4,EDATE(E288,12*H288)&lt;=Ayarlar!$B$3),J288,0))</f>
        <v/>
      </c>
      <c r="P288" s="14" t="str">
        <f aca="false">IF(OR(A288="",N288=""),"",N288+O288-M288)</f>
        <v/>
      </c>
      <c r="Q288" s="16" t="str">
        <f aca="false">IF(A288="","",IF(M288&gt;=Ayarlar!$B$7,"ALARM",IF(M288&gt;=Ayarlar!$B$6,"Planla","")))</f>
        <v/>
      </c>
      <c r="R288" s="14" t="str">
        <f aca="false">IF(A288="","",IF(AND(L288&gt;=0,L288&lt;=Ayarlar!$B$9),"Evet",""))</f>
        <v/>
      </c>
      <c r="S288" s="16" t="str">
        <f aca="false">IF(A288="","",IF(N288="","Yeni personel",IF(P288&lt;0,"Kontrol et","")))</f>
        <v/>
      </c>
      <c r="T288" s="14" t="str">
        <f aca="false">IF(A288="","",IF(AND(G288=1,M288&gt;=Ayarlar!$B$6,OR(Ayarlar!$B$11="Tümü",C288=Ayarlar!$B$11)),M288+ROW()/100000,""))</f>
        <v/>
      </c>
    </row>
    <row r="289" customFormat="false" ht="15" hidden="false" customHeight="false" outlineLevel="0" collapsed="false">
      <c r="A289" s="18" t="str">
        <f aca="false">IF(Veri_Guncel!A289="","",Veri_Guncel!A289)</f>
        <v/>
      </c>
      <c r="B289" s="18" t="str">
        <f aca="false">IF($A289="","",Veri_Guncel!B289)</f>
        <v/>
      </c>
      <c r="C289" s="18" t="str">
        <f aca="false">IF($A289="","",Veri_Guncel!C289)</f>
        <v/>
      </c>
      <c r="D289" s="18" t="str">
        <f aca="false">IF($A289="","",Veri_Guncel!D289)</f>
        <v/>
      </c>
      <c r="E289" s="19" t="str">
        <f aca="false">IF($A289="","",Veri_Guncel!E289)</f>
        <v/>
      </c>
      <c r="F289" s="19" t="str">
        <f aca="false">IF($A289="","",Veri_Guncel!F289)</f>
        <v/>
      </c>
      <c r="G289" s="14" t="str">
        <f aca="false">IF(A289="","",IF(COUNTIF(Ayarlar!$A$15:$A$20,C289)&gt;0,1,0))</f>
        <v/>
      </c>
      <c r="H289" s="14" t="str">
        <f aca="false">IF(A289="","",DATEDIF(E289,Ayarlar!$B$3,"y"))</f>
        <v/>
      </c>
      <c r="I289" s="14" t="str">
        <f aca="false">IF(OR(A289="",F289=""),"",DATEDIF(F289,Ayarlar!$B$3,"y"))</f>
        <v/>
      </c>
      <c r="J289" s="14" t="str">
        <f aca="false">IF(A289="","",IF(H289&lt;1,0,MAX(IF(H289&lt;5,14,IF(H289&lt;15,20,26)),IF(AND(I289&lt;&gt;"",OR(I289&lt;=18,I289&gt;=50)),20,0))))</f>
        <v/>
      </c>
      <c r="K289" s="17" t="str">
        <f aca="false">IF(A289="","",EDATE(E289,12*(H289+1)))</f>
        <v/>
      </c>
      <c r="L289" s="14" t="str">
        <f aca="false">IF(A289="","",K289-Ayarlar!$B$3)</f>
        <v/>
      </c>
      <c r="M289" s="18" t="str">
        <f aca="false">IF(A289="","",Veri_Guncel!H289)</f>
        <v/>
      </c>
      <c r="N289" s="18" t="str">
        <f aca="false">IF(A289="","",IFERROR(INDEX(Veri_Onceki!$H:$H,MATCH(A289,Veri_Onceki!$A:$A,0)),""))</f>
        <v/>
      </c>
      <c r="O289" s="14" t="str">
        <f aca="false">IF(A289="","",IF(AND(H289&gt;=1,EDATE(E289,12*H289)&gt;Ayarlar!$B$4,EDATE(E289,12*H289)&lt;=Ayarlar!$B$3),J289,0))</f>
        <v/>
      </c>
      <c r="P289" s="14" t="str">
        <f aca="false">IF(OR(A289="",N289=""),"",N289+O289-M289)</f>
        <v/>
      </c>
      <c r="Q289" s="16" t="str">
        <f aca="false">IF(A289="","",IF(M289&gt;=Ayarlar!$B$7,"ALARM",IF(M289&gt;=Ayarlar!$B$6,"Planla","")))</f>
        <v/>
      </c>
      <c r="R289" s="14" t="str">
        <f aca="false">IF(A289="","",IF(AND(L289&gt;=0,L289&lt;=Ayarlar!$B$9),"Evet",""))</f>
        <v/>
      </c>
      <c r="S289" s="16" t="str">
        <f aca="false">IF(A289="","",IF(N289="","Yeni personel",IF(P289&lt;0,"Kontrol et","")))</f>
        <v/>
      </c>
      <c r="T289" s="14" t="str">
        <f aca="false">IF(A289="","",IF(AND(G289=1,M289&gt;=Ayarlar!$B$6,OR(Ayarlar!$B$11="Tümü",C289=Ayarlar!$B$11)),M289+ROW()/100000,""))</f>
        <v/>
      </c>
    </row>
    <row r="290" customFormat="false" ht="15" hidden="false" customHeight="false" outlineLevel="0" collapsed="false">
      <c r="A290" s="18" t="str">
        <f aca="false">IF(Veri_Guncel!A290="","",Veri_Guncel!A290)</f>
        <v/>
      </c>
      <c r="B290" s="18" t="str">
        <f aca="false">IF($A290="","",Veri_Guncel!B290)</f>
        <v/>
      </c>
      <c r="C290" s="18" t="str">
        <f aca="false">IF($A290="","",Veri_Guncel!C290)</f>
        <v/>
      </c>
      <c r="D290" s="18" t="str">
        <f aca="false">IF($A290="","",Veri_Guncel!D290)</f>
        <v/>
      </c>
      <c r="E290" s="19" t="str">
        <f aca="false">IF($A290="","",Veri_Guncel!E290)</f>
        <v/>
      </c>
      <c r="F290" s="19" t="str">
        <f aca="false">IF($A290="","",Veri_Guncel!F290)</f>
        <v/>
      </c>
      <c r="G290" s="14" t="str">
        <f aca="false">IF(A290="","",IF(COUNTIF(Ayarlar!$A$15:$A$20,C290)&gt;0,1,0))</f>
        <v/>
      </c>
      <c r="H290" s="14" t="str">
        <f aca="false">IF(A290="","",DATEDIF(E290,Ayarlar!$B$3,"y"))</f>
        <v/>
      </c>
      <c r="I290" s="14" t="str">
        <f aca="false">IF(OR(A290="",F290=""),"",DATEDIF(F290,Ayarlar!$B$3,"y"))</f>
        <v/>
      </c>
      <c r="J290" s="14" t="str">
        <f aca="false">IF(A290="","",IF(H290&lt;1,0,MAX(IF(H290&lt;5,14,IF(H290&lt;15,20,26)),IF(AND(I290&lt;&gt;"",OR(I290&lt;=18,I290&gt;=50)),20,0))))</f>
        <v/>
      </c>
      <c r="K290" s="17" t="str">
        <f aca="false">IF(A290="","",EDATE(E290,12*(H290+1)))</f>
        <v/>
      </c>
      <c r="L290" s="14" t="str">
        <f aca="false">IF(A290="","",K290-Ayarlar!$B$3)</f>
        <v/>
      </c>
      <c r="M290" s="18" t="str">
        <f aca="false">IF(A290="","",Veri_Guncel!H290)</f>
        <v/>
      </c>
      <c r="N290" s="18" t="str">
        <f aca="false">IF(A290="","",IFERROR(INDEX(Veri_Onceki!$H:$H,MATCH(A290,Veri_Onceki!$A:$A,0)),""))</f>
        <v/>
      </c>
      <c r="O290" s="14" t="str">
        <f aca="false">IF(A290="","",IF(AND(H290&gt;=1,EDATE(E290,12*H290)&gt;Ayarlar!$B$4,EDATE(E290,12*H290)&lt;=Ayarlar!$B$3),J290,0))</f>
        <v/>
      </c>
      <c r="P290" s="14" t="str">
        <f aca="false">IF(OR(A290="",N290=""),"",N290+O290-M290)</f>
        <v/>
      </c>
      <c r="Q290" s="16" t="str">
        <f aca="false">IF(A290="","",IF(M290&gt;=Ayarlar!$B$7,"ALARM",IF(M290&gt;=Ayarlar!$B$6,"Planla","")))</f>
        <v/>
      </c>
      <c r="R290" s="14" t="str">
        <f aca="false">IF(A290="","",IF(AND(L290&gt;=0,L290&lt;=Ayarlar!$B$9),"Evet",""))</f>
        <v/>
      </c>
      <c r="S290" s="16" t="str">
        <f aca="false">IF(A290="","",IF(N290="","Yeni personel",IF(P290&lt;0,"Kontrol et","")))</f>
        <v/>
      </c>
      <c r="T290" s="14" t="str">
        <f aca="false">IF(A290="","",IF(AND(G290=1,M290&gt;=Ayarlar!$B$6,OR(Ayarlar!$B$11="Tümü",C290=Ayarlar!$B$11)),M290+ROW()/100000,""))</f>
        <v/>
      </c>
    </row>
    <row r="291" customFormat="false" ht="15" hidden="false" customHeight="false" outlineLevel="0" collapsed="false">
      <c r="A291" s="18" t="str">
        <f aca="false">IF(Veri_Guncel!A291="","",Veri_Guncel!A291)</f>
        <v/>
      </c>
      <c r="B291" s="18" t="str">
        <f aca="false">IF($A291="","",Veri_Guncel!B291)</f>
        <v/>
      </c>
      <c r="C291" s="18" t="str">
        <f aca="false">IF($A291="","",Veri_Guncel!C291)</f>
        <v/>
      </c>
      <c r="D291" s="18" t="str">
        <f aca="false">IF($A291="","",Veri_Guncel!D291)</f>
        <v/>
      </c>
      <c r="E291" s="19" t="str">
        <f aca="false">IF($A291="","",Veri_Guncel!E291)</f>
        <v/>
      </c>
      <c r="F291" s="19" t="str">
        <f aca="false">IF($A291="","",Veri_Guncel!F291)</f>
        <v/>
      </c>
      <c r="G291" s="14" t="str">
        <f aca="false">IF(A291="","",IF(COUNTIF(Ayarlar!$A$15:$A$20,C291)&gt;0,1,0))</f>
        <v/>
      </c>
      <c r="H291" s="14" t="str">
        <f aca="false">IF(A291="","",DATEDIF(E291,Ayarlar!$B$3,"y"))</f>
        <v/>
      </c>
      <c r="I291" s="14" t="str">
        <f aca="false">IF(OR(A291="",F291=""),"",DATEDIF(F291,Ayarlar!$B$3,"y"))</f>
        <v/>
      </c>
      <c r="J291" s="14" t="str">
        <f aca="false">IF(A291="","",IF(H291&lt;1,0,MAX(IF(H291&lt;5,14,IF(H291&lt;15,20,26)),IF(AND(I291&lt;&gt;"",OR(I291&lt;=18,I291&gt;=50)),20,0))))</f>
        <v/>
      </c>
      <c r="K291" s="17" t="str">
        <f aca="false">IF(A291="","",EDATE(E291,12*(H291+1)))</f>
        <v/>
      </c>
      <c r="L291" s="14" t="str">
        <f aca="false">IF(A291="","",K291-Ayarlar!$B$3)</f>
        <v/>
      </c>
      <c r="M291" s="18" t="str">
        <f aca="false">IF(A291="","",Veri_Guncel!H291)</f>
        <v/>
      </c>
      <c r="N291" s="18" t="str">
        <f aca="false">IF(A291="","",IFERROR(INDEX(Veri_Onceki!$H:$H,MATCH(A291,Veri_Onceki!$A:$A,0)),""))</f>
        <v/>
      </c>
      <c r="O291" s="14" t="str">
        <f aca="false">IF(A291="","",IF(AND(H291&gt;=1,EDATE(E291,12*H291)&gt;Ayarlar!$B$4,EDATE(E291,12*H291)&lt;=Ayarlar!$B$3),J291,0))</f>
        <v/>
      </c>
      <c r="P291" s="14" t="str">
        <f aca="false">IF(OR(A291="",N291=""),"",N291+O291-M291)</f>
        <v/>
      </c>
      <c r="Q291" s="16" t="str">
        <f aca="false">IF(A291="","",IF(M291&gt;=Ayarlar!$B$7,"ALARM",IF(M291&gt;=Ayarlar!$B$6,"Planla","")))</f>
        <v/>
      </c>
      <c r="R291" s="14" t="str">
        <f aca="false">IF(A291="","",IF(AND(L291&gt;=0,L291&lt;=Ayarlar!$B$9),"Evet",""))</f>
        <v/>
      </c>
      <c r="S291" s="16" t="str">
        <f aca="false">IF(A291="","",IF(N291="","Yeni personel",IF(P291&lt;0,"Kontrol et","")))</f>
        <v/>
      </c>
      <c r="T291" s="14" t="str">
        <f aca="false">IF(A291="","",IF(AND(G291=1,M291&gt;=Ayarlar!$B$6,OR(Ayarlar!$B$11="Tümü",C291=Ayarlar!$B$11)),M291+ROW()/100000,""))</f>
        <v/>
      </c>
    </row>
    <row r="292" customFormat="false" ht="15" hidden="false" customHeight="false" outlineLevel="0" collapsed="false">
      <c r="A292" s="18" t="str">
        <f aca="false">IF(Veri_Guncel!A292="","",Veri_Guncel!A292)</f>
        <v/>
      </c>
      <c r="B292" s="18" t="str">
        <f aca="false">IF($A292="","",Veri_Guncel!B292)</f>
        <v/>
      </c>
      <c r="C292" s="18" t="str">
        <f aca="false">IF($A292="","",Veri_Guncel!C292)</f>
        <v/>
      </c>
      <c r="D292" s="18" t="str">
        <f aca="false">IF($A292="","",Veri_Guncel!D292)</f>
        <v/>
      </c>
      <c r="E292" s="19" t="str">
        <f aca="false">IF($A292="","",Veri_Guncel!E292)</f>
        <v/>
      </c>
      <c r="F292" s="19" t="str">
        <f aca="false">IF($A292="","",Veri_Guncel!F292)</f>
        <v/>
      </c>
      <c r="G292" s="14" t="str">
        <f aca="false">IF(A292="","",IF(COUNTIF(Ayarlar!$A$15:$A$20,C292)&gt;0,1,0))</f>
        <v/>
      </c>
      <c r="H292" s="14" t="str">
        <f aca="false">IF(A292="","",DATEDIF(E292,Ayarlar!$B$3,"y"))</f>
        <v/>
      </c>
      <c r="I292" s="14" t="str">
        <f aca="false">IF(OR(A292="",F292=""),"",DATEDIF(F292,Ayarlar!$B$3,"y"))</f>
        <v/>
      </c>
      <c r="J292" s="14" t="str">
        <f aca="false">IF(A292="","",IF(H292&lt;1,0,MAX(IF(H292&lt;5,14,IF(H292&lt;15,20,26)),IF(AND(I292&lt;&gt;"",OR(I292&lt;=18,I292&gt;=50)),20,0))))</f>
        <v/>
      </c>
      <c r="K292" s="17" t="str">
        <f aca="false">IF(A292="","",EDATE(E292,12*(H292+1)))</f>
        <v/>
      </c>
      <c r="L292" s="14" t="str">
        <f aca="false">IF(A292="","",K292-Ayarlar!$B$3)</f>
        <v/>
      </c>
      <c r="M292" s="18" t="str">
        <f aca="false">IF(A292="","",Veri_Guncel!H292)</f>
        <v/>
      </c>
      <c r="N292" s="18" t="str">
        <f aca="false">IF(A292="","",IFERROR(INDEX(Veri_Onceki!$H:$H,MATCH(A292,Veri_Onceki!$A:$A,0)),""))</f>
        <v/>
      </c>
      <c r="O292" s="14" t="str">
        <f aca="false">IF(A292="","",IF(AND(H292&gt;=1,EDATE(E292,12*H292)&gt;Ayarlar!$B$4,EDATE(E292,12*H292)&lt;=Ayarlar!$B$3),J292,0))</f>
        <v/>
      </c>
      <c r="P292" s="14" t="str">
        <f aca="false">IF(OR(A292="",N292=""),"",N292+O292-M292)</f>
        <v/>
      </c>
      <c r="Q292" s="16" t="str">
        <f aca="false">IF(A292="","",IF(M292&gt;=Ayarlar!$B$7,"ALARM",IF(M292&gt;=Ayarlar!$B$6,"Planla","")))</f>
        <v/>
      </c>
      <c r="R292" s="14" t="str">
        <f aca="false">IF(A292="","",IF(AND(L292&gt;=0,L292&lt;=Ayarlar!$B$9),"Evet",""))</f>
        <v/>
      </c>
      <c r="S292" s="16" t="str">
        <f aca="false">IF(A292="","",IF(N292="","Yeni personel",IF(P292&lt;0,"Kontrol et","")))</f>
        <v/>
      </c>
      <c r="T292" s="14" t="str">
        <f aca="false">IF(A292="","",IF(AND(G292=1,M292&gt;=Ayarlar!$B$6,OR(Ayarlar!$B$11="Tümü",C292=Ayarlar!$B$11)),M292+ROW()/100000,""))</f>
        <v/>
      </c>
    </row>
    <row r="293" customFormat="false" ht="15" hidden="false" customHeight="false" outlineLevel="0" collapsed="false">
      <c r="A293" s="18" t="str">
        <f aca="false">IF(Veri_Guncel!A293="","",Veri_Guncel!A293)</f>
        <v/>
      </c>
      <c r="B293" s="18" t="str">
        <f aca="false">IF($A293="","",Veri_Guncel!B293)</f>
        <v/>
      </c>
      <c r="C293" s="18" t="str">
        <f aca="false">IF($A293="","",Veri_Guncel!C293)</f>
        <v/>
      </c>
      <c r="D293" s="18" t="str">
        <f aca="false">IF($A293="","",Veri_Guncel!D293)</f>
        <v/>
      </c>
      <c r="E293" s="19" t="str">
        <f aca="false">IF($A293="","",Veri_Guncel!E293)</f>
        <v/>
      </c>
      <c r="F293" s="19" t="str">
        <f aca="false">IF($A293="","",Veri_Guncel!F293)</f>
        <v/>
      </c>
      <c r="G293" s="14" t="str">
        <f aca="false">IF(A293="","",IF(COUNTIF(Ayarlar!$A$15:$A$20,C293)&gt;0,1,0))</f>
        <v/>
      </c>
      <c r="H293" s="14" t="str">
        <f aca="false">IF(A293="","",DATEDIF(E293,Ayarlar!$B$3,"y"))</f>
        <v/>
      </c>
      <c r="I293" s="14" t="str">
        <f aca="false">IF(OR(A293="",F293=""),"",DATEDIF(F293,Ayarlar!$B$3,"y"))</f>
        <v/>
      </c>
      <c r="J293" s="14" t="str">
        <f aca="false">IF(A293="","",IF(H293&lt;1,0,MAX(IF(H293&lt;5,14,IF(H293&lt;15,20,26)),IF(AND(I293&lt;&gt;"",OR(I293&lt;=18,I293&gt;=50)),20,0))))</f>
        <v/>
      </c>
      <c r="K293" s="17" t="str">
        <f aca="false">IF(A293="","",EDATE(E293,12*(H293+1)))</f>
        <v/>
      </c>
      <c r="L293" s="14" t="str">
        <f aca="false">IF(A293="","",K293-Ayarlar!$B$3)</f>
        <v/>
      </c>
      <c r="M293" s="18" t="str">
        <f aca="false">IF(A293="","",Veri_Guncel!H293)</f>
        <v/>
      </c>
      <c r="N293" s="18" t="str">
        <f aca="false">IF(A293="","",IFERROR(INDEX(Veri_Onceki!$H:$H,MATCH(A293,Veri_Onceki!$A:$A,0)),""))</f>
        <v/>
      </c>
      <c r="O293" s="14" t="str">
        <f aca="false">IF(A293="","",IF(AND(H293&gt;=1,EDATE(E293,12*H293)&gt;Ayarlar!$B$4,EDATE(E293,12*H293)&lt;=Ayarlar!$B$3),J293,0))</f>
        <v/>
      </c>
      <c r="P293" s="14" t="str">
        <f aca="false">IF(OR(A293="",N293=""),"",N293+O293-M293)</f>
        <v/>
      </c>
      <c r="Q293" s="16" t="str">
        <f aca="false">IF(A293="","",IF(M293&gt;=Ayarlar!$B$7,"ALARM",IF(M293&gt;=Ayarlar!$B$6,"Planla","")))</f>
        <v/>
      </c>
      <c r="R293" s="14" t="str">
        <f aca="false">IF(A293="","",IF(AND(L293&gt;=0,L293&lt;=Ayarlar!$B$9),"Evet",""))</f>
        <v/>
      </c>
      <c r="S293" s="16" t="str">
        <f aca="false">IF(A293="","",IF(N293="","Yeni personel",IF(P293&lt;0,"Kontrol et","")))</f>
        <v/>
      </c>
      <c r="T293" s="14" t="str">
        <f aca="false">IF(A293="","",IF(AND(G293=1,M293&gt;=Ayarlar!$B$6,OR(Ayarlar!$B$11="Tümü",C293=Ayarlar!$B$11)),M293+ROW()/100000,""))</f>
        <v/>
      </c>
    </row>
    <row r="294" customFormat="false" ht="15" hidden="false" customHeight="false" outlineLevel="0" collapsed="false">
      <c r="A294" s="18" t="str">
        <f aca="false">IF(Veri_Guncel!A294="","",Veri_Guncel!A294)</f>
        <v/>
      </c>
      <c r="B294" s="18" t="str">
        <f aca="false">IF($A294="","",Veri_Guncel!B294)</f>
        <v/>
      </c>
      <c r="C294" s="18" t="str">
        <f aca="false">IF($A294="","",Veri_Guncel!C294)</f>
        <v/>
      </c>
      <c r="D294" s="18" t="str">
        <f aca="false">IF($A294="","",Veri_Guncel!D294)</f>
        <v/>
      </c>
      <c r="E294" s="19" t="str">
        <f aca="false">IF($A294="","",Veri_Guncel!E294)</f>
        <v/>
      </c>
      <c r="F294" s="19" t="str">
        <f aca="false">IF($A294="","",Veri_Guncel!F294)</f>
        <v/>
      </c>
      <c r="G294" s="14" t="str">
        <f aca="false">IF(A294="","",IF(COUNTIF(Ayarlar!$A$15:$A$20,C294)&gt;0,1,0))</f>
        <v/>
      </c>
      <c r="H294" s="14" t="str">
        <f aca="false">IF(A294="","",DATEDIF(E294,Ayarlar!$B$3,"y"))</f>
        <v/>
      </c>
      <c r="I294" s="14" t="str">
        <f aca="false">IF(OR(A294="",F294=""),"",DATEDIF(F294,Ayarlar!$B$3,"y"))</f>
        <v/>
      </c>
      <c r="J294" s="14" t="str">
        <f aca="false">IF(A294="","",IF(H294&lt;1,0,MAX(IF(H294&lt;5,14,IF(H294&lt;15,20,26)),IF(AND(I294&lt;&gt;"",OR(I294&lt;=18,I294&gt;=50)),20,0))))</f>
        <v/>
      </c>
      <c r="K294" s="17" t="str">
        <f aca="false">IF(A294="","",EDATE(E294,12*(H294+1)))</f>
        <v/>
      </c>
      <c r="L294" s="14" t="str">
        <f aca="false">IF(A294="","",K294-Ayarlar!$B$3)</f>
        <v/>
      </c>
      <c r="M294" s="18" t="str">
        <f aca="false">IF(A294="","",Veri_Guncel!H294)</f>
        <v/>
      </c>
      <c r="N294" s="18" t="str">
        <f aca="false">IF(A294="","",IFERROR(INDEX(Veri_Onceki!$H:$H,MATCH(A294,Veri_Onceki!$A:$A,0)),""))</f>
        <v/>
      </c>
      <c r="O294" s="14" t="str">
        <f aca="false">IF(A294="","",IF(AND(H294&gt;=1,EDATE(E294,12*H294)&gt;Ayarlar!$B$4,EDATE(E294,12*H294)&lt;=Ayarlar!$B$3),J294,0))</f>
        <v/>
      </c>
      <c r="P294" s="14" t="str">
        <f aca="false">IF(OR(A294="",N294=""),"",N294+O294-M294)</f>
        <v/>
      </c>
      <c r="Q294" s="16" t="str">
        <f aca="false">IF(A294="","",IF(M294&gt;=Ayarlar!$B$7,"ALARM",IF(M294&gt;=Ayarlar!$B$6,"Planla","")))</f>
        <v/>
      </c>
      <c r="R294" s="14" t="str">
        <f aca="false">IF(A294="","",IF(AND(L294&gt;=0,L294&lt;=Ayarlar!$B$9),"Evet",""))</f>
        <v/>
      </c>
      <c r="S294" s="16" t="str">
        <f aca="false">IF(A294="","",IF(N294="","Yeni personel",IF(P294&lt;0,"Kontrol et","")))</f>
        <v/>
      </c>
      <c r="T294" s="14" t="str">
        <f aca="false">IF(A294="","",IF(AND(G294=1,M294&gt;=Ayarlar!$B$6,OR(Ayarlar!$B$11="Tümü",C294=Ayarlar!$B$11)),M294+ROW()/100000,""))</f>
        <v/>
      </c>
    </row>
    <row r="295" customFormat="false" ht="15" hidden="false" customHeight="false" outlineLevel="0" collapsed="false">
      <c r="A295" s="18" t="str">
        <f aca="false">IF(Veri_Guncel!A295="","",Veri_Guncel!A295)</f>
        <v/>
      </c>
      <c r="B295" s="18" t="str">
        <f aca="false">IF($A295="","",Veri_Guncel!B295)</f>
        <v/>
      </c>
      <c r="C295" s="18" t="str">
        <f aca="false">IF($A295="","",Veri_Guncel!C295)</f>
        <v/>
      </c>
      <c r="D295" s="18" t="str">
        <f aca="false">IF($A295="","",Veri_Guncel!D295)</f>
        <v/>
      </c>
      <c r="E295" s="19" t="str">
        <f aca="false">IF($A295="","",Veri_Guncel!E295)</f>
        <v/>
      </c>
      <c r="F295" s="19" t="str">
        <f aca="false">IF($A295="","",Veri_Guncel!F295)</f>
        <v/>
      </c>
      <c r="G295" s="14" t="str">
        <f aca="false">IF(A295="","",IF(COUNTIF(Ayarlar!$A$15:$A$20,C295)&gt;0,1,0))</f>
        <v/>
      </c>
      <c r="H295" s="14" t="str">
        <f aca="false">IF(A295="","",DATEDIF(E295,Ayarlar!$B$3,"y"))</f>
        <v/>
      </c>
      <c r="I295" s="14" t="str">
        <f aca="false">IF(OR(A295="",F295=""),"",DATEDIF(F295,Ayarlar!$B$3,"y"))</f>
        <v/>
      </c>
      <c r="J295" s="14" t="str">
        <f aca="false">IF(A295="","",IF(H295&lt;1,0,MAX(IF(H295&lt;5,14,IF(H295&lt;15,20,26)),IF(AND(I295&lt;&gt;"",OR(I295&lt;=18,I295&gt;=50)),20,0))))</f>
        <v/>
      </c>
      <c r="K295" s="17" t="str">
        <f aca="false">IF(A295="","",EDATE(E295,12*(H295+1)))</f>
        <v/>
      </c>
      <c r="L295" s="14" t="str">
        <f aca="false">IF(A295="","",K295-Ayarlar!$B$3)</f>
        <v/>
      </c>
      <c r="M295" s="18" t="str">
        <f aca="false">IF(A295="","",Veri_Guncel!H295)</f>
        <v/>
      </c>
      <c r="N295" s="18" t="str">
        <f aca="false">IF(A295="","",IFERROR(INDEX(Veri_Onceki!$H:$H,MATCH(A295,Veri_Onceki!$A:$A,0)),""))</f>
        <v/>
      </c>
      <c r="O295" s="14" t="str">
        <f aca="false">IF(A295="","",IF(AND(H295&gt;=1,EDATE(E295,12*H295)&gt;Ayarlar!$B$4,EDATE(E295,12*H295)&lt;=Ayarlar!$B$3),J295,0))</f>
        <v/>
      </c>
      <c r="P295" s="14" t="str">
        <f aca="false">IF(OR(A295="",N295=""),"",N295+O295-M295)</f>
        <v/>
      </c>
      <c r="Q295" s="16" t="str">
        <f aca="false">IF(A295="","",IF(M295&gt;=Ayarlar!$B$7,"ALARM",IF(M295&gt;=Ayarlar!$B$6,"Planla","")))</f>
        <v/>
      </c>
      <c r="R295" s="14" t="str">
        <f aca="false">IF(A295="","",IF(AND(L295&gt;=0,L295&lt;=Ayarlar!$B$9),"Evet",""))</f>
        <v/>
      </c>
      <c r="S295" s="16" t="str">
        <f aca="false">IF(A295="","",IF(N295="","Yeni personel",IF(P295&lt;0,"Kontrol et","")))</f>
        <v/>
      </c>
      <c r="T295" s="14" t="str">
        <f aca="false">IF(A295="","",IF(AND(G295=1,M295&gt;=Ayarlar!$B$6,OR(Ayarlar!$B$11="Tümü",C295=Ayarlar!$B$11)),M295+ROW()/100000,""))</f>
        <v/>
      </c>
    </row>
    <row r="296" customFormat="false" ht="15" hidden="false" customHeight="false" outlineLevel="0" collapsed="false">
      <c r="A296" s="18" t="str">
        <f aca="false">IF(Veri_Guncel!A296="","",Veri_Guncel!A296)</f>
        <v/>
      </c>
      <c r="B296" s="18" t="str">
        <f aca="false">IF($A296="","",Veri_Guncel!B296)</f>
        <v/>
      </c>
      <c r="C296" s="18" t="str">
        <f aca="false">IF($A296="","",Veri_Guncel!C296)</f>
        <v/>
      </c>
      <c r="D296" s="18" t="str">
        <f aca="false">IF($A296="","",Veri_Guncel!D296)</f>
        <v/>
      </c>
      <c r="E296" s="19" t="str">
        <f aca="false">IF($A296="","",Veri_Guncel!E296)</f>
        <v/>
      </c>
      <c r="F296" s="19" t="str">
        <f aca="false">IF($A296="","",Veri_Guncel!F296)</f>
        <v/>
      </c>
      <c r="G296" s="14" t="str">
        <f aca="false">IF(A296="","",IF(COUNTIF(Ayarlar!$A$15:$A$20,C296)&gt;0,1,0))</f>
        <v/>
      </c>
      <c r="H296" s="14" t="str">
        <f aca="false">IF(A296="","",DATEDIF(E296,Ayarlar!$B$3,"y"))</f>
        <v/>
      </c>
      <c r="I296" s="14" t="str">
        <f aca="false">IF(OR(A296="",F296=""),"",DATEDIF(F296,Ayarlar!$B$3,"y"))</f>
        <v/>
      </c>
      <c r="J296" s="14" t="str">
        <f aca="false">IF(A296="","",IF(H296&lt;1,0,MAX(IF(H296&lt;5,14,IF(H296&lt;15,20,26)),IF(AND(I296&lt;&gt;"",OR(I296&lt;=18,I296&gt;=50)),20,0))))</f>
        <v/>
      </c>
      <c r="K296" s="17" t="str">
        <f aca="false">IF(A296="","",EDATE(E296,12*(H296+1)))</f>
        <v/>
      </c>
      <c r="L296" s="14" t="str">
        <f aca="false">IF(A296="","",K296-Ayarlar!$B$3)</f>
        <v/>
      </c>
      <c r="M296" s="18" t="str">
        <f aca="false">IF(A296="","",Veri_Guncel!H296)</f>
        <v/>
      </c>
      <c r="N296" s="18" t="str">
        <f aca="false">IF(A296="","",IFERROR(INDEX(Veri_Onceki!$H:$H,MATCH(A296,Veri_Onceki!$A:$A,0)),""))</f>
        <v/>
      </c>
      <c r="O296" s="14" t="str">
        <f aca="false">IF(A296="","",IF(AND(H296&gt;=1,EDATE(E296,12*H296)&gt;Ayarlar!$B$4,EDATE(E296,12*H296)&lt;=Ayarlar!$B$3),J296,0))</f>
        <v/>
      </c>
      <c r="P296" s="14" t="str">
        <f aca="false">IF(OR(A296="",N296=""),"",N296+O296-M296)</f>
        <v/>
      </c>
      <c r="Q296" s="16" t="str">
        <f aca="false">IF(A296="","",IF(M296&gt;=Ayarlar!$B$7,"ALARM",IF(M296&gt;=Ayarlar!$B$6,"Planla","")))</f>
        <v/>
      </c>
      <c r="R296" s="14" t="str">
        <f aca="false">IF(A296="","",IF(AND(L296&gt;=0,L296&lt;=Ayarlar!$B$9),"Evet",""))</f>
        <v/>
      </c>
      <c r="S296" s="16" t="str">
        <f aca="false">IF(A296="","",IF(N296="","Yeni personel",IF(P296&lt;0,"Kontrol et","")))</f>
        <v/>
      </c>
      <c r="T296" s="14" t="str">
        <f aca="false">IF(A296="","",IF(AND(G296=1,M296&gt;=Ayarlar!$B$6,OR(Ayarlar!$B$11="Tümü",C296=Ayarlar!$B$11)),M296+ROW()/100000,""))</f>
        <v/>
      </c>
    </row>
    <row r="297" customFormat="false" ht="15" hidden="false" customHeight="false" outlineLevel="0" collapsed="false">
      <c r="A297" s="18" t="str">
        <f aca="false">IF(Veri_Guncel!A297="","",Veri_Guncel!A297)</f>
        <v/>
      </c>
      <c r="B297" s="18" t="str">
        <f aca="false">IF($A297="","",Veri_Guncel!B297)</f>
        <v/>
      </c>
      <c r="C297" s="18" t="str">
        <f aca="false">IF($A297="","",Veri_Guncel!C297)</f>
        <v/>
      </c>
      <c r="D297" s="18" t="str">
        <f aca="false">IF($A297="","",Veri_Guncel!D297)</f>
        <v/>
      </c>
      <c r="E297" s="19" t="str">
        <f aca="false">IF($A297="","",Veri_Guncel!E297)</f>
        <v/>
      </c>
      <c r="F297" s="19" t="str">
        <f aca="false">IF($A297="","",Veri_Guncel!F297)</f>
        <v/>
      </c>
      <c r="G297" s="14" t="str">
        <f aca="false">IF(A297="","",IF(COUNTIF(Ayarlar!$A$15:$A$20,C297)&gt;0,1,0))</f>
        <v/>
      </c>
      <c r="H297" s="14" t="str">
        <f aca="false">IF(A297="","",DATEDIF(E297,Ayarlar!$B$3,"y"))</f>
        <v/>
      </c>
      <c r="I297" s="14" t="str">
        <f aca="false">IF(OR(A297="",F297=""),"",DATEDIF(F297,Ayarlar!$B$3,"y"))</f>
        <v/>
      </c>
      <c r="J297" s="14" t="str">
        <f aca="false">IF(A297="","",IF(H297&lt;1,0,MAX(IF(H297&lt;5,14,IF(H297&lt;15,20,26)),IF(AND(I297&lt;&gt;"",OR(I297&lt;=18,I297&gt;=50)),20,0))))</f>
        <v/>
      </c>
      <c r="K297" s="17" t="str">
        <f aca="false">IF(A297="","",EDATE(E297,12*(H297+1)))</f>
        <v/>
      </c>
      <c r="L297" s="14" t="str">
        <f aca="false">IF(A297="","",K297-Ayarlar!$B$3)</f>
        <v/>
      </c>
      <c r="M297" s="18" t="str">
        <f aca="false">IF(A297="","",Veri_Guncel!H297)</f>
        <v/>
      </c>
      <c r="N297" s="18" t="str">
        <f aca="false">IF(A297="","",IFERROR(INDEX(Veri_Onceki!$H:$H,MATCH(A297,Veri_Onceki!$A:$A,0)),""))</f>
        <v/>
      </c>
      <c r="O297" s="14" t="str">
        <f aca="false">IF(A297="","",IF(AND(H297&gt;=1,EDATE(E297,12*H297)&gt;Ayarlar!$B$4,EDATE(E297,12*H297)&lt;=Ayarlar!$B$3),J297,0))</f>
        <v/>
      </c>
      <c r="P297" s="14" t="str">
        <f aca="false">IF(OR(A297="",N297=""),"",N297+O297-M297)</f>
        <v/>
      </c>
      <c r="Q297" s="16" t="str">
        <f aca="false">IF(A297="","",IF(M297&gt;=Ayarlar!$B$7,"ALARM",IF(M297&gt;=Ayarlar!$B$6,"Planla","")))</f>
        <v/>
      </c>
      <c r="R297" s="14" t="str">
        <f aca="false">IF(A297="","",IF(AND(L297&gt;=0,L297&lt;=Ayarlar!$B$9),"Evet",""))</f>
        <v/>
      </c>
      <c r="S297" s="16" t="str">
        <f aca="false">IF(A297="","",IF(N297="","Yeni personel",IF(P297&lt;0,"Kontrol et","")))</f>
        <v/>
      </c>
      <c r="T297" s="14" t="str">
        <f aca="false">IF(A297="","",IF(AND(G297=1,M297&gt;=Ayarlar!$B$6,OR(Ayarlar!$B$11="Tümü",C297=Ayarlar!$B$11)),M297+ROW()/100000,""))</f>
        <v/>
      </c>
    </row>
    <row r="298" customFormat="false" ht="15" hidden="false" customHeight="false" outlineLevel="0" collapsed="false">
      <c r="A298" s="18" t="str">
        <f aca="false">IF(Veri_Guncel!A298="","",Veri_Guncel!A298)</f>
        <v/>
      </c>
      <c r="B298" s="18" t="str">
        <f aca="false">IF($A298="","",Veri_Guncel!B298)</f>
        <v/>
      </c>
      <c r="C298" s="18" t="str">
        <f aca="false">IF($A298="","",Veri_Guncel!C298)</f>
        <v/>
      </c>
      <c r="D298" s="18" t="str">
        <f aca="false">IF($A298="","",Veri_Guncel!D298)</f>
        <v/>
      </c>
      <c r="E298" s="19" t="str">
        <f aca="false">IF($A298="","",Veri_Guncel!E298)</f>
        <v/>
      </c>
      <c r="F298" s="19" t="str">
        <f aca="false">IF($A298="","",Veri_Guncel!F298)</f>
        <v/>
      </c>
      <c r="G298" s="14" t="str">
        <f aca="false">IF(A298="","",IF(COUNTIF(Ayarlar!$A$15:$A$20,C298)&gt;0,1,0))</f>
        <v/>
      </c>
      <c r="H298" s="14" t="str">
        <f aca="false">IF(A298="","",DATEDIF(E298,Ayarlar!$B$3,"y"))</f>
        <v/>
      </c>
      <c r="I298" s="14" t="str">
        <f aca="false">IF(OR(A298="",F298=""),"",DATEDIF(F298,Ayarlar!$B$3,"y"))</f>
        <v/>
      </c>
      <c r="J298" s="14" t="str">
        <f aca="false">IF(A298="","",IF(H298&lt;1,0,MAX(IF(H298&lt;5,14,IF(H298&lt;15,20,26)),IF(AND(I298&lt;&gt;"",OR(I298&lt;=18,I298&gt;=50)),20,0))))</f>
        <v/>
      </c>
      <c r="K298" s="17" t="str">
        <f aca="false">IF(A298="","",EDATE(E298,12*(H298+1)))</f>
        <v/>
      </c>
      <c r="L298" s="14" t="str">
        <f aca="false">IF(A298="","",K298-Ayarlar!$B$3)</f>
        <v/>
      </c>
      <c r="M298" s="18" t="str">
        <f aca="false">IF(A298="","",Veri_Guncel!H298)</f>
        <v/>
      </c>
      <c r="N298" s="18" t="str">
        <f aca="false">IF(A298="","",IFERROR(INDEX(Veri_Onceki!$H:$H,MATCH(A298,Veri_Onceki!$A:$A,0)),""))</f>
        <v/>
      </c>
      <c r="O298" s="14" t="str">
        <f aca="false">IF(A298="","",IF(AND(H298&gt;=1,EDATE(E298,12*H298)&gt;Ayarlar!$B$4,EDATE(E298,12*H298)&lt;=Ayarlar!$B$3),J298,0))</f>
        <v/>
      </c>
      <c r="P298" s="14" t="str">
        <f aca="false">IF(OR(A298="",N298=""),"",N298+O298-M298)</f>
        <v/>
      </c>
      <c r="Q298" s="16" t="str">
        <f aca="false">IF(A298="","",IF(M298&gt;=Ayarlar!$B$7,"ALARM",IF(M298&gt;=Ayarlar!$B$6,"Planla","")))</f>
        <v/>
      </c>
      <c r="R298" s="14" t="str">
        <f aca="false">IF(A298="","",IF(AND(L298&gt;=0,L298&lt;=Ayarlar!$B$9),"Evet",""))</f>
        <v/>
      </c>
      <c r="S298" s="16" t="str">
        <f aca="false">IF(A298="","",IF(N298="","Yeni personel",IF(P298&lt;0,"Kontrol et","")))</f>
        <v/>
      </c>
      <c r="T298" s="14" t="str">
        <f aca="false">IF(A298="","",IF(AND(G298=1,M298&gt;=Ayarlar!$B$6,OR(Ayarlar!$B$11="Tümü",C298=Ayarlar!$B$11)),M298+ROW()/100000,""))</f>
        <v/>
      </c>
    </row>
    <row r="299" customFormat="false" ht="15" hidden="false" customHeight="false" outlineLevel="0" collapsed="false">
      <c r="A299" s="18" t="str">
        <f aca="false">IF(Veri_Guncel!A299="","",Veri_Guncel!A299)</f>
        <v/>
      </c>
      <c r="B299" s="18" t="str">
        <f aca="false">IF($A299="","",Veri_Guncel!B299)</f>
        <v/>
      </c>
      <c r="C299" s="18" t="str">
        <f aca="false">IF($A299="","",Veri_Guncel!C299)</f>
        <v/>
      </c>
      <c r="D299" s="18" t="str">
        <f aca="false">IF($A299="","",Veri_Guncel!D299)</f>
        <v/>
      </c>
      <c r="E299" s="19" t="str">
        <f aca="false">IF($A299="","",Veri_Guncel!E299)</f>
        <v/>
      </c>
      <c r="F299" s="19" t="str">
        <f aca="false">IF($A299="","",Veri_Guncel!F299)</f>
        <v/>
      </c>
      <c r="G299" s="14" t="str">
        <f aca="false">IF(A299="","",IF(COUNTIF(Ayarlar!$A$15:$A$20,C299)&gt;0,1,0))</f>
        <v/>
      </c>
      <c r="H299" s="14" t="str">
        <f aca="false">IF(A299="","",DATEDIF(E299,Ayarlar!$B$3,"y"))</f>
        <v/>
      </c>
      <c r="I299" s="14" t="str">
        <f aca="false">IF(OR(A299="",F299=""),"",DATEDIF(F299,Ayarlar!$B$3,"y"))</f>
        <v/>
      </c>
      <c r="J299" s="14" t="str">
        <f aca="false">IF(A299="","",IF(H299&lt;1,0,MAX(IF(H299&lt;5,14,IF(H299&lt;15,20,26)),IF(AND(I299&lt;&gt;"",OR(I299&lt;=18,I299&gt;=50)),20,0))))</f>
        <v/>
      </c>
      <c r="K299" s="17" t="str">
        <f aca="false">IF(A299="","",EDATE(E299,12*(H299+1)))</f>
        <v/>
      </c>
      <c r="L299" s="14" t="str">
        <f aca="false">IF(A299="","",K299-Ayarlar!$B$3)</f>
        <v/>
      </c>
      <c r="M299" s="18" t="str">
        <f aca="false">IF(A299="","",Veri_Guncel!H299)</f>
        <v/>
      </c>
      <c r="N299" s="18" t="str">
        <f aca="false">IF(A299="","",IFERROR(INDEX(Veri_Onceki!$H:$H,MATCH(A299,Veri_Onceki!$A:$A,0)),""))</f>
        <v/>
      </c>
      <c r="O299" s="14" t="str">
        <f aca="false">IF(A299="","",IF(AND(H299&gt;=1,EDATE(E299,12*H299)&gt;Ayarlar!$B$4,EDATE(E299,12*H299)&lt;=Ayarlar!$B$3),J299,0))</f>
        <v/>
      </c>
      <c r="P299" s="14" t="str">
        <f aca="false">IF(OR(A299="",N299=""),"",N299+O299-M299)</f>
        <v/>
      </c>
      <c r="Q299" s="16" t="str">
        <f aca="false">IF(A299="","",IF(M299&gt;=Ayarlar!$B$7,"ALARM",IF(M299&gt;=Ayarlar!$B$6,"Planla","")))</f>
        <v/>
      </c>
      <c r="R299" s="14" t="str">
        <f aca="false">IF(A299="","",IF(AND(L299&gt;=0,L299&lt;=Ayarlar!$B$9),"Evet",""))</f>
        <v/>
      </c>
      <c r="S299" s="16" t="str">
        <f aca="false">IF(A299="","",IF(N299="","Yeni personel",IF(P299&lt;0,"Kontrol et","")))</f>
        <v/>
      </c>
      <c r="T299" s="14" t="str">
        <f aca="false">IF(A299="","",IF(AND(G299=1,M299&gt;=Ayarlar!$B$6,OR(Ayarlar!$B$11="Tümü",C299=Ayarlar!$B$11)),M299+ROW()/100000,""))</f>
        <v/>
      </c>
    </row>
    <row r="300" customFormat="false" ht="15" hidden="false" customHeight="false" outlineLevel="0" collapsed="false">
      <c r="A300" s="18" t="str">
        <f aca="false">IF(Veri_Guncel!A300="","",Veri_Guncel!A300)</f>
        <v/>
      </c>
      <c r="B300" s="18" t="str">
        <f aca="false">IF($A300="","",Veri_Guncel!B300)</f>
        <v/>
      </c>
      <c r="C300" s="18" t="str">
        <f aca="false">IF($A300="","",Veri_Guncel!C300)</f>
        <v/>
      </c>
      <c r="D300" s="18" t="str">
        <f aca="false">IF($A300="","",Veri_Guncel!D300)</f>
        <v/>
      </c>
      <c r="E300" s="19" t="str">
        <f aca="false">IF($A300="","",Veri_Guncel!E300)</f>
        <v/>
      </c>
      <c r="F300" s="19" t="str">
        <f aca="false">IF($A300="","",Veri_Guncel!F300)</f>
        <v/>
      </c>
      <c r="G300" s="14" t="str">
        <f aca="false">IF(A300="","",IF(COUNTIF(Ayarlar!$A$15:$A$20,C300)&gt;0,1,0))</f>
        <v/>
      </c>
      <c r="H300" s="14" t="str">
        <f aca="false">IF(A300="","",DATEDIF(E300,Ayarlar!$B$3,"y"))</f>
        <v/>
      </c>
      <c r="I300" s="14" t="str">
        <f aca="false">IF(OR(A300="",F300=""),"",DATEDIF(F300,Ayarlar!$B$3,"y"))</f>
        <v/>
      </c>
      <c r="J300" s="14" t="str">
        <f aca="false">IF(A300="","",IF(H300&lt;1,0,MAX(IF(H300&lt;5,14,IF(H300&lt;15,20,26)),IF(AND(I300&lt;&gt;"",OR(I300&lt;=18,I300&gt;=50)),20,0))))</f>
        <v/>
      </c>
      <c r="K300" s="17" t="str">
        <f aca="false">IF(A300="","",EDATE(E300,12*(H300+1)))</f>
        <v/>
      </c>
      <c r="L300" s="14" t="str">
        <f aca="false">IF(A300="","",K300-Ayarlar!$B$3)</f>
        <v/>
      </c>
      <c r="M300" s="18" t="str">
        <f aca="false">IF(A300="","",Veri_Guncel!H300)</f>
        <v/>
      </c>
      <c r="N300" s="18" t="str">
        <f aca="false">IF(A300="","",IFERROR(INDEX(Veri_Onceki!$H:$H,MATCH(A300,Veri_Onceki!$A:$A,0)),""))</f>
        <v/>
      </c>
      <c r="O300" s="14" t="str">
        <f aca="false">IF(A300="","",IF(AND(H300&gt;=1,EDATE(E300,12*H300)&gt;Ayarlar!$B$4,EDATE(E300,12*H300)&lt;=Ayarlar!$B$3),J300,0))</f>
        <v/>
      </c>
      <c r="P300" s="14" t="str">
        <f aca="false">IF(OR(A300="",N300=""),"",N300+O300-M300)</f>
        <v/>
      </c>
      <c r="Q300" s="16" t="str">
        <f aca="false">IF(A300="","",IF(M300&gt;=Ayarlar!$B$7,"ALARM",IF(M300&gt;=Ayarlar!$B$6,"Planla","")))</f>
        <v/>
      </c>
      <c r="R300" s="14" t="str">
        <f aca="false">IF(A300="","",IF(AND(L300&gt;=0,L300&lt;=Ayarlar!$B$9),"Evet",""))</f>
        <v/>
      </c>
      <c r="S300" s="16" t="str">
        <f aca="false">IF(A300="","",IF(N300="","Yeni personel",IF(P300&lt;0,"Kontrol et","")))</f>
        <v/>
      </c>
      <c r="T300" s="14" t="str">
        <f aca="false">IF(A300="","",IF(AND(G300=1,M300&gt;=Ayarlar!$B$6,OR(Ayarlar!$B$11="Tümü",C300=Ayarlar!$B$11)),M300+ROW()/100000,""))</f>
        <v/>
      </c>
    </row>
    <row r="301" customFormat="false" ht="15" hidden="false" customHeight="false" outlineLevel="0" collapsed="false">
      <c r="A301" s="18" t="str">
        <f aca="false">IF(Veri_Guncel!A301="","",Veri_Guncel!A301)</f>
        <v/>
      </c>
      <c r="B301" s="18" t="str">
        <f aca="false">IF($A301="","",Veri_Guncel!B301)</f>
        <v/>
      </c>
      <c r="C301" s="18" t="str">
        <f aca="false">IF($A301="","",Veri_Guncel!C301)</f>
        <v/>
      </c>
      <c r="D301" s="18" t="str">
        <f aca="false">IF($A301="","",Veri_Guncel!D301)</f>
        <v/>
      </c>
      <c r="E301" s="19" t="str">
        <f aca="false">IF($A301="","",Veri_Guncel!E301)</f>
        <v/>
      </c>
      <c r="F301" s="19" t="str">
        <f aca="false">IF($A301="","",Veri_Guncel!F301)</f>
        <v/>
      </c>
      <c r="G301" s="14" t="str">
        <f aca="false">IF(A301="","",IF(COUNTIF(Ayarlar!$A$15:$A$20,C301)&gt;0,1,0))</f>
        <v/>
      </c>
      <c r="H301" s="14" t="str">
        <f aca="false">IF(A301="","",DATEDIF(E301,Ayarlar!$B$3,"y"))</f>
        <v/>
      </c>
      <c r="I301" s="14" t="str">
        <f aca="false">IF(OR(A301="",F301=""),"",DATEDIF(F301,Ayarlar!$B$3,"y"))</f>
        <v/>
      </c>
      <c r="J301" s="14" t="str">
        <f aca="false">IF(A301="","",IF(H301&lt;1,0,MAX(IF(H301&lt;5,14,IF(H301&lt;15,20,26)),IF(AND(I301&lt;&gt;"",OR(I301&lt;=18,I301&gt;=50)),20,0))))</f>
        <v/>
      </c>
      <c r="K301" s="17" t="str">
        <f aca="false">IF(A301="","",EDATE(E301,12*(H301+1)))</f>
        <v/>
      </c>
      <c r="L301" s="14" t="str">
        <f aca="false">IF(A301="","",K301-Ayarlar!$B$3)</f>
        <v/>
      </c>
      <c r="M301" s="18" t="str">
        <f aca="false">IF(A301="","",Veri_Guncel!H301)</f>
        <v/>
      </c>
      <c r="N301" s="18" t="str">
        <f aca="false">IF(A301="","",IFERROR(INDEX(Veri_Onceki!$H:$H,MATCH(A301,Veri_Onceki!$A:$A,0)),""))</f>
        <v/>
      </c>
      <c r="O301" s="14" t="str">
        <f aca="false">IF(A301="","",IF(AND(H301&gt;=1,EDATE(E301,12*H301)&gt;Ayarlar!$B$4,EDATE(E301,12*H301)&lt;=Ayarlar!$B$3),J301,0))</f>
        <v/>
      </c>
      <c r="P301" s="14" t="str">
        <f aca="false">IF(OR(A301="",N301=""),"",N301+O301-M301)</f>
        <v/>
      </c>
      <c r="Q301" s="16" t="str">
        <f aca="false">IF(A301="","",IF(M301&gt;=Ayarlar!$B$7,"ALARM",IF(M301&gt;=Ayarlar!$B$6,"Planla","")))</f>
        <v/>
      </c>
      <c r="R301" s="14" t="str">
        <f aca="false">IF(A301="","",IF(AND(L301&gt;=0,L301&lt;=Ayarlar!$B$9),"Evet",""))</f>
        <v/>
      </c>
      <c r="S301" s="16" t="str">
        <f aca="false">IF(A301="","",IF(N301="","Yeni personel",IF(P301&lt;0,"Kontrol et","")))</f>
        <v/>
      </c>
      <c r="T301" s="14" t="str">
        <f aca="false">IF(A301="","",IF(AND(G301=1,M301&gt;=Ayarlar!$B$6,OR(Ayarlar!$B$11="Tümü",C301=Ayarlar!$B$11)),M301+ROW()/100000,""))</f>
        <v/>
      </c>
    </row>
    <row r="302" customFormat="false" ht="15" hidden="false" customHeight="false" outlineLevel="0" collapsed="false">
      <c r="A302" s="18" t="str">
        <f aca="false">IF(Veri_Guncel!A302="","",Veri_Guncel!A302)</f>
        <v/>
      </c>
      <c r="B302" s="18" t="str">
        <f aca="false">IF($A302="","",Veri_Guncel!B302)</f>
        <v/>
      </c>
      <c r="C302" s="18" t="str">
        <f aca="false">IF($A302="","",Veri_Guncel!C302)</f>
        <v/>
      </c>
      <c r="D302" s="18" t="str">
        <f aca="false">IF($A302="","",Veri_Guncel!D302)</f>
        <v/>
      </c>
      <c r="E302" s="19" t="str">
        <f aca="false">IF($A302="","",Veri_Guncel!E302)</f>
        <v/>
      </c>
      <c r="F302" s="19" t="str">
        <f aca="false">IF($A302="","",Veri_Guncel!F302)</f>
        <v/>
      </c>
      <c r="G302" s="14" t="str">
        <f aca="false">IF(A302="","",IF(COUNTIF(Ayarlar!$A$15:$A$20,C302)&gt;0,1,0))</f>
        <v/>
      </c>
      <c r="H302" s="14" t="str">
        <f aca="false">IF(A302="","",DATEDIF(E302,Ayarlar!$B$3,"y"))</f>
        <v/>
      </c>
      <c r="I302" s="14" t="str">
        <f aca="false">IF(OR(A302="",F302=""),"",DATEDIF(F302,Ayarlar!$B$3,"y"))</f>
        <v/>
      </c>
      <c r="J302" s="14" t="str">
        <f aca="false">IF(A302="","",IF(H302&lt;1,0,MAX(IF(H302&lt;5,14,IF(H302&lt;15,20,26)),IF(AND(I302&lt;&gt;"",OR(I302&lt;=18,I302&gt;=50)),20,0))))</f>
        <v/>
      </c>
      <c r="K302" s="17" t="str">
        <f aca="false">IF(A302="","",EDATE(E302,12*(H302+1)))</f>
        <v/>
      </c>
      <c r="L302" s="14" t="str">
        <f aca="false">IF(A302="","",K302-Ayarlar!$B$3)</f>
        <v/>
      </c>
      <c r="M302" s="18" t="str">
        <f aca="false">IF(A302="","",Veri_Guncel!H302)</f>
        <v/>
      </c>
      <c r="N302" s="18" t="str">
        <f aca="false">IF(A302="","",IFERROR(INDEX(Veri_Onceki!$H:$H,MATCH(A302,Veri_Onceki!$A:$A,0)),""))</f>
        <v/>
      </c>
      <c r="O302" s="14" t="str">
        <f aca="false">IF(A302="","",IF(AND(H302&gt;=1,EDATE(E302,12*H302)&gt;Ayarlar!$B$4,EDATE(E302,12*H302)&lt;=Ayarlar!$B$3),J302,0))</f>
        <v/>
      </c>
      <c r="P302" s="14" t="str">
        <f aca="false">IF(OR(A302="",N302=""),"",N302+O302-M302)</f>
        <v/>
      </c>
      <c r="Q302" s="16" t="str">
        <f aca="false">IF(A302="","",IF(M302&gt;=Ayarlar!$B$7,"ALARM",IF(M302&gt;=Ayarlar!$B$6,"Planla","")))</f>
        <v/>
      </c>
      <c r="R302" s="14" t="str">
        <f aca="false">IF(A302="","",IF(AND(L302&gt;=0,L302&lt;=Ayarlar!$B$9),"Evet",""))</f>
        <v/>
      </c>
      <c r="S302" s="16" t="str">
        <f aca="false">IF(A302="","",IF(N302="","Yeni personel",IF(P302&lt;0,"Kontrol et","")))</f>
        <v/>
      </c>
      <c r="T302" s="14" t="str">
        <f aca="false">IF(A302="","",IF(AND(G302=1,M302&gt;=Ayarlar!$B$6,OR(Ayarlar!$B$11="Tümü",C302=Ayarlar!$B$11)),M302+ROW()/100000,""))</f>
        <v/>
      </c>
    </row>
    <row r="303" customFormat="false" ht="15" hidden="false" customHeight="false" outlineLevel="0" collapsed="false">
      <c r="A303" s="18" t="str">
        <f aca="false">IF(Veri_Guncel!A303="","",Veri_Guncel!A303)</f>
        <v/>
      </c>
      <c r="B303" s="18" t="str">
        <f aca="false">IF($A303="","",Veri_Guncel!B303)</f>
        <v/>
      </c>
      <c r="C303" s="18" t="str">
        <f aca="false">IF($A303="","",Veri_Guncel!C303)</f>
        <v/>
      </c>
      <c r="D303" s="18" t="str">
        <f aca="false">IF($A303="","",Veri_Guncel!D303)</f>
        <v/>
      </c>
      <c r="E303" s="19" t="str">
        <f aca="false">IF($A303="","",Veri_Guncel!E303)</f>
        <v/>
      </c>
      <c r="F303" s="19" t="str">
        <f aca="false">IF($A303="","",Veri_Guncel!F303)</f>
        <v/>
      </c>
      <c r="G303" s="14" t="str">
        <f aca="false">IF(A303="","",IF(COUNTIF(Ayarlar!$A$15:$A$20,C303)&gt;0,1,0))</f>
        <v/>
      </c>
      <c r="H303" s="14" t="str">
        <f aca="false">IF(A303="","",DATEDIF(E303,Ayarlar!$B$3,"y"))</f>
        <v/>
      </c>
      <c r="I303" s="14" t="str">
        <f aca="false">IF(OR(A303="",F303=""),"",DATEDIF(F303,Ayarlar!$B$3,"y"))</f>
        <v/>
      </c>
      <c r="J303" s="14" t="str">
        <f aca="false">IF(A303="","",IF(H303&lt;1,0,MAX(IF(H303&lt;5,14,IF(H303&lt;15,20,26)),IF(AND(I303&lt;&gt;"",OR(I303&lt;=18,I303&gt;=50)),20,0))))</f>
        <v/>
      </c>
      <c r="K303" s="17" t="str">
        <f aca="false">IF(A303="","",EDATE(E303,12*(H303+1)))</f>
        <v/>
      </c>
      <c r="L303" s="14" t="str">
        <f aca="false">IF(A303="","",K303-Ayarlar!$B$3)</f>
        <v/>
      </c>
      <c r="M303" s="18" t="str">
        <f aca="false">IF(A303="","",Veri_Guncel!H303)</f>
        <v/>
      </c>
      <c r="N303" s="18" t="str">
        <f aca="false">IF(A303="","",IFERROR(INDEX(Veri_Onceki!$H:$H,MATCH(A303,Veri_Onceki!$A:$A,0)),""))</f>
        <v/>
      </c>
      <c r="O303" s="14" t="str">
        <f aca="false">IF(A303="","",IF(AND(H303&gt;=1,EDATE(E303,12*H303)&gt;Ayarlar!$B$4,EDATE(E303,12*H303)&lt;=Ayarlar!$B$3),J303,0))</f>
        <v/>
      </c>
      <c r="P303" s="14" t="str">
        <f aca="false">IF(OR(A303="",N303=""),"",N303+O303-M303)</f>
        <v/>
      </c>
      <c r="Q303" s="16" t="str">
        <f aca="false">IF(A303="","",IF(M303&gt;=Ayarlar!$B$7,"ALARM",IF(M303&gt;=Ayarlar!$B$6,"Planla","")))</f>
        <v/>
      </c>
      <c r="R303" s="14" t="str">
        <f aca="false">IF(A303="","",IF(AND(L303&gt;=0,L303&lt;=Ayarlar!$B$9),"Evet",""))</f>
        <v/>
      </c>
      <c r="S303" s="16" t="str">
        <f aca="false">IF(A303="","",IF(N303="","Yeni personel",IF(P303&lt;0,"Kontrol et","")))</f>
        <v/>
      </c>
      <c r="T303" s="14" t="str">
        <f aca="false">IF(A303="","",IF(AND(G303=1,M303&gt;=Ayarlar!$B$6,OR(Ayarlar!$B$11="Tümü",C303=Ayarlar!$B$11)),M303+ROW()/100000,""))</f>
        <v/>
      </c>
    </row>
    <row r="304" customFormat="false" ht="15" hidden="false" customHeight="false" outlineLevel="0" collapsed="false">
      <c r="A304" s="18" t="str">
        <f aca="false">IF(Veri_Guncel!A304="","",Veri_Guncel!A304)</f>
        <v/>
      </c>
      <c r="B304" s="18" t="str">
        <f aca="false">IF($A304="","",Veri_Guncel!B304)</f>
        <v/>
      </c>
      <c r="C304" s="18" t="str">
        <f aca="false">IF($A304="","",Veri_Guncel!C304)</f>
        <v/>
      </c>
      <c r="D304" s="18" t="str">
        <f aca="false">IF($A304="","",Veri_Guncel!D304)</f>
        <v/>
      </c>
      <c r="E304" s="19" t="str">
        <f aca="false">IF($A304="","",Veri_Guncel!E304)</f>
        <v/>
      </c>
      <c r="F304" s="19" t="str">
        <f aca="false">IF($A304="","",Veri_Guncel!F304)</f>
        <v/>
      </c>
      <c r="G304" s="14" t="str">
        <f aca="false">IF(A304="","",IF(COUNTIF(Ayarlar!$A$15:$A$20,C304)&gt;0,1,0))</f>
        <v/>
      </c>
      <c r="H304" s="14" t="str">
        <f aca="false">IF(A304="","",DATEDIF(E304,Ayarlar!$B$3,"y"))</f>
        <v/>
      </c>
      <c r="I304" s="14" t="str">
        <f aca="false">IF(OR(A304="",F304=""),"",DATEDIF(F304,Ayarlar!$B$3,"y"))</f>
        <v/>
      </c>
      <c r="J304" s="14" t="str">
        <f aca="false">IF(A304="","",IF(H304&lt;1,0,MAX(IF(H304&lt;5,14,IF(H304&lt;15,20,26)),IF(AND(I304&lt;&gt;"",OR(I304&lt;=18,I304&gt;=50)),20,0))))</f>
        <v/>
      </c>
      <c r="K304" s="17" t="str">
        <f aca="false">IF(A304="","",EDATE(E304,12*(H304+1)))</f>
        <v/>
      </c>
      <c r="L304" s="14" t="str">
        <f aca="false">IF(A304="","",K304-Ayarlar!$B$3)</f>
        <v/>
      </c>
      <c r="M304" s="18" t="str">
        <f aca="false">IF(A304="","",Veri_Guncel!H304)</f>
        <v/>
      </c>
      <c r="N304" s="18" t="str">
        <f aca="false">IF(A304="","",IFERROR(INDEX(Veri_Onceki!$H:$H,MATCH(A304,Veri_Onceki!$A:$A,0)),""))</f>
        <v/>
      </c>
      <c r="O304" s="14" t="str">
        <f aca="false">IF(A304="","",IF(AND(H304&gt;=1,EDATE(E304,12*H304)&gt;Ayarlar!$B$4,EDATE(E304,12*H304)&lt;=Ayarlar!$B$3),J304,0))</f>
        <v/>
      </c>
      <c r="P304" s="14" t="str">
        <f aca="false">IF(OR(A304="",N304=""),"",N304+O304-M304)</f>
        <v/>
      </c>
      <c r="Q304" s="16" t="str">
        <f aca="false">IF(A304="","",IF(M304&gt;=Ayarlar!$B$7,"ALARM",IF(M304&gt;=Ayarlar!$B$6,"Planla","")))</f>
        <v/>
      </c>
      <c r="R304" s="14" t="str">
        <f aca="false">IF(A304="","",IF(AND(L304&gt;=0,L304&lt;=Ayarlar!$B$9),"Evet",""))</f>
        <v/>
      </c>
      <c r="S304" s="16" t="str">
        <f aca="false">IF(A304="","",IF(N304="","Yeni personel",IF(P304&lt;0,"Kontrol et","")))</f>
        <v/>
      </c>
      <c r="T304" s="14" t="str">
        <f aca="false">IF(A304="","",IF(AND(G304=1,M304&gt;=Ayarlar!$B$6,OR(Ayarlar!$B$11="Tümü",C304=Ayarlar!$B$11)),M304+ROW()/100000,""))</f>
        <v/>
      </c>
    </row>
    <row r="305" customFormat="false" ht="15" hidden="false" customHeight="false" outlineLevel="0" collapsed="false">
      <c r="A305" s="18" t="str">
        <f aca="false">IF(Veri_Guncel!A305="","",Veri_Guncel!A305)</f>
        <v/>
      </c>
      <c r="B305" s="18" t="str">
        <f aca="false">IF($A305="","",Veri_Guncel!B305)</f>
        <v/>
      </c>
      <c r="C305" s="18" t="str">
        <f aca="false">IF($A305="","",Veri_Guncel!C305)</f>
        <v/>
      </c>
      <c r="D305" s="18" t="str">
        <f aca="false">IF($A305="","",Veri_Guncel!D305)</f>
        <v/>
      </c>
      <c r="E305" s="19" t="str">
        <f aca="false">IF($A305="","",Veri_Guncel!E305)</f>
        <v/>
      </c>
      <c r="F305" s="19" t="str">
        <f aca="false">IF($A305="","",Veri_Guncel!F305)</f>
        <v/>
      </c>
      <c r="G305" s="14" t="str">
        <f aca="false">IF(A305="","",IF(COUNTIF(Ayarlar!$A$15:$A$20,C305)&gt;0,1,0))</f>
        <v/>
      </c>
      <c r="H305" s="14" t="str">
        <f aca="false">IF(A305="","",DATEDIF(E305,Ayarlar!$B$3,"y"))</f>
        <v/>
      </c>
      <c r="I305" s="14" t="str">
        <f aca="false">IF(OR(A305="",F305=""),"",DATEDIF(F305,Ayarlar!$B$3,"y"))</f>
        <v/>
      </c>
      <c r="J305" s="14" t="str">
        <f aca="false">IF(A305="","",IF(H305&lt;1,0,MAX(IF(H305&lt;5,14,IF(H305&lt;15,20,26)),IF(AND(I305&lt;&gt;"",OR(I305&lt;=18,I305&gt;=50)),20,0))))</f>
        <v/>
      </c>
      <c r="K305" s="17" t="str">
        <f aca="false">IF(A305="","",EDATE(E305,12*(H305+1)))</f>
        <v/>
      </c>
      <c r="L305" s="14" t="str">
        <f aca="false">IF(A305="","",K305-Ayarlar!$B$3)</f>
        <v/>
      </c>
      <c r="M305" s="18" t="str">
        <f aca="false">IF(A305="","",Veri_Guncel!H305)</f>
        <v/>
      </c>
      <c r="N305" s="18" t="str">
        <f aca="false">IF(A305="","",IFERROR(INDEX(Veri_Onceki!$H:$H,MATCH(A305,Veri_Onceki!$A:$A,0)),""))</f>
        <v/>
      </c>
      <c r="O305" s="14" t="str">
        <f aca="false">IF(A305="","",IF(AND(H305&gt;=1,EDATE(E305,12*H305)&gt;Ayarlar!$B$4,EDATE(E305,12*H305)&lt;=Ayarlar!$B$3),J305,0))</f>
        <v/>
      </c>
      <c r="P305" s="14" t="str">
        <f aca="false">IF(OR(A305="",N305=""),"",N305+O305-M305)</f>
        <v/>
      </c>
      <c r="Q305" s="16" t="str">
        <f aca="false">IF(A305="","",IF(M305&gt;=Ayarlar!$B$7,"ALARM",IF(M305&gt;=Ayarlar!$B$6,"Planla","")))</f>
        <v/>
      </c>
      <c r="R305" s="14" t="str">
        <f aca="false">IF(A305="","",IF(AND(L305&gt;=0,L305&lt;=Ayarlar!$B$9),"Evet",""))</f>
        <v/>
      </c>
      <c r="S305" s="16" t="str">
        <f aca="false">IF(A305="","",IF(N305="","Yeni personel",IF(P305&lt;0,"Kontrol et","")))</f>
        <v/>
      </c>
      <c r="T305" s="14" t="str">
        <f aca="false">IF(A305="","",IF(AND(G305=1,M305&gt;=Ayarlar!$B$6,OR(Ayarlar!$B$11="Tümü",C305=Ayarlar!$B$11)),M305+ROW()/100000,""))</f>
        <v/>
      </c>
    </row>
    <row r="306" customFormat="false" ht="15" hidden="false" customHeight="false" outlineLevel="0" collapsed="false">
      <c r="A306" s="18" t="str">
        <f aca="false">IF(Veri_Guncel!A306="","",Veri_Guncel!A306)</f>
        <v/>
      </c>
      <c r="B306" s="18" t="str">
        <f aca="false">IF($A306="","",Veri_Guncel!B306)</f>
        <v/>
      </c>
      <c r="C306" s="18" t="str">
        <f aca="false">IF($A306="","",Veri_Guncel!C306)</f>
        <v/>
      </c>
      <c r="D306" s="18" t="str">
        <f aca="false">IF($A306="","",Veri_Guncel!D306)</f>
        <v/>
      </c>
      <c r="E306" s="19" t="str">
        <f aca="false">IF($A306="","",Veri_Guncel!E306)</f>
        <v/>
      </c>
      <c r="F306" s="19" t="str">
        <f aca="false">IF($A306="","",Veri_Guncel!F306)</f>
        <v/>
      </c>
      <c r="G306" s="14" t="str">
        <f aca="false">IF(A306="","",IF(COUNTIF(Ayarlar!$A$15:$A$20,C306)&gt;0,1,0))</f>
        <v/>
      </c>
      <c r="H306" s="14" t="str">
        <f aca="false">IF(A306="","",DATEDIF(E306,Ayarlar!$B$3,"y"))</f>
        <v/>
      </c>
      <c r="I306" s="14" t="str">
        <f aca="false">IF(OR(A306="",F306=""),"",DATEDIF(F306,Ayarlar!$B$3,"y"))</f>
        <v/>
      </c>
      <c r="J306" s="14" t="str">
        <f aca="false">IF(A306="","",IF(H306&lt;1,0,MAX(IF(H306&lt;5,14,IF(H306&lt;15,20,26)),IF(AND(I306&lt;&gt;"",OR(I306&lt;=18,I306&gt;=50)),20,0))))</f>
        <v/>
      </c>
      <c r="K306" s="17" t="str">
        <f aca="false">IF(A306="","",EDATE(E306,12*(H306+1)))</f>
        <v/>
      </c>
      <c r="L306" s="14" t="str">
        <f aca="false">IF(A306="","",K306-Ayarlar!$B$3)</f>
        <v/>
      </c>
      <c r="M306" s="18" t="str">
        <f aca="false">IF(A306="","",Veri_Guncel!H306)</f>
        <v/>
      </c>
      <c r="N306" s="18" t="str">
        <f aca="false">IF(A306="","",IFERROR(INDEX(Veri_Onceki!$H:$H,MATCH(A306,Veri_Onceki!$A:$A,0)),""))</f>
        <v/>
      </c>
      <c r="O306" s="14" t="str">
        <f aca="false">IF(A306="","",IF(AND(H306&gt;=1,EDATE(E306,12*H306)&gt;Ayarlar!$B$4,EDATE(E306,12*H306)&lt;=Ayarlar!$B$3),J306,0))</f>
        <v/>
      </c>
      <c r="P306" s="14" t="str">
        <f aca="false">IF(OR(A306="",N306=""),"",N306+O306-M306)</f>
        <v/>
      </c>
      <c r="Q306" s="16" t="str">
        <f aca="false">IF(A306="","",IF(M306&gt;=Ayarlar!$B$7,"ALARM",IF(M306&gt;=Ayarlar!$B$6,"Planla","")))</f>
        <v/>
      </c>
      <c r="R306" s="14" t="str">
        <f aca="false">IF(A306="","",IF(AND(L306&gt;=0,L306&lt;=Ayarlar!$B$9),"Evet",""))</f>
        <v/>
      </c>
      <c r="S306" s="16" t="str">
        <f aca="false">IF(A306="","",IF(N306="","Yeni personel",IF(P306&lt;0,"Kontrol et","")))</f>
        <v/>
      </c>
      <c r="T306" s="14" t="str">
        <f aca="false">IF(A306="","",IF(AND(G306=1,M306&gt;=Ayarlar!$B$6,OR(Ayarlar!$B$11="Tümü",C306=Ayarlar!$B$11)),M306+ROW()/100000,""))</f>
        <v/>
      </c>
    </row>
    <row r="307" customFormat="false" ht="15" hidden="false" customHeight="false" outlineLevel="0" collapsed="false">
      <c r="A307" s="18" t="str">
        <f aca="false">IF(Veri_Guncel!A307="","",Veri_Guncel!A307)</f>
        <v/>
      </c>
      <c r="B307" s="18" t="str">
        <f aca="false">IF($A307="","",Veri_Guncel!B307)</f>
        <v/>
      </c>
      <c r="C307" s="18" t="str">
        <f aca="false">IF($A307="","",Veri_Guncel!C307)</f>
        <v/>
      </c>
      <c r="D307" s="18" t="str">
        <f aca="false">IF($A307="","",Veri_Guncel!D307)</f>
        <v/>
      </c>
      <c r="E307" s="19" t="str">
        <f aca="false">IF($A307="","",Veri_Guncel!E307)</f>
        <v/>
      </c>
      <c r="F307" s="19" t="str">
        <f aca="false">IF($A307="","",Veri_Guncel!F307)</f>
        <v/>
      </c>
      <c r="G307" s="14" t="str">
        <f aca="false">IF(A307="","",IF(COUNTIF(Ayarlar!$A$15:$A$20,C307)&gt;0,1,0))</f>
        <v/>
      </c>
      <c r="H307" s="14" t="str">
        <f aca="false">IF(A307="","",DATEDIF(E307,Ayarlar!$B$3,"y"))</f>
        <v/>
      </c>
      <c r="I307" s="14" t="str">
        <f aca="false">IF(OR(A307="",F307=""),"",DATEDIF(F307,Ayarlar!$B$3,"y"))</f>
        <v/>
      </c>
      <c r="J307" s="14" t="str">
        <f aca="false">IF(A307="","",IF(H307&lt;1,0,MAX(IF(H307&lt;5,14,IF(H307&lt;15,20,26)),IF(AND(I307&lt;&gt;"",OR(I307&lt;=18,I307&gt;=50)),20,0))))</f>
        <v/>
      </c>
      <c r="K307" s="17" t="str">
        <f aca="false">IF(A307="","",EDATE(E307,12*(H307+1)))</f>
        <v/>
      </c>
      <c r="L307" s="14" t="str">
        <f aca="false">IF(A307="","",K307-Ayarlar!$B$3)</f>
        <v/>
      </c>
      <c r="M307" s="18" t="str">
        <f aca="false">IF(A307="","",Veri_Guncel!H307)</f>
        <v/>
      </c>
      <c r="N307" s="18" t="str">
        <f aca="false">IF(A307="","",IFERROR(INDEX(Veri_Onceki!$H:$H,MATCH(A307,Veri_Onceki!$A:$A,0)),""))</f>
        <v/>
      </c>
      <c r="O307" s="14" t="str">
        <f aca="false">IF(A307="","",IF(AND(H307&gt;=1,EDATE(E307,12*H307)&gt;Ayarlar!$B$4,EDATE(E307,12*H307)&lt;=Ayarlar!$B$3),J307,0))</f>
        <v/>
      </c>
      <c r="P307" s="14" t="str">
        <f aca="false">IF(OR(A307="",N307=""),"",N307+O307-M307)</f>
        <v/>
      </c>
      <c r="Q307" s="16" t="str">
        <f aca="false">IF(A307="","",IF(M307&gt;=Ayarlar!$B$7,"ALARM",IF(M307&gt;=Ayarlar!$B$6,"Planla","")))</f>
        <v/>
      </c>
      <c r="R307" s="14" t="str">
        <f aca="false">IF(A307="","",IF(AND(L307&gt;=0,L307&lt;=Ayarlar!$B$9),"Evet",""))</f>
        <v/>
      </c>
      <c r="S307" s="16" t="str">
        <f aca="false">IF(A307="","",IF(N307="","Yeni personel",IF(P307&lt;0,"Kontrol et","")))</f>
        <v/>
      </c>
      <c r="T307" s="14" t="str">
        <f aca="false">IF(A307="","",IF(AND(G307=1,M307&gt;=Ayarlar!$B$6,OR(Ayarlar!$B$11="Tümü",C307=Ayarlar!$B$11)),M307+ROW()/100000,""))</f>
        <v/>
      </c>
    </row>
    <row r="308" customFormat="false" ht="15" hidden="false" customHeight="false" outlineLevel="0" collapsed="false">
      <c r="A308" s="18" t="str">
        <f aca="false">IF(Veri_Guncel!A308="","",Veri_Guncel!A308)</f>
        <v/>
      </c>
      <c r="B308" s="18" t="str">
        <f aca="false">IF($A308="","",Veri_Guncel!B308)</f>
        <v/>
      </c>
      <c r="C308" s="18" t="str">
        <f aca="false">IF($A308="","",Veri_Guncel!C308)</f>
        <v/>
      </c>
      <c r="D308" s="18" t="str">
        <f aca="false">IF($A308="","",Veri_Guncel!D308)</f>
        <v/>
      </c>
      <c r="E308" s="19" t="str">
        <f aca="false">IF($A308="","",Veri_Guncel!E308)</f>
        <v/>
      </c>
      <c r="F308" s="19" t="str">
        <f aca="false">IF($A308="","",Veri_Guncel!F308)</f>
        <v/>
      </c>
      <c r="G308" s="14" t="str">
        <f aca="false">IF(A308="","",IF(COUNTIF(Ayarlar!$A$15:$A$20,C308)&gt;0,1,0))</f>
        <v/>
      </c>
      <c r="H308" s="14" t="str">
        <f aca="false">IF(A308="","",DATEDIF(E308,Ayarlar!$B$3,"y"))</f>
        <v/>
      </c>
      <c r="I308" s="14" t="str">
        <f aca="false">IF(OR(A308="",F308=""),"",DATEDIF(F308,Ayarlar!$B$3,"y"))</f>
        <v/>
      </c>
      <c r="J308" s="14" t="str">
        <f aca="false">IF(A308="","",IF(H308&lt;1,0,MAX(IF(H308&lt;5,14,IF(H308&lt;15,20,26)),IF(AND(I308&lt;&gt;"",OR(I308&lt;=18,I308&gt;=50)),20,0))))</f>
        <v/>
      </c>
      <c r="K308" s="17" t="str">
        <f aca="false">IF(A308="","",EDATE(E308,12*(H308+1)))</f>
        <v/>
      </c>
      <c r="L308" s="14" t="str">
        <f aca="false">IF(A308="","",K308-Ayarlar!$B$3)</f>
        <v/>
      </c>
      <c r="M308" s="18" t="str">
        <f aca="false">IF(A308="","",Veri_Guncel!H308)</f>
        <v/>
      </c>
      <c r="N308" s="18" t="str">
        <f aca="false">IF(A308="","",IFERROR(INDEX(Veri_Onceki!$H:$H,MATCH(A308,Veri_Onceki!$A:$A,0)),""))</f>
        <v/>
      </c>
      <c r="O308" s="14" t="str">
        <f aca="false">IF(A308="","",IF(AND(H308&gt;=1,EDATE(E308,12*H308)&gt;Ayarlar!$B$4,EDATE(E308,12*H308)&lt;=Ayarlar!$B$3),J308,0))</f>
        <v/>
      </c>
      <c r="P308" s="14" t="str">
        <f aca="false">IF(OR(A308="",N308=""),"",N308+O308-M308)</f>
        <v/>
      </c>
      <c r="Q308" s="16" t="str">
        <f aca="false">IF(A308="","",IF(M308&gt;=Ayarlar!$B$7,"ALARM",IF(M308&gt;=Ayarlar!$B$6,"Planla","")))</f>
        <v/>
      </c>
      <c r="R308" s="14" t="str">
        <f aca="false">IF(A308="","",IF(AND(L308&gt;=0,L308&lt;=Ayarlar!$B$9),"Evet",""))</f>
        <v/>
      </c>
      <c r="S308" s="16" t="str">
        <f aca="false">IF(A308="","",IF(N308="","Yeni personel",IF(P308&lt;0,"Kontrol et","")))</f>
        <v/>
      </c>
      <c r="T308" s="14" t="str">
        <f aca="false">IF(A308="","",IF(AND(G308=1,M308&gt;=Ayarlar!$B$6,OR(Ayarlar!$B$11="Tümü",C308=Ayarlar!$B$11)),M308+ROW()/100000,""))</f>
        <v/>
      </c>
    </row>
    <row r="309" customFormat="false" ht="15" hidden="false" customHeight="false" outlineLevel="0" collapsed="false">
      <c r="A309" s="18" t="str">
        <f aca="false">IF(Veri_Guncel!A309="","",Veri_Guncel!A309)</f>
        <v/>
      </c>
      <c r="B309" s="18" t="str">
        <f aca="false">IF($A309="","",Veri_Guncel!B309)</f>
        <v/>
      </c>
      <c r="C309" s="18" t="str">
        <f aca="false">IF($A309="","",Veri_Guncel!C309)</f>
        <v/>
      </c>
      <c r="D309" s="18" t="str">
        <f aca="false">IF($A309="","",Veri_Guncel!D309)</f>
        <v/>
      </c>
      <c r="E309" s="19" t="str">
        <f aca="false">IF($A309="","",Veri_Guncel!E309)</f>
        <v/>
      </c>
      <c r="F309" s="19" t="str">
        <f aca="false">IF($A309="","",Veri_Guncel!F309)</f>
        <v/>
      </c>
      <c r="G309" s="14" t="str">
        <f aca="false">IF(A309="","",IF(COUNTIF(Ayarlar!$A$15:$A$20,C309)&gt;0,1,0))</f>
        <v/>
      </c>
      <c r="H309" s="14" t="str">
        <f aca="false">IF(A309="","",DATEDIF(E309,Ayarlar!$B$3,"y"))</f>
        <v/>
      </c>
      <c r="I309" s="14" t="str">
        <f aca="false">IF(OR(A309="",F309=""),"",DATEDIF(F309,Ayarlar!$B$3,"y"))</f>
        <v/>
      </c>
      <c r="J309" s="14" t="str">
        <f aca="false">IF(A309="","",IF(H309&lt;1,0,MAX(IF(H309&lt;5,14,IF(H309&lt;15,20,26)),IF(AND(I309&lt;&gt;"",OR(I309&lt;=18,I309&gt;=50)),20,0))))</f>
        <v/>
      </c>
      <c r="K309" s="17" t="str">
        <f aca="false">IF(A309="","",EDATE(E309,12*(H309+1)))</f>
        <v/>
      </c>
      <c r="L309" s="14" t="str">
        <f aca="false">IF(A309="","",K309-Ayarlar!$B$3)</f>
        <v/>
      </c>
      <c r="M309" s="18" t="str">
        <f aca="false">IF(A309="","",Veri_Guncel!H309)</f>
        <v/>
      </c>
      <c r="N309" s="18" t="str">
        <f aca="false">IF(A309="","",IFERROR(INDEX(Veri_Onceki!$H:$H,MATCH(A309,Veri_Onceki!$A:$A,0)),""))</f>
        <v/>
      </c>
      <c r="O309" s="14" t="str">
        <f aca="false">IF(A309="","",IF(AND(H309&gt;=1,EDATE(E309,12*H309)&gt;Ayarlar!$B$4,EDATE(E309,12*H309)&lt;=Ayarlar!$B$3),J309,0))</f>
        <v/>
      </c>
      <c r="P309" s="14" t="str">
        <f aca="false">IF(OR(A309="",N309=""),"",N309+O309-M309)</f>
        <v/>
      </c>
      <c r="Q309" s="16" t="str">
        <f aca="false">IF(A309="","",IF(M309&gt;=Ayarlar!$B$7,"ALARM",IF(M309&gt;=Ayarlar!$B$6,"Planla","")))</f>
        <v/>
      </c>
      <c r="R309" s="14" t="str">
        <f aca="false">IF(A309="","",IF(AND(L309&gt;=0,L309&lt;=Ayarlar!$B$9),"Evet",""))</f>
        <v/>
      </c>
      <c r="S309" s="16" t="str">
        <f aca="false">IF(A309="","",IF(N309="","Yeni personel",IF(P309&lt;0,"Kontrol et","")))</f>
        <v/>
      </c>
      <c r="T309" s="14" t="str">
        <f aca="false">IF(A309="","",IF(AND(G309=1,M309&gt;=Ayarlar!$B$6,OR(Ayarlar!$B$11="Tümü",C309=Ayarlar!$B$11)),M309+ROW()/100000,""))</f>
        <v/>
      </c>
    </row>
    <row r="310" customFormat="false" ht="15" hidden="false" customHeight="false" outlineLevel="0" collapsed="false">
      <c r="A310" s="18" t="str">
        <f aca="false">IF(Veri_Guncel!A310="","",Veri_Guncel!A310)</f>
        <v/>
      </c>
      <c r="B310" s="18" t="str">
        <f aca="false">IF($A310="","",Veri_Guncel!B310)</f>
        <v/>
      </c>
      <c r="C310" s="18" t="str">
        <f aca="false">IF($A310="","",Veri_Guncel!C310)</f>
        <v/>
      </c>
      <c r="D310" s="18" t="str">
        <f aca="false">IF($A310="","",Veri_Guncel!D310)</f>
        <v/>
      </c>
      <c r="E310" s="19" t="str">
        <f aca="false">IF($A310="","",Veri_Guncel!E310)</f>
        <v/>
      </c>
      <c r="F310" s="19" t="str">
        <f aca="false">IF($A310="","",Veri_Guncel!F310)</f>
        <v/>
      </c>
      <c r="G310" s="14" t="str">
        <f aca="false">IF(A310="","",IF(COUNTIF(Ayarlar!$A$15:$A$20,C310)&gt;0,1,0))</f>
        <v/>
      </c>
      <c r="H310" s="14" t="str">
        <f aca="false">IF(A310="","",DATEDIF(E310,Ayarlar!$B$3,"y"))</f>
        <v/>
      </c>
      <c r="I310" s="14" t="str">
        <f aca="false">IF(OR(A310="",F310=""),"",DATEDIF(F310,Ayarlar!$B$3,"y"))</f>
        <v/>
      </c>
      <c r="J310" s="14" t="str">
        <f aca="false">IF(A310="","",IF(H310&lt;1,0,MAX(IF(H310&lt;5,14,IF(H310&lt;15,20,26)),IF(AND(I310&lt;&gt;"",OR(I310&lt;=18,I310&gt;=50)),20,0))))</f>
        <v/>
      </c>
      <c r="K310" s="17" t="str">
        <f aca="false">IF(A310="","",EDATE(E310,12*(H310+1)))</f>
        <v/>
      </c>
      <c r="L310" s="14" t="str">
        <f aca="false">IF(A310="","",K310-Ayarlar!$B$3)</f>
        <v/>
      </c>
      <c r="M310" s="18" t="str">
        <f aca="false">IF(A310="","",Veri_Guncel!H310)</f>
        <v/>
      </c>
      <c r="N310" s="18" t="str">
        <f aca="false">IF(A310="","",IFERROR(INDEX(Veri_Onceki!$H:$H,MATCH(A310,Veri_Onceki!$A:$A,0)),""))</f>
        <v/>
      </c>
      <c r="O310" s="14" t="str">
        <f aca="false">IF(A310="","",IF(AND(H310&gt;=1,EDATE(E310,12*H310)&gt;Ayarlar!$B$4,EDATE(E310,12*H310)&lt;=Ayarlar!$B$3),J310,0))</f>
        <v/>
      </c>
      <c r="P310" s="14" t="str">
        <f aca="false">IF(OR(A310="",N310=""),"",N310+O310-M310)</f>
        <v/>
      </c>
      <c r="Q310" s="16" t="str">
        <f aca="false">IF(A310="","",IF(M310&gt;=Ayarlar!$B$7,"ALARM",IF(M310&gt;=Ayarlar!$B$6,"Planla","")))</f>
        <v/>
      </c>
      <c r="R310" s="14" t="str">
        <f aca="false">IF(A310="","",IF(AND(L310&gt;=0,L310&lt;=Ayarlar!$B$9),"Evet",""))</f>
        <v/>
      </c>
      <c r="S310" s="16" t="str">
        <f aca="false">IF(A310="","",IF(N310="","Yeni personel",IF(P310&lt;0,"Kontrol et","")))</f>
        <v/>
      </c>
      <c r="T310" s="14" t="str">
        <f aca="false">IF(A310="","",IF(AND(G310=1,M310&gt;=Ayarlar!$B$6,OR(Ayarlar!$B$11="Tümü",C310=Ayarlar!$B$11)),M310+ROW()/100000,""))</f>
        <v/>
      </c>
    </row>
    <row r="311" customFormat="false" ht="15" hidden="false" customHeight="false" outlineLevel="0" collapsed="false">
      <c r="A311" s="18" t="str">
        <f aca="false">IF(Veri_Guncel!A311="","",Veri_Guncel!A311)</f>
        <v/>
      </c>
      <c r="B311" s="18" t="str">
        <f aca="false">IF($A311="","",Veri_Guncel!B311)</f>
        <v/>
      </c>
      <c r="C311" s="18" t="str">
        <f aca="false">IF($A311="","",Veri_Guncel!C311)</f>
        <v/>
      </c>
      <c r="D311" s="18" t="str">
        <f aca="false">IF($A311="","",Veri_Guncel!D311)</f>
        <v/>
      </c>
      <c r="E311" s="19" t="str">
        <f aca="false">IF($A311="","",Veri_Guncel!E311)</f>
        <v/>
      </c>
      <c r="F311" s="19" t="str">
        <f aca="false">IF($A311="","",Veri_Guncel!F311)</f>
        <v/>
      </c>
      <c r="G311" s="14" t="str">
        <f aca="false">IF(A311="","",IF(COUNTIF(Ayarlar!$A$15:$A$20,C311)&gt;0,1,0))</f>
        <v/>
      </c>
      <c r="H311" s="14" t="str">
        <f aca="false">IF(A311="","",DATEDIF(E311,Ayarlar!$B$3,"y"))</f>
        <v/>
      </c>
      <c r="I311" s="14" t="str">
        <f aca="false">IF(OR(A311="",F311=""),"",DATEDIF(F311,Ayarlar!$B$3,"y"))</f>
        <v/>
      </c>
      <c r="J311" s="14" t="str">
        <f aca="false">IF(A311="","",IF(H311&lt;1,0,MAX(IF(H311&lt;5,14,IF(H311&lt;15,20,26)),IF(AND(I311&lt;&gt;"",OR(I311&lt;=18,I311&gt;=50)),20,0))))</f>
        <v/>
      </c>
      <c r="K311" s="17" t="str">
        <f aca="false">IF(A311="","",EDATE(E311,12*(H311+1)))</f>
        <v/>
      </c>
      <c r="L311" s="14" t="str">
        <f aca="false">IF(A311="","",K311-Ayarlar!$B$3)</f>
        <v/>
      </c>
      <c r="M311" s="18" t="str">
        <f aca="false">IF(A311="","",Veri_Guncel!H311)</f>
        <v/>
      </c>
      <c r="N311" s="18" t="str">
        <f aca="false">IF(A311="","",IFERROR(INDEX(Veri_Onceki!$H:$H,MATCH(A311,Veri_Onceki!$A:$A,0)),""))</f>
        <v/>
      </c>
      <c r="O311" s="14" t="str">
        <f aca="false">IF(A311="","",IF(AND(H311&gt;=1,EDATE(E311,12*H311)&gt;Ayarlar!$B$4,EDATE(E311,12*H311)&lt;=Ayarlar!$B$3),J311,0))</f>
        <v/>
      </c>
      <c r="P311" s="14" t="str">
        <f aca="false">IF(OR(A311="",N311=""),"",N311+O311-M311)</f>
        <v/>
      </c>
      <c r="Q311" s="16" t="str">
        <f aca="false">IF(A311="","",IF(M311&gt;=Ayarlar!$B$7,"ALARM",IF(M311&gt;=Ayarlar!$B$6,"Planla","")))</f>
        <v/>
      </c>
      <c r="R311" s="14" t="str">
        <f aca="false">IF(A311="","",IF(AND(L311&gt;=0,L311&lt;=Ayarlar!$B$9),"Evet",""))</f>
        <v/>
      </c>
      <c r="S311" s="16" t="str">
        <f aca="false">IF(A311="","",IF(N311="","Yeni personel",IF(P311&lt;0,"Kontrol et","")))</f>
        <v/>
      </c>
      <c r="T311" s="14" t="str">
        <f aca="false">IF(A311="","",IF(AND(G311=1,M311&gt;=Ayarlar!$B$6,OR(Ayarlar!$B$11="Tümü",C311=Ayarlar!$B$11)),M311+ROW()/100000,""))</f>
        <v/>
      </c>
    </row>
    <row r="312" customFormat="false" ht="15" hidden="false" customHeight="false" outlineLevel="0" collapsed="false">
      <c r="A312" s="18" t="str">
        <f aca="false">IF(Veri_Guncel!A312="","",Veri_Guncel!A312)</f>
        <v/>
      </c>
      <c r="B312" s="18" t="str">
        <f aca="false">IF($A312="","",Veri_Guncel!B312)</f>
        <v/>
      </c>
      <c r="C312" s="18" t="str">
        <f aca="false">IF($A312="","",Veri_Guncel!C312)</f>
        <v/>
      </c>
      <c r="D312" s="18" t="str">
        <f aca="false">IF($A312="","",Veri_Guncel!D312)</f>
        <v/>
      </c>
      <c r="E312" s="19" t="str">
        <f aca="false">IF($A312="","",Veri_Guncel!E312)</f>
        <v/>
      </c>
      <c r="F312" s="19" t="str">
        <f aca="false">IF($A312="","",Veri_Guncel!F312)</f>
        <v/>
      </c>
      <c r="G312" s="14" t="str">
        <f aca="false">IF(A312="","",IF(COUNTIF(Ayarlar!$A$15:$A$20,C312)&gt;0,1,0))</f>
        <v/>
      </c>
      <c r="H312" s="14" t="str">
        <f aca="false">IF(A312="","",DATEDIF(E312,Ayarlar!$B$3,"y"))</f>
        <v/>
      </c>
      <c r="I312" s="14" t="str">
        <f aca="false">IF(OR(A312="",F312=""),"",DATEDIF(F312,Ayarlar!$B$3,"y"))</f>
        <v/>
      </c>
      <c r="J312" s="14" t="str">
        <f aca="false">IF(A312="","",IF(H312&lt;1,0,MAX(IF(H312&lt;5,14,IF(H312&lt;15,20,26)),IF(AND(I312&lt;&gt;"",OR(I312&lt;=18,I312&gt;=50)),20,0))))</f>
        <v/>
      </c>
      <c r="K312" s="17" t="str">
        <f aca="false">IF(A312="","",EDATE(E312,12*(H312+1)))</f>
        <v/>
      </c>
      <c r="L312" s="14" t="str">
        <f aca="false">IF(A312="","",K312-Ayarlar!$B$3)</f>
        <v/>
      </c>
      <c r="M312" s="18" t="str">
        <f aca="false">IF(A312="","",Veri_Guncel!H312)</f>
        <v/>
      </c>
      <c r="N312" s="18" t="str">
        <f aca="false">IF(A312="","",IFERROR(INDEX(Veri_Onceki!$H:$H,MATCH(A312,Veri_Onceki!$A:$A,0)),""))</f>
        <v/>
      </c>
      <c r="O312" s="14" t="str">
        <f aca="false">IF(A312="","",IF(AND(H312&gt;=1,EDATE(E312,12*H312)&gt;Ayarlar!$B$4,EDATE(E312,12*H312)&lt;=Ayarlar!$B$3),J312,0))</f>
        <v/>
      </c>
      <c r="P312" s="14" t="str">
        <f aca="false">IF(OR(A312="",N312=""),"",N312+O312-M312)</f>
        <v/>
      </c>
      <c r="Q312" s="16" t="str">
        <f aca="false">IF(A312="","",IF(M312&gt;=Ayarlar!$B$7,"ALARM",IF(M312&gt;=Ayarlar!$B$6,"Planla","")))</f>
        <v/>
      </c>
      <c r="R312" s="14" t="str">
        <f aca="false">IF(A312="","",IF(AND(L312&gt;=0,L312&lt;=Ayarlar!$B$9),"Evet",""))</f>
        <v/>
      </c>
      <c r="S312" s="16" t="str">
        <f aca="false">IF(A312="","",IF(N312="","Yeni personel",IF(P312&lt;0,"Kontrol et","")))</f>
        <v/>
      </c>
      <c r="T312" s="14" t="str">
        <f aca="false">IF(A312="","",IF(AND(G312=1,M312&gt;=Ayarlar!$B$6,OR(Ayarlar!$B$11="Tümü",C312=Ayarlar!$B$11)),M312+ROW()/100000,""))</f>
        <v/>
      </c>
    </row>
    <row r="313" customFormat="false" ht="15" hidden="false" customHeight="false" outlineLevel="0" collapsed="false">
      <c r="A313" s="18" t="str">
        <f aca="false">IF(Veri_Guncel!A313="","",Veri_Guncel!A313)</f>
        <v/>
      </c>
      <c r="B313" s="18" t="str">
        <f aca="false">IF($A313="","",Veri_Guncel!B313)</f>
        <v/>
      </c>
      <c r="C313" s="18" t="str">
        <f aca="false">IF($A313="","",Veri_Guncel!C313)</f>
        <v/>
      </c>
      <c r="D313" s="18" t="str">
        <f aca="false">IF($A313="","",Veri_Guncel!D313)</f>
        <v/>
      </c>
      <c r="E313" s="19" t="str">
        <f aca="false">IF($A313="","",Veri_Guncel!E313)</f>
        <v/>
      </c>
      <c r="F313" s="19" t="str">
        <f aca="false">IF($A313="","",Veri_Guncel!F313)</f>
        <v/>
      </c>
      <c r="G313" s="14" t="str">
        <f aca="false">IF(A313="","",IF(COUNTIF(Ayarlar!$A$15:$A$20,C313)&gt;0,1,0))</f>
        <v/>
      </c>
      <c r="H313" s="14" t="str">
        <f aca="false">IF(A313="","",DATEDIF(E313,Ayarlar!$B$3,"y"))</f>
        <v/>
      </c>
      <c r="I313" s="14" t="str">
        <f aca="false">IF(OR(A313="",F313=""),"",DATEDIF(F313,Ayarlar!$B$3,"y"))</f>
        <v/>
      </c>
      <c r="J313" s="14" t="str">
        <f aca="false">IF(A313="","",IF(H313&lt;1,0,MAX(IF(H313&lt;5,14,IF(H313&lt;15,20,26)),IF(AND(I313&lt;&gt;"",OR(I313&lt;=18,I313&gt;=50)),20,0))))</f>
        <v/>
      </c>
      <c r="K313" s="17" t="str">
        <f aca="false">IF(A313="","",EDATE(E313,12*(H313+1)))</f>
        <v/>
      </c>
      <c r="L313" s="14" t="str">
        <f aca="false">IF(A313="","",K313-Ayarlar!$B$3)</f>
        <v/>
      </c>
      <c r="M313" s="18" t="str">
        <f aca="false">IF(A313="","",Veri_Guncel!H313)</f>
        <v/>
      </c>
      <c r="N313" s="18" t="str">
        <f aca="false">IF(A313="","",IFERROR(INDEX(Veri_Onceki!$H:$H,MATCH(A313,Veri_Onceki!$A:$A,0)),""))</f>
        <v/>
      </c>
      <c r="O313" s="14" t="str">
        <f aca="false">IF(A313="","",IF(AND(H313&gt;=1,EDATE(E313,12*H313)&gt;Ayarlar!$B$4,EDATE(E313,12*H313)&lt;=Ayarlar!$B$3),J313,0))</f>
        <v/>
      </c>
      <c r="P313" s="14" t="str">
        <f aca="false">IF(OR(A313="",N313=""),"",N313+O313-M313)</f>
        <v/>
      </c>
      <c r="Q313" s="16" t="str">
        <f aca="false">IF(A313="","",IF(M313&gt;=Ayarlar!$B$7,"ALARM",IF(M313&gt;=Ayarlar!$B$6,"Planla","")))</f>
        <v/>
      </c>
      <c r="R313" s="14" t="str">
        <f aca="false">IF(A313="","",IF(AND(L313&gt;=0,L313&lt;=Ayarlar!$B$9),"Evet",""))</f>
        <v/>
      </c>
      <c r="S313" s="16" t="str">
        <f aca="false">IF(A313="","",IF(N313="","Yeni personel",IF(P313&lt;0,"Kontrol et","")))</f>
        <v/>
      </c>
      <c r="T313" s="14" t="str">
        <f aca="false">IF(A313="","",IF(AND(G313=1,M313&gt;=Ayarlar!$B$6,OR(Ayarlar!$B$11="Tümü",C313=Ayarlar!$B$11)),M313+ROW()/100000,""))</f>
        <v/>
      </c>
    </row>
    <row r="314" customFormat="false" ht="15" hidden="false" customHeight="false" outlineLevel="0" collapsed="false">
      <c r="A314" s="18" t="str">
        <f aca="false">IF(Veri_Guncel!A314="","",Veri_Guncel!A314)</f>
        <v/>
      </c>
      <c r="B314" s="18" t="str">
        <f aca="false">IF($A314="","",Veri_Guncel!B314)</f>
        <v/>
      </c>
      <c r="C314" s="18" t="str">
        <f aca="false">IF($A314="","",Veri_Guncel!C314)</f>
        <v/>
      </c>
      <c r="D314" s="18" t="str">
        <f aca="false">IF($A314="","",Veri_Guncel!D314)</f>
        <v/>
      </c>
      <c r="E314" s="19" t="str">
        <f aca="false">IF($A314="","",Veri_Guncel!E314)</f>
        <v/>
      </c>
      <c r="F314" s="19" t="str">
        <f aca="false">IF($A314="","",Veri_Guncel!F314)</f>
        <v/>
      </c>
      <c r="G314" s="14" t="str">
        <f aca="false">IF(A314="","",IF(COUNTIF(Ayarlar!$A$15:$A$20,C314)&gt;0,1,0))</f>
        <v/>
      </c>
      <c r="H314" s="14" t="str">
        <f aca="false">IF(A314="","",DATEDIF(E314,Ayarlar!$B$3,"y"))</f>
        <v/>
      </c>
      <c r="I314" s="14" t="str">
        <f aca="false">IF(OR(A314="",F314=""),"",DATEDIF(F314,Ayarlar!$B$3,"y"))</f>
        <v/>
      </c>
      <c r="J314" s="14" t="str">
        <f aca="false">IF(A314="","",IF(H314&lt;1,0,MAX(IF(H314&lt;5,14,IF(H314&lt;15,20,26)),IF(AND(I314&lt;&gt;"",OR(I314&lt;=18,I314&gt;=50)),20,0))))</f>
        <v/>
      </c>
      <c r="K314" s="17" t="str">
        <f aca="false">IF(A314="","",EDATE(E314,12*(H314+1)))</f>
        <v/>
      </c>
      <c r="L314" s="14" t="str">
        <f aca="false">IF(A314="","",K314-Ayarlar!$B$3)</f>
        <v/>
      </c>
      <c r="M314" s="18" t="str">
        <f aca="false">IF(A314="","",Veri_Guncel!H314)</f>
        <v/>
      </c>
      <c r="N314" s="18" t="str">
        <f aca="false">IF(A314="","",IFERROR(INDEX(Veri_Onceki!$H:$H,MATCH(A314,Veri_Onceki!$A:$A,0)),""))</f>
        <v/>
      </c>
      <c r="O314" s="14" t="str">
        <f aca="false">IF(A314="","",IF(AND(H314&gt;=1,EDATE(E314,12*H314)&gt;Ayarlar!$B$4,EDATE(E314,12*H314)&lt;=Ayarlar!$B$3),J314,0))</f>
        <v/>
      </c>
      <c r="P314" s="14" t="str">
        <f aca="false">IF(OR(A314="",N314=""),"",N314+O314-M314)</f>
        <v/>
      </c>
      <c r="Q314" s="16" t="str">
        <f aca="false">IF(A314="","",IF(M314&gt;=Ayarlar!$B$7,"ALARM",IF(M314&gt;=Ayarlar!$B$6,"Planla","")))</f>
        <v/>
      </c>
      <c r="R314" s="14" t="str">
        <f aca="false">IF(A314="","",IF(AND(L314&gt;=0,L314&lt;=Ayarlar!$B$9),"Evet",""))</f>
        <v/>
      </c>
      <c r="S314" s="16" t="str">
        <f aca="false">IF(A314="","",IF(N314="","Yeni personel",IF(P314&lt;0,"Kontrol et","")))</f>
        <v/>
      </c>
      <c r="T314" s="14" t="str">
        <f aca="false">IF(A314="","",IF(AND(G314=1,M314&gt;=Ayarlar!$B$6,OR(Ayarlar!$B$11="Tümü",C314=Ayarlar!$B$11)),M314+ROW()/100000,""))</f>
        <v/>
      </c>
    </row>
    <row r="315" customFormat="false" ht="15" hidden="false" customHeight="false" outlineLevel="0" collapsed="false">
      <c r="A315" s="18" t="str">
        <f aca="false">IF(Veri_Guncel!A315="","",Veri_Guncel!A315)</f>
        <v/>
      </c>
      <c r="B315" s="18" t="str">
        <f aca="false">IF($A315="","",Veri_Guncel!B315)</f>
        <v/>
      </c>
      <c r="C315" s="18" t="str">
        <f aca="false">IF($A315="","",Veri_Guncel!C315)</f>
        <v/>
      </c>
      <c r="D315" s="18" t="str">
        <f aca="false">IF($A315="","",Veri_Guncel!D315)</f>
        <v/>
      </c>
      <c r="E315" s="19" t="str">
        <f aca="false">IF($A315="","",Veri_Guncel!E315)</f>
        <v/>
      </c>
      <c r="F315" s="19" t="str">
        <f aca="false">IF($A315="","",Veri_Guncel!F315)</f>
        <v/>
      </c>
      <c r="G315" s="14" t="str">
        <f aca="false">IF(A315="","",IF(COUNTIF(Ayarlar!$A$15:$A$20,C315)&gt;0,1,0))</f>
        <v/>
      </c>
      <c r="H315" s="14" t="str">
        <f aca="false">IF(A315="","",DATEDIF(E315,Ayarlar!$B$3,"y"))</f>
        <v/>
      </c>
      <c r="I315" s="14" t="str">
        <f aca="false">IF(OR(A315="",F315=""),"",DATEDIF(F315,Ayarlar!$B$3,"y"))</f>
        <v/>
      </c>
      <c r="J315" s="14" t="str">
        <f aca="false">IF(A315="","",IF(H315&lt;1,0,MAX(IF(H315&lt;5,14,IF(H315&lt;15,20,26)),IF(AND(I315&lt;&gt;"",OR(I315&lt;=18,I315&gt;=50)),20,0))))</f>
        <v/>
      </c>
      <c r="K315" s="17" t="str">
        <f aca="false">IF(A315="","",EDATE(E315,12*(H315+1)))</f>
        <v/>
      </c>
      <c r="L315" s="14" t="str">
        <f aca="false">IF(A315="","",K315-Ayarlar!$B$3)</f>
        <v/>
      </c>
      <c r="M315" s="18" t="str">
        <f aca="false">IF(A315="","",Veri_Guncel!H315)</f>
        <v/>
      </c>
      <c r="N315" s="18" t="str">
        <f aca="false">IF(A315="","",IFERROR(INDEX(Veri_Onceki!$H:$H,MATCH(A315,Veri_Onceki!$A:$A,0)),""))</f>
        <v/>
      </c>
      <c r="O315" s="14" t="str">
        <f aca="false">IF(A315="","",IF(AND(H315&gt;=1,EDATE(E315,12*H315)&gt;Ayarlar!$B$4,EDATE(E315,12*H315)&lt;=Ayarlar!$B$3),J315,0))</f>
        <v/>
      </c>
      <c r="P315" s="14" t="str">
        <f aca="false">IF(OR(A315="",N315=""),"",N315+O315-M315)</f>
        <v/>
      </c>
      <c r="Q315" s="16" t="str">
        <f aca="false">IF(A315="","",IF(M315&gt;=Ayarlar!$B$7,"ALARM",IF(M315&gt;=Ayarlar!$B$6,"Planla","")))</f>
        <v/>
      </c>
      <c r="R315" s="14" t="str">
        <f aca="false">IF(A315="","",IF(AND(L315&gt;=0,L315&lt;=Ayarlar!$B$9),"Evet",""))</f>
        <v/>
      </c>
      <c r="S315" s="16" t="str">
        <f aca="false">IF(A315="","",IF(N315="","Yeni personel",IF(P315&lt;0,"Kontrol et","")))</f>
        <v/>
      </c>
      <c r="T315" s="14" t="str">
        <f aca="false">IF(A315="","",IF(AND(G315=1,M315&gt;=Ayarlar!$B$6,OR(Ayarlar!$B$11="Tümü",C315=Ayarlar!$B$11)),M315+ROW()/100000,""))</f>
        <v/>
      </c>
    </row>
    <row r="316" customFormat="false" ht="15" hidden="false" customHeight="false" outlineLevel="0" collapsed="false">
      <c r="A316" s="18" t="str">
        <f aca="false">IF(Veri_Guncel!A316="","",Veri_Guncel!A316)</f>
        <v/>
      </c>
      <c r="B316" s="18" t="str">
        <f aca="false">IF($A316="","",Veri_Guncel!B316)</f>
        <v/>
      </c>
      <c r="C316" s="18" t="str">
        <f aca="false">IF($A316="","",Veri_Guncel!C316)</f>
        <v/>
      </c>
      <c r="D316" s="18" t="str">
        <f aca="false">IF($A316="","",Veri_Guncel!D316)</f>
        <v/>
      </c>
      <c r="E316" s="19" t="str">
        <f aca="false">IF($A316="","",Veri_Guncel!E316)</f>
        <v/>
      </c>
      <c r="F316" s="19" t="str">
        <f aca="false">IF($A316="","",Veri_Guncel!F316)</f>
        <v/>
      </c>
      <c r="G316" s="14" t="str">
        <f aca="false">IF(A316="","",IF(COUNTIF(Ayarlar!$A$15:$A$20,C316)&gt;0,1,0))</f>
        <v/>
      </c>
      <c r="H316" s="14" t="str">
        <f aca="false">IF(A316="","",DATEDIF(E316,Ayarlar!$B$3,"y"))</f>
        <v/>
      </c>
      <c r="I316" s="14" t="str">
        <f aca="false">IF(OR(A316="",F316=""),"",DATEDIF(F316,Ayarlar!$B$3,"y"))</f>
        <v/>
      </c>
      <c r="J316" s="14" t="str">
        <f aca="false">IF(A316="","",IF(H316&lt;1,0,MAX(IF(H316&lt;5,14,IF(H316&lt;15,20,26)),IF(AND(I316&lt;&gt;"",OR(I316&lt;=18,I316&gt;=50)),20,0))))</f>
        <v/>
      </c>
      <c r="K316" s="17" t="str">
        <f aca="false">IF(A316="","",EDATE(E316,12*(H316+1)))</f>
        <v/>
      </c>
      <c r="L316" s="14" t="str">
        <f aca="false">IF(A316="","",K316-Ayarlar!$B$3)</f>
        <v/>
      </c>
      <c r="M316" s="18" t="str">
        <f aca="false">IF(A316="","",Veri_Guncel!H316)</f>
        <v/>
      </c>
      <c r="N316" s="18" t="str">
        <f aca="false">IF(A316="","",IFERROR(INDEX(Veri_Onceki!$H:$H,MATCH(A316,Veri_Onceki!$A:$A,0)),""))</f>
        <v/>
      </c>
      <c r="O316" s="14" t="str">
        <f aca="false">IF(A316="","",IF(AND(H316&gt;=1,EDATE(E316,12*H316)&gt;Ayarlar!$B$4,EDATE(E316,12*H316)&lt;=Ayarlar!$B$3),J316,0))</f>
        <v/>
      </c>
      <c r="P316" s="14" t="str">
        <f aca="false">IF(OR(A316="",N316=""),"",N316+O316-M316)</f>
        <v/>
      </c>
      <c r="Q316" s="16" t="str">
        <f aca="false">IF(A316="","",IF(M316&gt;=Ayarlar!$B$7,"ALARM",IF(M316&gt;=Ayarlar!$B$6,"Planla","")))</f>
        <v/>
      </c>
      <c r="R316" s="14" t="str">
        <f aca="false">IF(A316="","",IF(AND(L316&gt;=0,L316&lt;=Ayarlar!$B$9),"Evet",""))</f>
        <v/>
      </c>
      <c r="S316" s="16" t="str">
        <f aca="false">IF(A316="","",IF(N316="","Yeni personel",IF(P316&lt;0,"Kontrol et","")))</f>
        <v/>
      </c>
      <c r="T316" s="14" t="str">
        <f aca="false">IF(A316="","",IF(AND(G316=1,M316&gt;=Ayarlar!$B$6,OR(Ayarlar!$B$11="Tümü",C316=Ayarlar!$B$11)),M316+ROW()/100000,""))</f>
        <v/>
      </c>
    </row>
    <row r="317" customFormat="false" ht="15" hidden="false" customHeight="false" outlineLevel="0" collapsed="false">
      <c r="A317" s="18" t="str">
        <f aca="false">IF(Veri_Guncel!A317="","",Veri_Guncel!A317)</f>
        <v/>
      </c>
      <c r="B317" s="18" t="str">
        <f aca="false">IF($A317="","",Veri_Guncel!B317)</f>
        <v/>
      </c>
      <c r="C317" s="18" t="str">
        <f aca="false">IF($A317="","",Veri_Guncel!C317)</f>
        <v/>
      </c>
      <c r="D317" s="18" t="str">
        <f aca="false">IF($A317="","",Veri_Guncel!D317)</f>
        <v/>
      </c>
      <c r="E317" s="19" t="str">
        <f aca="false">IF($A317="","",Veri_Guncel!E317)</f>
        <v/>
      </c>
      <c r="F317" s="19" t="str">
        <f aca="false">IF($A317="","",Veri_Guncel!F317)</f>
        <v/>
      </c>
      <c r="G317" s="14" t="str">
        <f aca="false">IF(A317="","",IF(COUNTIF(Ayarlar!$A$15:$A$20,C317)&gt;0,1,0))</f>
        <v/>
      </c>
      <c r="H317" s="14" t="str">
        <f aca="false">IF(A317="","",DATEDIF(E317,Ayarlar!$B$3,"y"))</f>
        <v/>
      </c>
      <c r="I317" s="14" t="str">
        <f aca="false">IF(OR(A317="",F317=""),"",DATEDIF(F317,Ayarlar!$B$3,"y"))</f>
        <v/>
      </c>
      <c r="J317" s="14" t="str">
        <f aca="false">IF(A317="","",IF(H317&lt;1,0,MAX(IF(H317&lt;5,14,IF(H317&lt;15,20,26)),IF(AND(I317&lt;&gt;"",OR(I317&lt;=18,I317&gt;=50)),20,0))))</f>
        <v/>
      </c>
      <c r="K317" s="17" t="str">
        <f aca="false">IF(A317="","",EDATE(E317,12*(H317+1)))</f>
        <v/>
      </c>
      <c r="L317" s="14" t="str">
        <f aca="false">IF(A317="","",K317-Ayarlar!$B$3)</f>
        <v/>
      </c>
      <c r="M317" s="18" t="str">
        <f aca="false">IF(A317="","",Veri_Guncel!H317)</f>
        <v/>
      </c>
      <c r="N317" s="18" t="str">
        <f aca="false">IF(A317="","",IFERROR(INDEX(Veri_Onceki!$H:$H,MATCH(A317,Veri_Onceki!$A:$A,0)),""))</f>
        <v/>
      </c>
      <c r="O317" s="14" t="str">
        <f aca="false">IF(A317="","",IF(AND(H317&gt;=1,EDATE(E317,12*H317)&gt;Ayarlar!$B$4,EDATE(E317,12*H317)&lt;=Ayarlar!$B$3),J317,0))</f>
        <v/>
      </c>
      <c r="P317" s="14" t="str">
        <f aca="false">IF(OR(A317="",N317=""),"",N317+O317-M317)</f>
        <v/>
      </c>
      <c r="Q317" s="16" t="str">
        <f aca="false">IF(A317="","",IF(M317&gt;=Ayarlar!$B$7,"ALARM",IF(M317&gt;=Ayarlar!$B$6,"Planla","")))</f>
        <v/>
      </c>
      <c r="R317" s="14" t="str">
        <f aca="false">IF(A317="","",IF(AND(L317&gt;=0,L317&lt;=Ayarlar!$B$9),"Evet",""))</f>
        <v/>
      </c>
      <c r="S317" s="16" t="str">
        <f aca="false">IF(A317="","",IF(N317="","Yeni personel",IF(P317&lt;0,"Kontrol et","")))</f>
        <v/>
      </c>
      <c r="T317" s="14" t="str">
        <f aca="false">IF(A317="","",IF(AND(G317=1,M317&gt;=Ayarlar!$B$6,OR(Ayarlar!$B$11="Tümü",C317=Ayarlar!$B$11)),M317+ROW()/100000,""))</f>
        <v/>
      </c>
    </row>
    <row r="318" customFormat="false" ht="15" hidden="false" customHeight="false" outlineLevel="0" collapsed="false">
      <c r="A318" s="18" t="str">
        <f aca="false">IF(Veri_Guncel!A318="","",Veri_Guncel!A318)</f>
        <v/>
      </c>
      <c r="B318" s="18" t="str">
        <f aca="false">IF($A318="","",Veri_Guncel!B318)</f>
        <v/>
      </c>
      <c r="C318" s="18" t="str">
        <f aca="false">IF($A318="","",Veri_Guncel!C318)</f>
        <v/>
      </c>
      <c r="D318" s="18" t="str">
        <f aca="false">IF($A318="","",Veri_Guncel!D318)</f>
        <v/>
      </c>
      <c r="E318" s="19" t="str">
        <f aca="false">IF($A318="","",Veri_Guncel!E318)</f>
        <v/>
      </c>
      <c r="F318" s="19" t="str">
        <f aca="false">IF($A318="","",Veri_Guncel!F318)</f>
        <v/>
      </c>
      <c r="G318" s="14" t="str">
        <f aca="false">IF(A318="","",IF(COUNTIF(Ayarlar!$A$15:$A$20,C318)&gt;0,1,0))</f>
        <v/>
      </c>
      <c r="H318" s="14" t="str">
        <f aca="false">IF(A318="","",DATEDIF(E318,Ayarlar!$B$3,"y"))</f>
        <v/>
      </c>
      <c r="I318" s="14" t="str">
        <f aca="false">IF(OR(A318="",F318=""),"",DATEDIF(F318,Ayarlar!$B$3,"y"))</f>
        <v/>
      </c>
      <c r="J318" s="14" t="str">
        <f aca="false">IF(A318="","",IF(H318&lt;1,0,MAX(IF(H318&lt;5,14,IF(H318&lt;15,20,26)),IF(AND(I318&lt;&gt;"",OR(I318&lt;=18,I318&gt;=50)),20,0))))</f>
        <v/>
      </c>
      <c r="K318" s="17" t="str">
        <f aca="false">IF(A318="","",EDATE(E318,12*(H318+1)))</f>
        <v/>
      </c>
      <c r="L318" s="14" t="str">
        <f aca="false">IF(A318="","",K318-Ayarlar!$B$3)</f>
        <v/>
      </c>
      <c r="M318" s="18" t="str">
        <f aca="false">IF(A318="","",Veri_Guncel!H318)</f>
        <v/>
      </c>
      <c r="N318" s="18" t="str">
        <f aca="false">IF(A318="","",IFERROR(INDEX(Veri_Onceki!$H:$H,MATCH(A318,Veri_Onceki!$A:$A,0)),""))</f>
        <v/>
      </c>
      <c r="O318" s="14" t="str">
        <f aca="false">IF(A318="","",IF(AND(H318&gt;=1,EDATE(E318,12*H318)&gt;Ayarlar!$B$4,EDATE(E318,12*H318)&lt;=Ayarlar!$B$3),J318,0))</f>
        <v/>
      </c>
      <c r="P318" s="14" t="str">
        <f aca="false">IF(OR(A318="",N318=""),"",N318+O318-M318)</f>
        <v/>
      </c>
      <c r="Q318" s="16" t="str">
        <f aca="false">IF(A318="","",IF(M318&gt;=Ayarlar!$B$7,"ALARM",IF(M318&gt;=Ayarlar!$B$6,"Planla","")))</f>
        <v/>
      </c>
      <c r="R318" s="14" t="str">
        <f aca="false">IF(A318="","",IF(AND(L318&gt;=0,L318&lt;=Ayarlar!$B$9),"Evet",""))</f>
        <v/>
      </c>
      <c r="S318" s="16" t="str">
        <f aca="false">IF(A318="","",IF(N318="","Yeni personel",IF(P318&lt;0,"Kontrol et","")))</f>
        <v/>
      </c>
      <c r="T318" s="14" t="str">
        <f aca="false">IF(A318="","",IF(AND(G318=1,M318&gt;=Ayarlar!$B$6,OR(Ayarlar!$B$11="Tümü",C318=Ayarlar!$B$11)),M318+ROW()/100000,""))</f>
        <v/>
      </c>
    </row>
    <row r="319" customFormat="false" ht="15" hidden="false" customHeight="false" outlineLevel="0" collapsed="false">
      <c r="A319" s="18" t="str">
        <f aca="false">IF(Veri_Guncel!A319="","",Veri_Guncel!A319)</f>
        <v/>
      </c>
      <c r="B319" s="18" t="str">
        <f aca="false">IF($A319="","",Veri_Guncel!B319)</f>
        <v/>
      </c>
      <c r="C319" s="18" t="str">
        <f aca="false">IF($A319="","",Veri_Guncel!C319)</f>
        <v/>
      </c>
      <c r="D319" s="18" t="str">
        <f aca="false">IF($A319="","",Veri_Guncel!D319)</f>
        <v/>
      </c>
      <c r="E319" s="19" t="str">
        <f aca="false">IF($A319="","",Veri_Guncel!E319)</f>
        <v/>
      </c>
      <c r="F319" s="19" t="str">
        <f aca="false">IF($A319="","",Veri_Guncel!F319)</f>
        <v/>
      </c>
      <c r="G319" s="14" t="str">
        <f aca="false">IF(A319="","",IF(COUNTIF(Ayarlar!$A$15:$A$20,C319)&gt;0,1,0))</f>
        <v/>
      </c>
      <c r="H319" s="14" t="str">
        <f aca="false">IF(A319="","",DATEDIF(E319,Ayarlar!$B$3,"y"))</f>
        <v/>
      </c>
      <c r="I319" s="14" t="str">
        <f aca="false">IF(OR(A319="",F319=""),"",DATEDIF(F319,Ayarlar!$B$3,"y"))</f>
        <v/>
      </c>
      <c r="J319" s="14" t="str">
        <f aca="false">IF(A319="","",IF(H319&lt;1,0,MAX(IF(H319&lt;5,14,IF(H319&lt;15,20,26)),IF(AND(I319&lt;&gt;"",OR(I319&lt;=18,I319&gt;=50)),20,0))))</f>
        <v/>
      </c>
      <c r="K319" s="17" t="str">
        <f aca="false">IF(A319="","",EDATE(E319,12*(H319+1)))</f>
        <v/>
      </c>
      <c r="L319" s="14" t="str">
        <f aca="false">IF(A319="","",K319-Ayarlar!$B$3)</f>
        <v/>
      </c>
      <c r="M319" s="18" t="str">
        <f aca="false">IF(A319="","",Veri_Guncel!H319)</f>
        <v/>
      </c>
      <c r="N319" s="18" t="str">
        <f aca="false">IF(A319="","",IFERROR(INDEX(Veri_Onceki!$H:$H,MATCH(A319,Veri_Onceki!$A:$A,0)),""))</f>
        <v/>
      </c>
      <c r="O319" s="14" t="str">
        <f aca="false">IF(A319="","",IF(AND(H319&gt;=1,EDATE(E319,12*H319)&gt;Ayarlar!$B$4,EDATE(E319,12*H319)&lt;=Ayarlar!$B$3),J319,0))</f>
        <v/>
      </c>
      <c r="P319" s="14" t="str">
        <f aca="false">IF(OR(A319="",N319=""),"",N319+O319-M319)</f>
        <v/>
      </c>
      <c r="Q319" s="16" t="str">
        <f aca="false">IF(A319="","",IF(M319&gt;=Ayarlar!$B$7,"ALARM",IF(M319&gt;=Ayarlar!$B$6,"Planla","")))</f>
        <v/>
      </c>
      <c r="R319" s="14" t="str">
        <f aca="false">IF(A319="","",IF(AND(L319&gt;=0,L319&lt;=Ayarlar!$B$9),"Evet",""))</f>
        <v/>
      </c>
      <c r="S319" s="16" t="str">
        <f aca="false">IF(A319="","",IF(N319="","Yeni personel",IF(P319&lt;0,"Kontrol et","")))</f>
        <v/>
      </c>
      <c r="T319" s="14" t="str">
        <f aca="false">IF(A319="","",IF(AND(G319=1,M319&gt;=Ayarlar!$B$6,OR(Ayarlar!$B$11="Tümü",C319=Ayarlar!$B$11)),M319+ROW()/100000,""))</f>
        <v/>
      </c>
    </row>
    <row r="320" customFormat="false" ht="15" hidden="false" customHeight="false" outlineLevel="0" collapsed="false">
      <c r="A320" s="18" t="str">
        <f aca="false">IF(Veri_Guncel!A320="","",Veri_Guncel!A320)</f>
        <v/>
      </c>
      <c r="B320" s="18" t="str">
        <f aca="false">IF($A320="","",Veri_Guncel!B320)</f>
        <v/>
      </c>
      <c r="C320" s="18" t="str">
        <f aca="false">IF($A320="","",Veri_Guncel!C320)</f>
        <v/>
      </c>
      <c r="D320" s="18" t="str">
        <f aca="false">IF($A320="","",Veri_Guncel!D320)</f>
        <v/>
      </c>
      <c r="E320" s="19" t="str">
        <f aca="false">IF($A320="","",Veri_Guncel!E320)</f>
        <v/>
      </c>
      <c r="F320" s="19" t="str">
        <f aca="false">IF($A320="","",Veri_Guncel!F320)</f>
        <v/>
      </c>
      <c r="G320" s="14" t="str">
        <f aca="false">IF(A320="","",IF(COUNTIF(Ayarlar!$A$15:$A$20,C320)&gt;0,1,0))</f>
        <v/>
      </c>
      <c r="H320" s="14" t="str">
        <f aca="false">IF(A320="","",DATEDIF(E320,Ayarlar!$B$3,"y"))</f>
        <v/>
      </c>
      <c r="I320" s="14" t="str">
        <f aca="false">IF(OR(A320="",F320=""),"",DATEDIF(F320,Ayarlar!$B$3,"y"))</f>
        <v/>
      </c>
      <c r="J320" s="14" t="str">
        <f aca="false">IF(A320="","",IF(H320&lt;1,0,MAX(IF(H320&lt;5,14,IF(H320&lt;15,20,26)),IF(AND(I320&lt;&gt;"",OR(I320&lt;=18,I320&gt;=50)),20,0))))</f>
        <v/>
      </c>
      <c r="K320" s="17" t="str">
        <f aca="false">IF(A320="","",EDATE(E320,12*(H320+1)))</f>
        <v/>
      </c>
      <c r="L320" s="14" t="str">
        <f aca="false">IF(A320="","",K320-Ayarlar!$B$3)</f>
        <v/>
      </c>
      <c r="M320" s="18" t="str">
        <f aca="false">IF(A320="","",Veri_Guncel!H320)</f>
        <v/>
      </c>
      <c r="N320" s="18" t="str">
        <f aca="false">IF(A320="","",IFERROR(INDEX(Veri_Onceki!$H:$H,MATCH(A320,Veri_Onceki!$A:$A,0)),""))</f>
        <v/>
      </c>
      <c r="O320" s="14" t="str">
        <f aca="false">IF(A320="","",IF(AND(H320&gt;=1,EDATE(E320,12*H320)&gt;Ayarlar!$B$4,EDATE(E320,12*H320)&lt;=Ayarlar!$B$3),J320,0))</f>
        <v/>
      </c>
      <c r="P320" s="14" t="str">
        <f aca="false">IF(OR(A320="",N320=""),"",N320+O320-M320)</f>
        <v/>
      </c>
      <c r="Q320" s="16" t="str">
        <f aca="false">IF(A320="","",IF(M320&gt;=Ayarlar!$B$7,"ALARM",IF(M320&gt;=Ayarlar!$B$6,"Planla","")))</f>
        <v/>
      </c>
      <c r="R320" s="14" t="str">
        <f aca="false">IF(A320="","",IF(AND(L320&gt;=0,L320&lt;=Ayarlar!$B$9),"Evet",""))</f>
        <v/>
      </c>
      <c r="S320" s="16" t="str">
        <f aca="false">IF(A320="","",IF(N320="","Yeni personel",IF(P320&lt;0,"Kontrol et","")))</f>
        <v/>
      </c>
      <c r="T320" s="14" t="str">
        <f aca="false">IF(A320="","",IF(AND(G320=1,M320&gt;=Ayarlar!$B$6,OR(Ayarlar!$B$11="Tümü",C320=Ayarlar!$B$11)),M320+ROW()/100000,""))</f>
        <v/>
      </c>
    </row>
    <row r="321" customFormat="false" ht="15" hidden="false" customHeight="false" outlineLevel="0" collapsed="false">
      <c r="A321" s="18" t="str">
        <f aca="false">IF(Veri_Guncel!A321="","",Veri_Guncel!A321)</f>
        <v/>
      </c>
      <c r="B321" s="18" t="str">
        <f aca="false">IF($A321="","",Veri_Guncel!B321)</f>
        <v/>
      </c>
      <c r="C321" s="18" t="str">
        <f aca="false">IF($A321="","",Veri_Guncel!C321)</f>
        <v/>
      </c>
      <c r="D321" s="18" t="str">
        <f aca="false">IF($A321="","",Veri_Guncel!D321)</f>
        <v/>
      </c>
      <c r="E321" s="19" t="str">
        <f aca="false">IF($A321="","",Veri_Guncel!E321)</f>
        <v/>
      </c>
      <c r="F321" s="19" t="str">
        <f aca="false">IF($A321="","",Veri_Guncel!F321)</f>
        <v/>
      </c>
      <c r="G321" s="14" t="str">
        <f aca="false">IF(A321="","",IF(COUNTIF(Ayarlar!$A$15:$A$20,C321)&gt;0,1,0))</f>
        <v/>
      </c>
      <c r="H321" s="14" t="str">
        <f aca="false">IF(A321="","",DATEDIF(E321,Ayarlar!$B$3,"y"))</f>
        <v/>
      </c>
      <c r="I321" s="14" t="str">
        <f aca="false">IF(OR(A321="",F321=""),"",DATEDIF(F321,Ayarlar!$B$3,"y"))</f>
        <v/>
      </c>
      <c r="J321" s="14" t="str">
        <f aca="false">IF(A321="","",IF(H321&lt;1,0,MAX(IF(H321&lt;5,14,IF(H321&lt;15,20,26)),IF(AND(I321&lt;&gt;"",OR(I321&lt;=18,I321&gt;=50)),20,0))))</f>
        <v/>
      </c>
      <c r="K321" s="17" t="str">
        <f aca="false">IF(A321="","",EDATE(E321,12*(H321+1)))</f>
        <v/>
      </c>
      <c r="L321" s="14" t="str">
        <f aca="false">IF(A321="","",K321-Ayarlar!$B$3)</f>
        <v/>
      </c>
      <c r="M321" s="18" t="str">
        <f aca="false">IF(A321="","",Veri_Guncel!H321)</f>
        <v/>
      </c>
      <c r="N321" s="18" t="str">
        <f aca="false">IF(A321="","",IFERROR(INDEX(Veri_Onceki!$H:$H,MATCH(A321,Veri_Onceki!$A:$A,0)),""))</f>
        <v/>
      </c>
      <c r="O321" s="14" t="str">
        <f aca="false">IF(A321="","",IF(AND(H321&gt;=1,EDATE(E321,12*H321)&gt;Ayarlar!$B$4,EDATE(E321,12*H321)&lt;=Ayarlar!$B$3),J321,0))</f>
        <v/>
      </c>
      <c r="P321" s="14" t="str">
        <f aca="false">IF(OR(A321="",N321=""),"",N321+O321-M321)</f>
        <v/>
      </c>
      <c r="Q321" s="16" t="str">
        <f aca="false">IF(A321="","",IF(M321&gt;=Ayarlar!$B$7,"ALARM",IF(M321&gt;=Ayarlar!$B$6,"Planla","")))</f>
        <v/>
      </c>
      <c r="R321" s="14" t="str">
        <f aca="false">IF(A321="","",IF(AND(L321&gt;=0,L321&lt;=Ayarlar!$B$9),"Evet",""))</f>
        <v/>
      </c>
      <c r="S321" s="16" t="str">
        <f aca="false">IF(A321="","",IF(N321="","Yeni personel",IF(P321&lt;0,"Kontrol et","")))</f>
        <v/>
      </c>
      <c r="T321" s="14" t="str">
        <f aca="false">IF(A321="","",IF(AND(G321=1,M321&gt;=Ayarlar!$B$6,OR(Ayarlar!$B$11="Tümü",C321=Ayarlar!$B$11)),M321+ROW()/100000,""))</f>
        <v/>
      </c>
    </row>
    <row r="322" customFormat="false" ht="15" hidden="false" customHeight="false" outlineLevel="0" collapsed="false">
      <c r="A322" s="18" t="str">
        <f aca="false">IF(Veri_Guncel!A322="","",Veri_Guncel!A322)</f>
        <v/>
      </c>
      <c r="B322" s="18" t="str">
        <f aca="false">IF($A322="","",Veri_Guncel!B322)</f>
        <v/>
      </c>
      <c r="C322" s="18" t="str">
        <f aca="false">IF($A322="","",Veri_Guncel!C322)</f>
        <v/>
      </c>
      <c r="D322" s="18" t="str">
        <f aca="false">IF($A322="","",Veri_Guncel!D322)</f>
        <v/>
      </c>
      <c r="E322" s="19" t="str">
        <f aca="false">IF($A322="","",Veri_Guncel!E322)</f>
        <v/>
      </c>
      <c r="F322" s="19" t="str">
        <f aca="false">IF($A322="","",Veri_Guncel!F322)</f>
        <v/>
      </c>
      <c r="G322" s="14" t="str">
        <f aca="false">IF(A322="","",IF(COUNTIF(Ayarlar!$A$15:$A$20,C322)&gt;0,1,0))</f>
        <v/>
      </c>
      <c r="H322" s="14" t="str">
        <f aca="false">IF(A322="","",DATEDIF(E322,Ayarlar!$B$3,"y"))</f>
        <v/>
      </c>
      <c r="I322" s="14" t="str">
        <f aca="false">IF(OR(A322="",F322=""),"",DATEDIF(F322,Ayarlar!$B$3,"y"))</f>
        <v/>
      </c>
      <c r="J322" s="14" t="str">
        <f aca="false">IF(A322="","",IF(H322&lt;1,0,MAX(IF(H322&lt;5,14,IF(H322&lt;15,20,26)),IF(AND(I322&lt;&gt;"",OR(I322&lt;=18,I322&gt;=50)),20,0))))</f>
        <v/>
      </c>
      <c r="K322" s="17" t="str">
        <f aca="false">IF(A322="","",EDATE(E322,12*(H322+1)))</f>
        <v/>
      </c>
      <c r="L322" s="14" t="str">
        <f aca="false">IF(A322="","",K322-Ayarlar!$B$3)</f>
        <v/>
      </c>
      <c r="M322" s="18" t="str">
        <f aca="false">IF(A322="","",Veri_Guncel!H322)</f>
        <v/>
      </c>
      <c r="N322" s="18" t="str">
        <f aca="false">IF(A322="","",IFERROR(INDEX(Veri_Onceki!$H:$H,MATCH(A322,Veri_Onceki!$A:$A,0)),""))</f>
        <v/>
      </c>
      <c r="O322" s="14" t="str">
        <f aca="false">IF(A322="","",IF(AND(H322&gt;=1,EDATE(E322,12*H322)&gt;Ayarlar!$B$4,EDATE(E322,12*H322)&lt;=Ayarlar!$B$3),J322,0))</f>
        <v/>
      </c>
      <c r="P322" s="14" t="str">
        <f aca="false">IF(OR(A322="",N322=""),"",N322+O322-M322)</f>
        <v/>
      </c>
      <c r="Q322" s="16" t="str">
        <f aca="false">IF(A322="","",IF(M322&gt;=Ayarlar!$B$7,"ALARM",IF(M322&gt;=Ayarlar!$B$6,"Planla","")))</f>
        <v/>
      </c>
      <c r="R322" s="14" t="str">
        <f aca="false">IF(A322="","",IF(AND(L322&gt;=0,L322&lt;=Ayarlar!$B$9),"Evet",""))</f>
        <v/>
      </c>
      <c r="S322" s="16" t="str">
        <f aca="false">IF(A322="","",IF(N322="","Yeni personel",IF(P322&lt;0,"Kontrol et","")))</f>
        <v/>
      </c>
      <c r="T322" s="14" t="str">
        <f aca="false">IF(A322="","",IF(AND(G322=1,M322&gt;=Ayarlar!$B$6,OR(Ayarlar!$B$11="Tümü",C322=Ayarlar!$B$11)),M322+ROW()/100000,""))</f>
        <v/>
      </c>
    </row>
    <row r="323" customFormat="false" ht="15" hidden="false" customHeight="false" outlineLevel="0" collapsed="false">
      <c r="A323" s="18" t="str">
        <f aca="false">IF(Veri_Guncel!A323="","",Veri_Guncel!A323)</f>
        <v/>
      </c>
      <c r="B323" s="18" t="str">
        <f aca="false">IF($A323="","",Veri_Guncel!B323)</f>
        <v/>
      </c>
      <c r="C323" s="18" t="str">
        <f aca="false">IF($A323="","",Veri_Guncel!C323)</f>
        <v/>
      </c>
      <c r="D323" s="18" t="str">
        <f aca="false">IF($A323="","",Veri_Guncel!D323)</f>
        <v/>
      </c>
      <c r="E323" s="19" t="str">
        <f aca="false">IF($A323="","",Veri_Guncel!E323)</f>
        <v/>
      </c>
      <c r="F323" s="19" t="str">
        <f aca="false">IF($A323="","",Veri_Guncel!F323)</f>
        <v/>
      </c>
      <c r="G323" s="14" t="str">
        <f aca="false">IF(A323="","",IF(COUNTIF(Ayarlar!$A$15:$A$20,C323)&gt;0,1,0))</f>
        <v/>
      </c>
      <c r="H323" s="14" t="str">
        <f aca="false">IF(A323="","",DATEDIF(E323,Ayarlar!$B$3,"y"))</f>
        <v/>
      </c>
      <c r="I323" s="14" t="str">
        <f aca="false">IF(OR(A323="",F323=""),"",DATEDIF(F323,Ayarlar!$B$3,"y"))</f>
        <v/>
      </c>
      <c r="J323" s="14" t="str">
        <f aca="false">IF(A323="","",IF(H323&lt;1,0,MAX(IF(H323&lt;5,14,IF(H323&lt;15,20,26)),IF(AND(I323&lt;&gt;"",OR(I323&lt;=18,I323&gt;=50)),20,0))))</f>
        <v/>
      </c>
      <c r="K323" s="17" t="str">
        <f aca="false">IF(A323="","",EDATE(E323,12*(H323+1)))</f>
        <v/>
      </c>
      <c r="L323" s="14" t="str">
        <f aca="false">IF(A323="","",K323-Ayarlar!$B$3)</f>
        <v/>
      </c>
      <c r="M323" s="18" t="str">
        <f aca="false">IF(A323="","",Veri_Guncel!H323)</f>
        <v/>
      </c>
      <c r="N323" s="18" t="str">
        <f aca="false">IF(A323="","",IFERROR(INDEX(Veri_Onceki!$H:$H,MATCH(A323,Veri_Onceki!$A:$A,0)),""))</f>
        <v/>
      </c>
      <c r="O323" s="14" t="str">
        <f aca="false">IF(A323="","",IF(AND(H323&gt;=1,EDATE(E323,12*H323)&gt;Ayarlar!$B$4,EDATE(E323,12*H323)&lt;=Ayarlar!$B$3),J323,0))</f>
        <v/>
      </c>
      <c r="P323" s="14" t="str">
        <f aca="false">IF(OR(A323="",N323=""),"",N323+O323-M323)</f>
        <v/>
      </c>
      <c r="Q323" s="16" t="str">
        <f aca="false">IF(A323="","",IF(M323&gt;=Ayarlar!$B$7,"ALARM",IF(M323&gt;=Ayarlar!$B$6,"Planla","")))</f>
        <v/>
      </c>
      <c r="R323" s="14" t="str">
        <f aca="false">IF(A323="","",IF(AND(L323&gt;=0,L323&lt;=Ayarlar!$B$9),"Evet",""))</f>
        <v/>
      </c>
      <c r="S323" s="16" t="str">
        <f aca="false">IF(A323="","",IF(N323="","Yeni personel",IF(P323&lt;0,"Kontrol et","")))</f>
        <v/>
      </c>
      <c r="T323" s="14" t="str">
        <f aca="false">IF(A323="","",IF(AND(G323=1,M323&gt;=Ayarlar!$B$6,OR(Ayarlar!$B$11="Tümü",C323=Ayarlar!$B$11)),M323+ROW()/100000,""))</f>
        <v/>
      </c>
    </row>
    <row r="324" customFormat="false" ht="15" hidden="false" customHeight="false" outlineLevel="0" collapsed="false">
      <c r="A324" s="18" t="str">
        <f aca="false">IF(Veri_Guncel!A324="","",Veri_Guncel!A324)</f>
        <v/>
      </c>
      <c r="B324" s="18" t="str">
        <f aca="false">IF($A324="","",Veri_Guncel!B324)</f>
        <v/>
      </c>
      <c r="C324" s="18" t="str">
        <f aca="false">IF($A324="","",Veri_Guncel!C324)</f>
        <v/>
      </c>
      <c r="D324" s="18" t="str">
        <f aca="false">IF($A324="","",Veri_Guncel!D324)</f>
        <v/>
      </c>
      <c r="E324" s="19" t="str">
        <f aca="false">IF($A324="","",Veri_Guncel!E324)</f>
        <v/>
      </c>
      <c r="F324" s="19" t="str">
        <f aca="false">IF($A324="","",Veri_Guncel!F324)</f>
        <v/>
      </c>
      <c r="G324" s="14" t="str">
        <f aca="false">IF(A324="","",IF(COUNTIF(Ayarlar!$A$15:$A$20,C324)&gt;0,1,0))</f>
        <v/>
      </c>
      <c r="H324" s="14" t="str">
        <f aca="false">IF(A324="","",DATEDIF(E324,Ayarlar!$B$3,"y"))</f>
        <v/>
      </c>
      <c r="I324" s="14" t="str">
        <f aca="false">IF(OR(A324="",F324=""),"",DATEDIF(F324,Ayarlar!$B$3,"y"))</f>
        <v/>
      </c>
      <c r="J324" s="14" t="str">
        <f aca="false">IF(A324="","",IF(H324&lt;1,0,MAX(IF(H324&lt;5,14,IF(H324&lt;15,20,26)),IF(AND(I324&lt;&gt;"",OR(I324&lt;=18,I324&gt;=50)),20,0))))</f>
        <v/>
      </c>
      <c r="K324" s="17" t="str">
        <f aca="false">IF(A324="","",EDATE(E324,12*(H324+1)))</f>
        <v/>
      </c>
      <c r="L324" s="14" t="str">
        <f aca="false">IF(A324="","",K324-Ayarlar!$B$3)</f>
        <v/>
      </c>
      <c r="M324" s="18" t="str">
        <f aca="false">IF(A324="","",Veri_Guncel!H324)</f>
        <v/>
      </c>
      <c r="N324" s="18" t="str">
        <f aca="false">IF(A324="","",IFERROR(INDEX(Veri_Onceki!$H:$H,MATCH(A324,Veri_Onceki!$A:$A,0)),""))</f>
        <v/>
      </c>
      <c r="O324" s="14" t="str">
        <f aca="false">IF(A324="","",IF(AND(H324&gt;=1,EDATE(E324,12*H324)&gt;Ayarlar!$B$4,EDATE(E324,12*H324)&lt;=Ayarlar!$B$3),J324,0))</f>
        <v/>
      </c>
      <c r="P324" s="14" t="str">
        <f aca="false">IF(OR(A324="",N324=""),"",N324+O324-M324)</f>
        <v/>
      </c>
      <c r="Q324" s="16" t="str">
        <f aca="false">IF(A324="","",IF(M324&gt;=Ayarlar!$B$7,"ALARM",IF(M324&gt;=Ayarlar!$B$6,"Planla","")))</f>
        <v/>
      </c>
      <c r="R324" s="14" t="str">
        <f aca="false">IF(A324="","",IF(AND(L324&gt;=0,L324&lt;=Ayarlar!$B$9),"Evet",""))</f>
        <v/>
      </c>
      <c r="S324" s="16" t="str">
        <f aca="false">IF(A324="","",IF(N324="","Yeni personel",IF(P324&lt;0,"Kontrol et","")))</f>
        <v/>
      </c>
      <c r="T324" s="14" t="str">
        <f aca="false">IF(A324="","",IF(AND(G324=1,M324&gt;=Ayarlar!$B$6,OR(Ayarlar!$B$11="Tümü",C324=Ayarlar!$B$11)),M324+ROW()/100000,""))</f>
        <v/>
      </c>
    </row>
    <row r="325" customFormat="false" ht="15" hidden="false" customHeight="false" outlineLevel="0" collapsed="false">
      <c r="A325" s="18" t="str">
        <f aca="false">IF(Veri_Guncel!A325="","",Veri_Guncel!A325)</f>
        <v/>
      </c>
      <c r="B325" s="18" t="str">
        <f aca="false">IF($A325="","",Veri_Guncel!B325)</f>
        <v/>
      </c>
      <c r="C325" s="18" t="str">
        <f aca="false">IF($A325="","",Veri_Guncel!C325)</f>
        <v/>
      </c>
      <c r="D325" s="18" t="str">
        <f aca="false">IF($A325="","",Veri_Guncel!D325)</f>
        <v/>
      </c>
      <c r="E325" s="19" t="str">
        <f aca="false">IF($A325="","",Veri_Guncel!E325)</f>
        <v/>
      </c>
      <c r="F325" s="19" t="str">
        <f aca="false">IF($A325="","",Veri_Guncel!F325)</f>
        <v/>
      </c>
      <c r="G325" s="14" t="str">
        <f aca="false">IF(A325="","",IF(COUNTIF(Ayarlar!$A$15:$A$20,C325)&gt;0,1,0))</f>
        <v/>
      </c>
      <c r="H325" s="14" t="str">
        <f aca="false">IF(A325="","",DATEDIF(E325,Ayarlar!$B$3,"y"))</f>
        <v/>
      </c>
      <c r="I325" s="14" t="str">
        <f aca="false">IF(OR(A325="",F325=""),"",DATEDIF(F325,Ayarlar!$B$3,"y"))</f>
        <v/>
      </c>
      <c r="J325" s="14" t="str">
        <f aca="false">IF(A325="","",IF(H325&lt;1,0,MAX(IF(H325&lt;5,14,IF(H325&lt;15,20,26)),IF(AND(I325&lt;&gt;"",OR(I325&lt;=18,I325&gt;=50)),20,0))))</f>
        <v/>
      </c>
      <c r="K325" s="17" t="str">
        <f aca="false">IF(A325="","",EDATE(E325,12*(H325+1)))</f>
        <v/>
      </c>
      <c r="L325" s="14" t="str">
        <f aca="false">IF(A325="","",K325-Ayarlar!$B$3)</f>
        <v/>
      </c>
      <c r="M325" s="18" t="str">
        <f aca="false">IF(A325="","",Veri_Guncel!H325)</f>
        <v/>
      </c>
      <c r="N325" s="18" t="str">
        <f aca="false">IF(A325="","",IFERROR(INDEX(Veri_Onceki!$H:$H,MATCH(A325,Veri_Onceki!$A:$A,0)),""))</f>
        <v/>
      </c>
      <c r="O325" s="14" t="str">
        <f aca="false">IF(A325="","",IF(AND(H325&gt;=1,EDATE(E325,12*H325)&gt;Ayarlar!$B$4,EDATE(E325,12*H325)&lt;=Ayarlar!$B$3),J325,0))</f>
        <v/>
      </c>
      <c r="P325" s="14" t="str">
        <f aca="false">IF(OR(A325="",N325=""),"",N325+O325-M325)</f>
        <v/>
      </c>
      <c r="Q325" s="16" t="str">
        <f aca="false">IF(A325="","",IF(M325&gt;=Ayarlar!$B$7,"ALARM",IF(M325&gt;=Ayarlar!$B$6,"Planla","")))</f>
        <v/>
      </c>
      <c r="R325" s="14" t="str">
        <f aca="false">IF(A325="","",IF(AND(L325&gt;=0,L325&lt;=Ayarlar!$B$9),"Evet",""))</f>
        <v/>
      </c>
      <c r="S325" s="16" t="str">
        <f aca="false">IF(A325="","",IF(N325="","Yeni personel",IF(P325&lt;0,"Kontrol et","")))</f>
        <v/>
      </c>
      <c r="T325" s="14" t="str">
        <f aca="false">IF(A325="","",IF(AND(G325=1,M325&gt;=Ayarlar!$B$6,OR(Ayarlar!$B$11="Tümü",C325=Ayarlar!$B$11)),M325+ROW()/100000,""))</f>
        <v/>
      </c>
    </row>
    <row r="326" customFormat="false" ht="15" hidden="false" customHeight="false" outlineLevel="0" collapsed="false">
      <c r="A326" s="18" t="str">
        <f aca="false">IF(Veri_Guncel!A326="","",Veri_Guncel!A326)</f>
        <v/>
      </c>
      <c r="B326" s="18" t="str">
        <f aca="false">IF($A326="","",Veri_Guncel!B326)</f>
        <v/>
      </c>
      <c r="C326" s="18" t="str">
        <f aca="false">IF($A326="","",Veri_Guncel!C326)</f>
        <v/>
      </c>
      <c r="D326" s="18" t="str">
        <f aca="false">IF($A326="","",Veri_Guncel!D326)</f>
        <v/>
      </c>
      <c r="E326" s="19" t="str">
        <f aca="false">IF($A326="","",Veri_Guncel!E326)</f>
        <v/>
      </c>
      <c r="F326" s="19" t="str">
        <f aca="false">IF($A326="","",Veri_Guncel!F326)</f>
        <v/>
      </c>
      <c r="G326" s="14" t="str">
        <f aca="false">IF(A326="","",IF(COUNTIF(Ayarlar!$A$15:$A$20,C326)&gt;0,1,0))</f>
        <v/>
      </c>
      <c r="H326" s="14" t="str">
        <f aca="false">IF(A326="","",DATEDIF(E326,Ayarlar!$B$3,"y"))</f>
        <v/>
      </c>
      <c r="I326" s="14" t="str">
        <f aca="false">IF(OR(A326="",F326=""),"",DATEDIF(F326,Ayarlar!$B$3,"y"))</f>
        <v/>
      </c>
      <c r="J326" s="14" t="str">
        <f aca="false">IF(A326="","",IF(H326&lt;1,0,MAX(IF(H326&lt;5,14,IF(H326&lt;15,20,26)),IF(AND(I326&lt;&gt;"",OR(I326&lt;=18,I326&gt;=50)),20,0))))</f>
        <v/>
      </c>
      <c r="K326" s="17" t="str">
        <f aca="false">IF(A326="","",EDATE(E326,12*(H326+1)))</f>
        <v/>
      </c>
      <c r="L326" s="14" t="str">
        <f aca="false">IF(A326="","",K326-Ayarlar!$B$3)</f>
        <v/>
      </c>
      <c r="M326" s="18" t="str">
        <f aca="false">IF(A326="","",Veri_Guncel!H326)</f>
        <v/>
      </c>
      <c r="N326" s="18" t="str">
        <f aca="false">IF(A326="","",IFERROR(INDEX(Veri_Onceki!$H:$H,MATCH(A326,Veri_Onceki!$A:$A,0)),""))</f>
        <v/>
      </c>
      <c r="O326" s="14" t="str">
        <f aca="false">IF(A326="","",IF(AND(H326&gt;=1,EDATE(E326,12*H326)&gt;Ayarlar!$B$4,EDATE(E326,12*H326)&lt;=Ayarlar!$B$3),J326,0))</f>
        <v/>
      </c>
      <c r="P326" s="14" t="str">
        <f aca="false">IF(OR(A326="",N326=""),"",N326+O326-M326)</f>
        <v/>
      </c>
      <c r="Q326" s="16" t="str">
        <f aca="false">IF(A326="","",IF(M326&gt;=Ayarlar!$B$7,"ALARM",IF(M326&gt;=Ayarlar!$B$6,"Planla","")))</f>
        <v/>
      </c>
      <c r="R326" s="14" t="str">
        <f aca="false">IF(A326="","",IF(AND(L326&gt;=0,L326&lt;=Ayarlar!$B$9),"Evet",""))</f>
        <v/>
      </c>
      <c r="S326" s="16" t="str">
        <f aca="false">IF(A326="","",IF(N326="","Yeni personel",IF(P326&lt;0,"Kontrol et","")))</f>
        <v/>
      </c>
      <c r="T326" s="14" t="str">
        <f aca="false">IF(A326="","",IF(AND(G326=1,M326&gt;=Ayarlar!$B$6,OR(Ayarlar!$B$11="Tümü",C326=Ayarlar!$B$11)),M326+ROW()/100000,""))</f>
        <v/>
      </c>
    </row>
    <row r="327" customFormat="false" ht="15" hidden="false" customHeight="false" outlineLevel="0" collapsed="false">
      <c r="A327" s="18" t="str">
        <f aca="false">IF(Veri_Guncel!A327="","",Veri_Guncel!A327)</f>
        <v/>
      </c>
      <c r="B327" s="18" t="str">
        <f aca="false">IF($A327="","",Veri_Guncel!B327)</f>
        <v/>
      </c>
      <c r="C327" s="18" t="str">
        <f aca="false">IF($A327="","",Veri_Guncel!C327)</f>
        <v/>
      </c>
      <c r="D327" s="18" t="str">
        <f aca="false">IF($A327="","",Veri_Guncel!D327)</f>
        <v/>
      </c>
      <c r="E327" s="19" t="str">
        <f aca="false">IF($A327="","",Veri_Guncel!E327)</f>
        <v/>
      </c>
      <c r="F327" s="19" t="str">
        <f aca="false">IF($A327="","",Veri_Guncel!F327)</f>
        <v/>
      </c>
      <c r="G327" s="14" t="str">
        <f aca="false">IF(A327="","",IF(COUNTIF(Ayarlar!$A$15:$A$20,C327)&gt;0,1,0))</f>
        <v/>
      </c>
      <c r="H327" s="14" t="str">
        <f aca="false">IF(A327="","",DATEDIF(E327,Ayarlar!$B$3,"y"))</f>
        <v/>
      </c>
      <c r="I327" s="14" t="str">
        <f aca="false">IF(OR(A327="",F327=""),"",DATEDIF(F327,Ayarlar!$B$3,"y"))</f>
        <v/>
      </c>
      <c r="J327" s="14" t="str">
        <f aca="false">IF(A327="","",IF(H327&lt;1,0,MAX(IF(H327&lt;5,14,IF(H327&lt;15,20,26)),IF(AND(I327&lt;&gt;"",OR(I327&lt;=18,I327&gt;=50)),20,0))))</f>
        <v/>
      </c>
      <c r="K327" s="17" t="str">
        <f aca="false">IF(A327="","",EDATE(E327,12*(H327+1)))</f>
        <v/>
      </c>
      <c r="L327" s="14" t="str">
        <f aca="false">IF(A327="","",K327-Ayarlar!$B$3)</f>
        <v/>
      </c>
      <c r="M327" s="18" t="str">
        <f aca="false">IF(A327="","",Veri_Guncel!H327)</f>
        <v/>
      </c>
      <c r="N327" s="18" t="str">
        <f aca="false">IF(A327="","",IFERROR(INDEX(Veri_Onceki!$H:$H,MATCH(A327,Veri_Onceki!$A:$A,0)),""))</f>
        <v/>
      </c>
      <c r="O327" s="14" t="str">
        <f aca="false">IF(A327="","",IF(AND(H327&gt;=1,EDATE(E327,12*H327)&gt;Ayarlar!$B$4,EDATE(E327,12*H327)&lt;=Ayarlar!$B$3),J327,0))</f>
        <v/>
      </c>
      <c r="P327" s="14" t="str">
        <f aca="false">IF(OR(A327="",N327=""),"",N327+O327-M327)</f>
        <v/>
      </c>
      <c r="Q327" s="16" t="str">
        <f aca="false">IF(A327="","",IF(M327&gt;=Ayarlar!$B$7,"ALARM",IF(M327&gt;=Ayarlar!$B$6,"Planla","")))</f>
        <v/>
      </c>
      <c r="R327" s="14" t="str">
        <f aca="false">IF(A327="","",IF(AND(L327&gt;=0,L327&lt;=Ayarlar!$B$9),"Evet",""))</f>
        <v/>
      </c>
      <c r="S327" s="16" t="str">
        <f aca="false">IF(A327="","",IF(N327="","Yeni personel",IF(P327&lt;0,"Kontrol et","")))</f>
        <v/>
      </c>
      <c r="T327" s="14" t="str">
        <f aca="false">IF(A327="","",IF(AND(G327=1,M327&gt;=Ayarlar!$B$6,OR(Ayarlar!$B$11="Tümü",C327=Ayarlar!$B$11)),M327+ROW()/100000,""))</f>
        <v/>
      </c>
    </row>
    <row r="328" customFormat="false" ht="15" hidden="false" customHeight="false" outlineLevel="0" collapsed="false">
      <c r="A328" s="18" t="str">
        <f aca="false">IF(Veri_Guncel!A328="","",Veri_Guncel!A328)</f>
        <v/>
      </c>
      <c r="B328" s="18" t="str">
        <f aca="false">IF($A328="","",Veri_Guncel!B328)</f>
        <v/>
      </c>
      <c r="C328" s="18" t="str">
        <f aca="false">IF($A328="","",Veri_Guncel!C328)</f>
        <v/>
      </c>
      <c r="D328" s="18" t="str">
        <f aca="false">IF($A328="","",Veri_Guncel!D328)</f>
        <v/>
      </c>
      <c r="E328" s="19" t="str">
        <f aca="false">IF($A328="","",Veri_Guncel!E328)</f>
        <v/>
      </c>
      <c r="F328" s="19" t="str">
        <f aca="false">IF($A328="","",Veri_Guncel!F328)</f>
        <v/>
      </c>
      <c r="G328" s="14" t="str">
        <f aca="false">IF(A328="","",IF(COUNTIF(Ayarlar!$A$15:$A$20,C328)&gt;0,1,0))</f>
        <v/>
      </c>
      <c r="H328" s="14" t="str">
        <f aca="false">IF(A328="","",DATEDIF(E328,Ayarlar!$B$3,"y"))</f>
        <v/>
      </c>
      <c r="I328" s="14" t="str">
        <f aca="false">IF(OR(A328="",F328=""),"",DATEDIF(F328,Ayarlar!$B$3,"y"))</f>
        <v/>
      </c>
      <c r="J328" s="14" t="str">
        <f aca="false">IF(A328="","",IF(H328&lt;1,0,MAX(IF(H328&lt;5,14,IF(H328&lt;15,20,26)),IF(AND(I328&lt;&gt;"",OR(I328&lt;=18,I328&gt;=50)),20,0))))</f>
        <v/>
      </c>
      <c r="K328" s="17" t="str">
        <f aca="false">IF(A328="","",EDATE(E328,12*(H328+1)))</f>
        <v/>
      </c>
      <c r="L328" s="14" t="str">
        <f aca="false">IF(A328="","",K328-Ayarlar!$B$3)</f>
        <v/>
      </c>
      <c r="M328" s="18" t="str">
        <f aca="false">IF(A328="","",Veri_Guncel!H328)</f>
        <v/>
      </c>
      <c r="N328" s="18" t="str">
        <f aca="false">IF(A328="","",IFERROR(INDEX(Veri_Onceki!$H:$H,MATCH(A328,Veri_Onceki!$A:$A,0)),""))</f>
        <v/>
      </c>
      <c r="O328" s="14" t="str">
        <f aca="false">IF(A328="","",IF(AND(H328&gt;=1,EDATE(E328,12*H328)&gt;Ayarlar!$B$4,EDATE(E328,12*H328)&lt;=Ayarlar!$B$3),J328,0))</f>
        <v/>
      </c>
      <c r="P328" s="14" t="str">
        <f aca="false">IF(OR(A328="",N328=""),"",N328+O328-M328)</f>
        <v/>
      </c>
      <c r="Q328" s="16" t="str">
        <f aca="false">IF(A328="","",IF(M328&gt;=Ayarlar!$B$7,"ALARM",IF(M328&gt;=Ayarlar!$B$6,"Planla","")))</f>
        <v/>
      </c>
      <c r="R328" s="14" t="str">
        <f aca="false">IF(A328="","",IF(AND(L328&gt;=0,L328&lt;=Ayarlar!$B$9),"Evet",""))</f>
        <v/>
      </c>
      <c r="S328" s="16" t="str">
        <f aca="false">IF(A328="","",IF(N328="","Yeni personel",IF(P328&lt;0,"Kontrol et","")))</f>
        <v/>
      </c>
      <c r="T328" s="14" t="str">
        <f aca="false">IF(A328="","",IF(AND(G328=1,M328&gt;=Ayarlar!$B$6,OR(Ayarlar!$B$11="Tümü",C328=Ayarlar!$B$11)),M328+ROW()/100000,""))</f>
        <v/>
      </c>
    </row>
    <row r="329" customFormat="false" ht="15" hidden="false" customHeight="false" outlineLevel="0" collapsed="false">
      <c r="A329" s="18" t="str">
        <f aca="false">IF(Veri_Guncel!A329="","",Veri_Guncel!A329)</f>
        <v/>
      </c>
      <c r="B329" s="18" t="str">
        <f aca="false">IF($A329="","",Veri_Guncel!B329)</f>
        <v/>
      </c>
      <c r="C329" s="18" t="str">
        <f aca="false">IF($A329="","",Veri_Guncel!C329)</f>
        <v/>
      </c>
      <c r="D329" s="18" t="str">
        <f aca="false">IF($A329="","",Veri_Guncel!D329)</f>
        <v/>
      </c>
      <c r="E329" s="19" t="str">
        <f aca="false">IF($A329="","",Veri_Guncel!E329)</f>
        <v/>
      </c>
      <c r="F329" s="19" t="str">
        <f aca="false">IF($A329="","",Veri_Guncel!F329)</f>
        <v/>
      </c>
      <c r="G329" s="14" t="str">
        <f aca="false">IF(A329="","",IF(COUNTIF(Ayarlar!$A$15:$A$20,C329)&gt;0,1,0))</f>
        <v/>
      </c>
      <c r="H329" s="14" t="str">
        <f aca="false">IF(A329="","",DATEDIF(E329,Ayarlar!$B$3,"y"))</f>
        <v/>
      </c>
      <c r="I329" s="14" t="str">
        <f aca="false">IF(OR(A329="",F329=""),"",DATEDIF(F329,Ayarlar!$B$3,"y"))</f>
        <v/>
      </c>
      <c r="J329" s="14" t="str">
        <f aca="false">IF(A329="","",IF(H329&lt;1,0,MAX(IF(H329&lt;5,14,IF(H329&lt;15,20,26)),IF(AND(I329&lt;&gt;"",OR(I329&lt;=18,I329&gt;=50)),20,0))))</f>
        <v/>
      </c>
      <c r="K329" s="17" t="str">
        <f aca="false">IF(A329="","",EDATE(E329,12*(H329+1)))</f>
        <v/>
      </c>
      <c r="L329" s="14" t="str">
        <f aca="false">IF(A329="","",K329-Ayarlar!$B$3)</f>
        <v/>
      </c>
      <c r="M329" s="18" t="str">
        <f aca="false">IF(A329="","",Veri_Guncel!H329)</f>
        <v/>
      </c>
      <c r="N329" s="18" t="str">
        <f aca="false">IF(A329="","",IFERROR(INDEX(Veri_Onceki!$H:$H,MATCH(A329,Veri_Onceki!$A:$A,0)),""))</f>
        <v/>
      </c>
      <c r="O329" s="14" t="str">
        <f aca="false">IF(A329="","",IF(AND(H329&gt;=1,EDATE(E329,12*H329)&gt;Ayarlar!$B$4,EDATE(E329,12*H329)&lt;=Ayarlar!$B$3),J329,0))</f>
        <v/>
      </c>
      <c r="P329" s="14" t="str">
        <f aca="false">IF(OR(A329="",N329=""),"",N329+O329-M329)</f>
        <v/>
      </c>
      <c r="Q329" s="16" t="str">
        <f aca="false">IF(A329="","",IF(M329&gt;=Ayarlar!$B$7,"ALARM",IF(M329&gt;=Ayarlar!$B$6,"Planla","")))</f>
        <v/>
      </c>
      <c r="R329" s="14" t="str">
        <f aca="false">IF(A329="","",IF(AND(L329&gt;=0,L329&lt;=Ayarlar!$B$9),"Evet",""))</f>
        <v/>
      </c>
      <c r="S329" s="16" t="str">
        <f aca="false">IF(A329="","",IF(N329="","Yeni personel",IF(P329&lt;0,"Kontrol et","")))</f>
        <v/>
      </c>
      <c r="T329" s="14" t="str">
        <f aca="false">IF(A329="","",IF(AND(G329=1,M329&gt;=Ayarlar!$B$6,OR(Ayarlar!$B$11="Tümü",C329=Ayarlar!$B$11)),M329+ROW()/100000,""))</f>
        <v/>
      </c>
    </row>
    <row r="330" customFormat="false" ht="15" hidden="false" customHeight="false" outlineLevel="0" collapsed="false">
      <c r="A330" s="18" t="str">
        <f aca="false">IF(Veri_Guncel!A330="","",Veri_Guncel!A330)</f>
        <v/>
      </c>
      <c r="B330" s="18" t="str">
        <f aca="false">IF($A330="","",Veri_Guncel!B330)</f>
        <v/>
      </c>
      <c r="C330" s="18" t="str">
        <f aca="false">IF($A330="","",Veri_Guncel!C330)</f>
        <v/>
      </c>
      <c r="D330" s="18" t="str">
        <f aca="false">IF($A330="","",Veri_Guncel!D330)</f>
        <v/>
      </c>
      <c r="E330" s="19" t="str">
        <f aca="false">IF($A330="","",Veri_Guncel!E330)</f>
        <v/>
      </c>
      <c r="F330" s="19" t="str">
        <f aca="false">IF($A330="","",Veri_Guncel!F330)</f>
        <v/>
      </c>
      <c r="G330" s="14" t="str">
        <f aca="false">IF(A330="","",IF(COUNTIF(Ayarlar!$A$15:$A$20,C330)&gt;0,1,0))</f>
        <v/>
      </c>
      <c r="H330" s="14" t="str">
        <f aca="false">IF(A330="","",DATEDIF(E330,Ayarlar!$B$3,"y"))</f>
        <v/>
      </c>
      <c r="I330" s="14" t="str">
        <f aca="false">IF(OR(A330="",F330=""),"",DATEDIF(F330,Ayarlar!$B$3,"y"))</f>
        <v/>
      </c>
      <c r="J330" s="14" t="str">
        <f aca="false">IF(A330="","",IF(H330&lt;1,0,MAX(IF(H330&lt;5,14,IF(H330&lt;15,20,26)),IF(AND(I330&lt;&gt;"",OR(I330&lt;=18,I330&gt;=50)),20,0))))</f>
        <v/>
      </c>
      <c r="K330" s="17" t="str">
        <f aca="false">IF(A330="","",EDATE(E330,12*(H330+1)))</f>
        <v/>
      </c>
      <c r="L330" s="14" t="str">
        <f aca="false">IF(A330="","",K330-Ayarlar!$B$3)</f>
        <v/>
      </c>
      <c r="M330" s="18" t="str">
        <f aca="false">IF(A330="","",Veri_Guncel!H330)</f>
        <v/>
      </c>
      <c r="N330" s="18" t="str">
        <f aca="false">IF(A330="","",IFERROR(INDEX(Veri_Onceki!$H:$H,MATCH(A330,Veri_Onceki!$A:$A,0)),""))</f>
        <v/>
      </c>
      <c r="O330" s="14" t="str">
        <f aca="false">IF(A330="","",IF(AND(H330&gt;=1,EDATE(E330,12*H330)&gt;Ayarlar!$B$4,EDATE(E330,12*H330)&lt;=Ayarlar!$B$3),J330,0))</f>
        <v/>
      </c>
      <c r="P330" s="14" t="str">
        <f aca="false">IF(OR(A330="",N330=""),"",N330+O330-M330)</f>
        <v/>
      </c>
      <c r="Q330" s="16" t="str">
        <f aca="false">IF(A330="","",IF(M330&gt;=Ayarlar!$B$7,"ALARM",IF(M330&gt;=Ayarlar!$B$6,"Planla","")))</f>
        <v/>
      </c>
      <c r="R330" s="14" t="str">
        <f aca="false">IF(A330="","",IF(AND(L330&gt;=0,L330&lt;=Ayarlar!$B$9),"Evet",""))</f>
        <v/>
      </c>
      <c r="S330" s="16" t="str">
        <f aca="false">IF(A330="","",IF(N330="","Yeni personel",IF(P330&lt;0,"Kontrol et","")))</f>
        <v/>
      </c>
      <c r="T330" s="14" t="str">
        <f aca="false">IF(A330="","",IF(AND(G330=1,M330&gt;=Ayarlar!$B$6,OR(Ayarlar!$B$11="Tümü",C330=Ayarlar!$B$11)),M330+ROW()/100000,""))</f>
        <v/>
      </c>
    </row>
    <row r="331" customFormat="false" ht="15" hidden="false" customHeight="false" outlineLevel="0" collapsed="false">
      <c r="A331" s="18" t="str">
        <f aca="false">IF(Veri_Guncel!A331="","",Veri_Guncel!A331)</f>
        <v/>
      </c>
      <c r="B331" s="18" t="str">
        <f aca="false">IF($A331="","",Veri_Guncel!B331)</f>
        <v/>
      </c>
      <c r="C331" s="18" t="str">
        <f aca="false">IF($A331="","",Veri_Guncel!C331)</f>
        <v/>
      </c>
      <c r="D331" s="18" t="str">
        <f aca="false">IF($A331="","",Veri_Guncel!D331)</f>
        <v/>
      </c>
      <c r="E331" s="19" t="str">
        <f aca="false">IF($A331="","",Veri_Guncel!E331)</f>
        <v/>
      </c>
      <c r="F331" s="19" t="str">
        <f aca="false">IF($A331="","",Veri_Guncel!F331)</f>
        <v/>
      </c>
      <c r="G331" s="14" t="str">
        <f aca="false">IF(A331="","",IF(COUNTIF(Ayarlar!$A$15:$A$20,C331)&gt;0,1,0))</f>
        <v/>
      </c>
      <c r="H331" s="14" t="str">
        <f aca="false">IF(A331="","",DATEDIF(E331,Ayarlar!$B$3,"y"))</f>
        <v/>
      </c>
      <c r="I331" s="14" t="str">
        <f aca="false">IF(OR(A331="",F331=""),"",DATEDIF(F331,Ayarlar!$B$3,"y"))</f>
        <v/>
      </c>
      <c r="J331" s="14" t="str">
        <f aca="false">IF(A331="","",IF(H331&lt;1,0,MAX(IF(H331&lt;5,14,IF(H331&lt;15,20,26)),IF(AND(I331&lt;&gt;"",OR(I331&lt;=18,I331&gt;=50)),20,0))))</f>
        <v/>
      </c>
      <c r="K331" s="17" t="str">
        <f aca="false">IF(A331="","",EDATE(E331,12*(H331+1)))</f>
        <v/>
      </c>
      <c r="L331" s="14" t="str">
        <f aca="false">IF(A331="","",K331-Ayarlar!$B$3)</f>
        <v/>
      </c>
      <c r="M331" s="18" t="str">
        <f aca="false">IF(A331="","",Veri_Guncel!H331)</f>
        <v/>
      </c>
      <c r="N331" s="18" t="str">
        <f aca="false">IF(A331="","",IFERROR(INDEX(Veri_Onceki!$H:$H,MATCH(A331,Veri_Onceki!$A:$A,0)),""))</f>
        <v/>
      </c>
      <c r="O331" s="14" t="str">
        <f aca="false">IF(A331="","",IF(AND(H331&gt;=1,EDATE(E331,12*H331)&gt;Ayarlar!$B$4,EDATE(E331,12*H331)&lt;=Ayarlar!$B$3),J331,0))</f>
        <v/>
      </c>
      <c r="P331" s="14" t="str">
        <f aca="false">IF(OR(A331="",N331=""),"",N331+O331-M331)</f>
        <v/>
      </c>
      <c r="Q331" s="16" t="str">
        <f aca="false">IF(A331="","",IF(M331&gt;=Ayarlar!$B$7,"ALARM",IF(M331&gt;=Ayarlar!$B$6,"Planla","")))</f>
        <v/>
      </c>
      <c r="R331" s="14" t="str">
        <f aca="false">IF(A331="","",IF(AND(L331&gt;=0,L331&lt;=Ayarlar!$B$9),"Evet",""))</f>
        <v/>
      </c>
      <c r="S331" s="16" t="str">
        <f aca="false">IF(A331="","",IF(N331="","Yeni personel",IF(P331&lt;0,"Kontrol et","")))</f>
        <v/>
      </c>
      <c r="T331" s="14" t="str">
        <f aca="false">IF(A331="","",IF(AND(G331=1,M331&gt;=Ayarlar!$B$6,OR(Ayarlar!$B$11="Tümü",C331=Ayarlar!$B$11)),M331+ROW()/100000,""))</f>
        <v/>
      </c>
    </row>
    <row r="332" customFormat="false" ht="15" hidden="false" customHeight="false" outlineLevel="0" collapsed="false">
      <c r="A332" s="18" t="str">
        <f aca="false">IF(Veri_Guncel!A332="","",Veri_Guncel!A332)</f>
        <v/>
      </c>
      <c r="B332" s="18" t="str">
        <f aca="false">IF($A332="","",Veri_Guncel!B332)</f>
        <v/>
      </c>
      <c r="C332" s="18" t="str">
        <f aca="false">IF($A332="","",Veri_Guncel!C332)</f>
        <v/>
      </c>
      <c r="D332" s="18" t="str">
        <f aca="false">IF($A332="","",Veri_Guncel!D332)</f>
        <v/>
      </c>
      <c r="E332" s="19" t="str">
        <f aca="false">IF($A332="","",Veri_Guncel!E332)</f>
        <v/>
      </c>
      <c r="F332" s="19" t="str">
        <f aca="false">IF($A332="","",Veri_Guncel!F332)</f>
        <v/>
      </c>
      <c r="G332" s="14" t="str">
        <f aca="false">IF(A332="","",IF(COUNTIF(Ayarlar!$A$15:$A$20,C332)&gt;0,1,0))</f>
        <v/>
      </c>
      <c r="H332" s="14" t="str">
        <f aca="false">IF(A332="","",DATEDIF(E332,Ayarlar!$B$3,"y"))</f>
        <v/>
      </c>
      <c r="I332" s="14" t="str">
        <f aca="false">IF(OR(A332="",F332=""),"",DATEDIF(F332,Ayarlar!$B$3,"y"))</f>
        <v/>
      </c>
      <c r="J332" s="14" t="str">
        <f aca="false">IF(A332="","",IF(H332&lt;1,0,MAX(IF(H332&lt;5,14,IF(H332&lt;15,20,26)),IF(AND(I332&lt;&gt;"",OR(I332&lt;=18,I332&gt;=50)),20,0))))</f>
        <v/>
      </c>
      <c r="K332" s="17" t="str">
        <f aca="false">IF(A332="","",EDATE(E332,12*(H332+1)))</f>
        <v/>
      </c>
      <c r="L332" s="14" t="str">
        <f aca="false">IF(A332="","",K332-Ayarlar!$B$3)</f>
        <v/>
      </c>
      <c r="M332" s="18" t="str">
        <f aca="false">IF(A332="","",Veri_Guncel!H332)</f>
        <v/>
      </c>
      <c r="N332" s="18" t="str">
        <f aca="false">IF(A332="","",IFERROR(INDEX(Veri_Onceki!$H:$H,MATCH(A332,Veri_Onceki!$A:$A,0)),""))</f>
        <v/>
      </c>
      <c r="O332" s="14" t="str">
        <f aca="false">IF(A332="","",IF(AND(H332&gt;=1,EDATE(E332,12*H332)&gt;Ayarlar!$B$4,EDATE(E332,12*H332)&lt;=Ayarlar!$B$3),J332,0))</f>
        <v/>
      </c>
      <c r="P332" s="14" t="str">
        <f aca="false">IF(OR(A332="",N332=""),"",N332+O332-M332)</f>
        <v/>
      </c>
      <c r="Q332" s="16" t="str">
        <f aca="false">IF(A332="","",IF(M332&gt;=Ayarlar!$B$7,"ALARM",IF(M332&gt;=Ayarlar!$B$6,"Planla","")))</f>
        <v/>
      </c>
      <c r="R332" s="14" t="str">
        <f aca="false">IF(A332="","",IF(AND(L332&gt;=0,L332&lt;=Ayarlar!$B$9),"Evet",""))</f>
        <v/>
      </c>
      <c r="S332" s="16" t="str">
        <f aca="false">IF(A332="","",IF(N332="","Yeni personel",IF(P332&lt;0,"Kontrol et","")))</f>
        <v/>
      </c>
      <c r="T332" s="14" t="str">
        <f aca="false">IF(A332="","",IF(AND(G332=1,M332&gt;=Ayarlar!$B$6,OR(Ayarlar!$B$11="Tümü",C332=Ayarlar!$B$11)),M332+ROW()/100000,""))</f>
        <v/>
      </c>
    </row>
    <row r="333" customFormat="false" ht="15" hidden="false" customHeight="false" outlineLevel="0" collapsed="false">
      <c r="A333" s="18" t="str">
        <f aca="false">IF(Veri_Guncel!A333="","",Veri_Guncel!A333)</f>
        <v/>
      </c>
      <c r="B333" s="18" t="str">
        <f aca="false">IF($A333="","",Veri_Guncel!B333)</f>
        <v/>
      </c>
      <c r="C333" s="18" t="str">
        <f aca="false">IF($A333="","",Veri_Guncel!C333)</f>
        <v/>
      </c>
      <c r="D333" s="18" t="str">
        <f aca="false">IF($A333="","",Veri_Guncel!D333)</f>
        <v/>
      </c>
      <c r="E333" s="19" t="str">
        <f aca="false">IF($A333="","",Veri_Guncel!E333)</f>
        <v/>
      </c>
      <c r="F333" s="19" t="str">
        <f aca="false">IF($A333="","",Veri_Guncel!F333)</f>
        <v/>
      </c>
      <c r="G333" s="14" t="str">
        <f aca="false">IF(A333="","",IF(COUNTIF(Ayarlar!$A$15:$A$20,C333)&gt;0,1,0))</f>
        <v/>
      </c>
      <c r="H333" s="14" t="str">
        <f aca="false">IF(A333="","",DATEDIF(E333,Ayarlar!$B$3,"y"))</f>
        <v/>
      </c>
      <c r="I333" s="14" t="str">
        <f aca="false">IF(OR(A333="",F333=""),"",DATEDIF(F333,Ayarlar!$B$3,"y"))</f>
        <v/>
      </c>
      <c r="J333" s="14" t="str">
        <f aca="false">IF(A333="","",IF(H333&lt;1,0,MAX(IF(H333&lt;5,14,IF(H333&lt;15,20,26)),IF(AND(I333&lt;&gt;"",OR(I333&lt;=18,I333&gt;=50)),20,0))))</f>
        <v/>
      </c>
      <c r="K333" s="17" t="str">
        <f aca="false">IF(A333="","",EDATE(E333,12*(H333+1)))</f>
        <v/>
      </c>
      <c r="L333" s="14" t="str">
        <f aca="false">IF(A333="","",K333-Ayarlar!$B$3)</f>
        <v/>
      </c>
      <c r="M333" s="18" t="str">
        <f aca="false">IF(A333="","",Veri_Guncel!H333)</f>
        <v/>
      </c>
      <c r="N333" s="18" t="str">
        <f aca="false">IF(A333="","",IFERROR(INDEX(Veri_Onceki!$H:$H,MATCH(A333,Veri_Onceki!$A:$A,0)),""))</f>
        <v/>
      </c>
      <c r="O333" s="14" t="str">
        <f aca="false">IF(A333="","",IF(AND(H333&gt;=1,EDATE(E333,12*H333)&gt;Ayarlar!$B$4,EDATE(E333,12*H333)&lt;=Ayarlar!$B$3),J333,0))</f>
        <v/>
      </c>
      <c r="P333" s="14" t="str">
        <f aca="false">IF(OR(A333="",N333=""),"",N333+O333-M333)</f>
        <v/>
      </c>
      <c r="Q333" s="16" t="str">
        <f aca="false">IF(A333="","",IF(M333&gt;=Ayarlar!$B$7,"ALARM",IF(M333&gt;=Ayarlar!$B$6,"Planla","")))</f>
        <v/>
      </c>
      <c r="R333" s="14" t="str">
        <f aca="false">IF(A333="","",IF(AND(L333&gt;=0,L333&lt;=Ayarlar!$B$9),"Evet",""))</f>
        <v/>
      </c>
      <c r="S333" s="16" t="str">
        <f aca="false">IF(A333="","",IF(N333="","Yeni personel",IF(P333&lt;0,"Kontrol et","")))</f>
        <v/>
      </c>
      <c r="T333" s="14" t="str">
        <f aca="false">IF(A333="","",IF(AND(G333=1,M333&gt;=Ayarlar!$B$6,OR(Ayarlar!$B$11="Tümü",C333=Ayarlar!$B$11)),M333+ROW()/100000,""))</f>
        <v/>
      </c>
    </row>
    <row r="334" customFormat="false" ht="15" hidden="false" customHeight="false" outlineLevel="0" collapsed="false">
      <c r="A334" s="18" t="str">
        <f aca="false">IF(Veri_Guncel!A334="","",Veri_Guncel!A334)</f>
        <v/>
      </c>
      <c r="B334" s="18" t="str">
        <f aca="false">IF($A334="","",Veri_Guncel!B334)</f>
        <v/>
      </c>
      <c r="C334" s="18" t="str">
        <f aca="false">IF($A334="","",Veri_Guncel!C334)</f>
        <v/>
      </c>
      <c r="D334" s="18" t="str">
        <f aca="false">IF($A334="","",Veri_Guncel!D334)</f>
        <v/>
      </c>
      <c r="E334" s="19" t="str">
        <f aca="false">IF($A334="","",Veri_Guncel!E334)</f>
        <v/>
      </c>
      <c r="F334" s="19" t="str">
        <f aca="false">IF($A334="","",Veri_Guncel!F334)</f>
        <v/>
      </c>
      <c r="G334" s="14" t="str">
        <f aca="false">IF(A334="","",IF(COUNTIF(Ayarlar!$A$15:$A$20,C334)&gt;0,1,0))</f>
        <v/>
      </c>
      <c r="H334" s="14" t="str">
        <f aca="false">IF(A334="","",DATEDIF(E334,Ayarlar!$B$3,"y"))</f>
        <v/>
      </c>
      <c r="I334" s="14" t="str">
        <f aca="false">IF(OR(A334="",F334=""),"",DATEDIF(F334,Ayarlar!$B$3,"y"))</f>
        <v/>
      </c>
      <c r="J334" s="14" t="str">
        <f aca="false">IF(A334="","",IF(H334&lt;1,0,MAX(IF(H334&lt;5,14,IF(H334&lt;15,20,26)),IF(AND(I334&lt;&gt;"",OR(I334&lt;=18,I334&gt;=50)),20,0))))</f>
        <v/>
      </c>
      <c r="K334" s="17" t="str">
        <f aca="false">IF(A334="","",EDATE(E334,12*(H334+1)))</f>
        <v/>
      </c>
      <c r="L334" s="14" t="str">
        <f aca="false">IF(A334="","",K334-Ayarlar!$B$3)</f>
        <v/>
      </c>
      <c r="M334" s="18" t="str">
        <f aca="false">IF(A334="","",Veri_Guncel!H334)</f>
        <v/>
      </c>
      <c r="N334" s="18" t="str">
        <f aca="false">IF(A334="","",IFERROR(INDEX(Veri_Onceki!$H:$H,MATCH(A334,Veri_Onceki!$A:$A,0)),""))</f>
        <v/>
      </c>
      <c r="O334" s="14" t="str">
        <f aca="false">IF(A334="","",IF(AND(H334&gt;=1,EDATE(E334,12*H334)&gt;Ayarlar!$B$4,EDATE(E334,12*H334)&lt;=Ayarlar!$B$3),J334,0))</f>
        <v/>
      </c>
      <c r="P334" s="14" t="str">
        <f aca="false">IF(OR(A334="",N334=""),"",N334+O334-M334)</f>
        <v/>
      </c>
      <c r="Q334" s="16" t="str">
        <f aca="false">IF(A334="","",IF(M334&gt;=Ayarlar!$B$7,"ALARM",IF(M334&gt;=Ayarlar!$B$6,"Planla","")))</f>
        <v/>
      </c>
      <c r="R334" s="14" t="str">
        <f aca="false">IF(A334="","",IF(AND(L334&gt;=0,L334&lt;=Ayarlar!$B$9),"Evet",""))</f>
        <v/>
      </c>
      <c r="S334" s="16" t="str">
        <f aca="false">IF(A334="","",IF(N334="","Yeni personel",IF(P334&lt;0,"Kontrol et","")))</f>
        <v/>
      </c>
      <c r="T334" s="14" t="str">
        <f aca="false">IF(A334="","",IF(AND(G334=1,M334&gt;=Ayarlar!$B$6,OR(Ayarlar!$B$11="Tümü",C334=Ayarlar!$B$11)),M334+ROW()/100000,""))</f>
        <v/>
      </c>
    </row>
    <row r="335" customFormat="false" ht="15" hidden="false" customHeight="false" outlineLevel="0" collapsed="false">
      <c r="A335" s="18" t="str">
        <f aca="false">IF(Veri_Guncel!A335="","",Veri_Guncel!A335)</f>
        <v/>
      </c>
      <c r="B335" s="18" t="str">
        <f aca="false">IF($A335="","",Veri_Guncel!B335)</f>
        <v/>
      </c>
      <c r="C335" s="18" t="str">
        <f aca="false">IF($A335="","",Veri_Guncel!C335)</f>
        <v/>
      </c>
      <c r="D335" s="18" t="str">
        <f aca="false">IF($A335="","",Veri_Guncel!D335)</f>
        <v/>
      </c>
      <c r="E335" s="19" t="str">
        <f aca="false">IF($A335="","",Veri_Guncel!E335)</f>
        <v/>
      </c>
      <c r="F335" s="19" t="str">
        <f aca="false">IF($A335="","",Veri_Guncel!F335)</f>
        <v/>
      </c>
      <c r="G335" s="14" t="str">
        <f aca="false">IF(A335="","",IF(COUNTIF(Ayarlar!$A$15:$A$20,C335)&gt;0,1,0))</f>
        <v/>
      </c>
      <c r="H335" s="14" t="str">
        <f aca="false">IF(A335="","",DATEDIF(E335,Ayarlar!$B$3,"y"))</f>
        <v/>
      </c>
      <c r="I335" s="14" t="str">
        <f aca="false">IF(OR(A335="",F335=""),"",DATEDIF(F335,Ayarlar!$B$3,"y"))</f>
        <v/>
      </c>
      <c r="J335" s="14" t="str">
        <f aca="false">IF(A335="","",IF(H335&lt;1,0,MAX(IF(H335&lt;5,14,IF(H335&lt;15,20,26)),IF(AND(I335&lt;&gt;"",OR(I335&lt;=18,I335&gt;=50)),20,0))))</f>
        <v/>
      </c>
      <c r="K335" s="17" t="str">
        <f aca="false">IF(A335="","",EDATE(E335,12*(H335+1)))</f>
        <v/>
      </c>
      <c r="L335" s="14" t="str">
        <f aca="false">IF(A335="","",K335-Ayarlar!$B$3)</f>
        <v/>
      </c>
      <c r="M335" s="18" t="str">
        <f aca="false">IF(A335="","",Veri_Guncel!H335)</f>
        <v/>
      </c>
      <c r="N335" s="18" t="str">
        <f aca="false">IF(A335="","",IFERROR(INDEX(Veri_Onceki!$H:$H,MATCH(A335,Veri_Onceki!$A:$A,0)),""))</f>
        <v/>
      </c>
      <c r="O335" s="14" t="str">
        <f aca="false">IF(A335="","",IF(AND(H335&gt;=1,EDATE(E335,12*H335)&gt;Ayarlar!$B$4,EDATE(E335,12*H335)&lt;=Ayarlar!$B$3),J335,0))</f>
        <v/>
      </c>
      <c r="P335" s="14" t="str">
        <f aca="false">IF(OR(A335="",N335=""),"",N335+O335-M335)</f>
        <v/>
      </c>
      <c r="Q335" s="16" t="str">
        <f aca="false">IF(A335="","",IF(M335&gt;=Ayarlar!$B$7,"ALARM",IF(M335&gt;=Ayarlar!$B$6,"Planla","")))</f>
        <v/>
      </c>
      <c r="R335" s="14" t="str">
        <f aca="false">IF(A335="","",IF(AND(L335&gt;=0,L335&lt;=Ayarlar!$B$9),"Evet",""))</f>
        <v/>
      </c>
      <c r="S335" s="16" t="str">
        <f aca="false">IF(A335="","",IF(N335="","Yeni personel",IF(P335&lt;0,"Kontrol et","")))</f>
        <v/>
      </c>
      <c r="T335" s="14" t="str">
        <f aca="false">IF(A335="","",IF(AND(G335=1,M335&gt;=Ayarlar!$B$6,OR(Ayarlar!$B$11="Tümü",C335=Ayarlar!$B$11)),M335+ROW()/100000,""))</f>
        <v/>
      </c>
    </row>
    <row r="336" customFormat="false" ht="15" hidden="false" customHeight="false" outlineLevel="0" collapsed="false">
      <c r="A336" s="18" t="str">
        <f aca="false">IF(Veri_Guncel!A336="","",Veri_Guncel!A336)</f>
        <v/>
      </c>
      <c r="B336" s="18" t="str">
        <f aca="false">IF($A336="","",Veri_Guncel!B336)</f>
        <v/>
      </c>
      <c r="C336" s="18" t="str">
        <f aca="false">IF($A336="","",Veri_Guncel!C336)</f>
        <v/>
      </c>
      <c r="D336" s="18" t="str">
        <f aca="false">IF($A336="","",Veri_Guncel!D336)</f>
        <v/>
      </c>
      <c r="E336" s="19" t="str">
        <f aca="false">IF($A336="","",Veri_Guncel!E336)</f>
        <v/>
      </c>
      <c r="F336" s="19" t="str">
        <f aca="false">IF($A336="","",Veri_Guncel!F336)</f>
        <v/>
      </c>
      <c r="G336" s="14" t="str">
        <f aca="false">IF(A336="","",IF(COUNTIF(Ayarlar!$A$15:$A$20,C336)&gt;0,1,0))</f>
        <v/>
      </c>
      <c r="H336" s="14" t="str">
        <f aca="false">IF(A336="","",DATEDIF(E336,Ayarlar!$B$3,"y"))</f>
        <v/>
      </c>
      <c r="I336" s="14" t="str">
        <f aca="false">IF(OR(A336="",F336=""),"",DATEDIF(F336,Ayarlar!$B$3,"y"))</f>
        <v/>
      </c>
      <c r="J336" s="14" t="str">
        <f aca="false">IF(A336="","",IF(H336&lt;1,0,MAX(IF(H336&lt;5,14,IF(H336&lt;15,20,26)),IF(AND(I336&lt;&gt;"",OR(I336&lt;=18,I336&gt;=50)),20,0))))</f>
        <v/>
      </c>
      <c r="K336" s="17" t="str">
        <f aca="false">IF(A336="","",EDATE(E336,12*(H336+1)))</f>
        <v/>
      </c>
      <c r="L336" s="14" t="str">
        <f aca="false">IF(A336="","",K336-Ayarlar!$B$3)</f>
        <v/>
      </c>
      <c r="M336" s="18" t="str">
        <f aca="false">IF(A336="","",Veri_Guncel!H336)</f>
        <v/>
      </c>
      <c r="N336" s="18" t="str">
        <f aca="false">IF(A336="","",IFERROR(INDEX(Veri_Onceki!$H:$H,MATCH(A336,Veri_Onceki!$A:$A,0)),""))</f>
        <v/>
      </c>
      <c r="O336" s="14" t="str">
        <f aca="false">IF(A336="","",IF(AND(H336&gt;=1,EDATE(E336,12*H336)&gt;Ayarlar!$B$4,EDATE(E336,12*H336)&lt;=Ayarlar!$B$3),J336,0))</f>
        <v/>
      </c>
      <c r="P336" s="14" t="str">
        <f aca="false">IF(OR(A336="",N336=""),"",N336+O336-M336)</f>
        <v/>
      </c>
      <c r="Q336" s="16" t="str">
        <f aca="false">IF(A336="","",IF(M336&gt;=Ayarlar!$B$7,"ALARM",IF(M336&gt;=Ayarlar!$B$6,"Planla","")))</f>
        <v/>
      </c>
      <c r="R336" s="14" t="str">
        <f aca="false">IF(A336="","",IF(AND(L336&gt;=0,L336&lt;=Ayarlar!$B$9),"Evet",""))</f>
        <v/>
      </c>
      <c r="S336" s="16" t="str">
        <f aca="false">IF(A336="","",IF(N336="","Yeni personel",IF(P336&lt;0,"Kontrol et","")))</f>
        <v/>
      </c>
      <c r="T336" s="14" t="str">
        <f aca="false">IF(A336="","",IF(AND(G336=1,M336&gt;=Ayarlar!$B$6,OR(Ayarlar!$B$11="Tümü",C336=Ayarlar!$B$11)),M336+ROW()/100000,""))</f>
        <v/>
      </c>
    </row>
    <row r="337" customFormat="false" ht="15" hidden="false" customHeight="false" outlineLevel="0" collapsed="false">
      <c r="A337" s="18" t="str">
        <f aca="false">IF(Veri_Guncel!A337="","",Veri_Guncel!A337)</f>
        <v/>
      </c>
      <c r="B337" s="18" t="str">
        <f aca="false">IF($A337="","",Veri_Guncel!B337)</f>
        <v/>
      </c>
      <c r="C337" s="18" t="str">
        <f aca="false">IF($A337="","",Veri_Guncel!C337)</f>
        <v/>
      </c>
      <c r="D337" s="18" t="str">
        <f aca="false">IF($A337="","",Veri_Guncel!D337)</f>
        <v/>
      </c>
      <c r="E337" s="19" t="str">
        <f aca="false">IF($A337="","",Veri_Guncel!E337)</f>
        <v/>
      </c>
      <c r="F337" s="19" t="str">
        <f aca="false">IF($A337="","",Veri_Guncel!F337)</f>
        <v/>
      </c>
      <c r="G337" s="14" t="str">
        <f aca="false">IF(A337="","",IF(COUNTIF(Ayarlar!$A$15:$A$20,C337)&gt;0,1,0))</f>
        <v/>
      </c>
      <c r="H337" s="14" t="str">
        <f aca="false">IF(A337="","",DATEDIF(E337,Ayarlar!$B$3,"y"))</f>
        <v/>
      </c>
      <c r="I337" s="14" t="str">
        <f aca="false">IF(OR(A337="",F337=""),"",DATEDIF(F337,Ayarlar!$B$3,"y"))</f>
        <v/>
      </c>
      <c r="J337" s="14" t="str">
        <f aca="false">IF(A337="","",IF(H337&lt;1,0,MAX(IF(H337&lt;5,14,IF(H337&lt;15,20,26)),IF(AND(I337&lt;&gt;"",OR(I337&lt;=18,I337&gt;=50)),20,0))))</f>
        <v/>
      </c>
      <c r="K337" s="17" t="str">
        <f aca="false">IF(A337="","",EDATE(E337,12*(H337+1)))</f>
        <v/>
      </c>
      <c r="L337" s="14" t="str">
        <f aca="false">IF(A337="","",K337-Ayarlar!$B$3)</f>
        <v/>
      </c>
      <c r="M337" s="18" t="str">
        <f aca="false">IF(A337="","",Veri_Guncel!H337)</f>
        <v/>
      </c>
      <c r="N337" s="18" t="str">
        <f aca="false">IF(A337="","",IFERROR(INDEX(Veri_Onceki!$H:$H,MATCH(A337,Veri_Onceki!$A:$A,0)),""))</f>
        <v/>
      </c>
      <c r="O337" s="14" t="str">
        <f aca="false">IF(A337="","",IF(AND(H337&gt;=1,EDATE(E337,12*H337)&gt;Ayarlar!$B$4,EDATE(E337,12*H337)&lt;=Ayarlar!$B$3),J337,0))</f>
        <v/>
      </c>
      <c r="P337" s="14" t="str">
        <f aca="false">IF(OR(A337="",N337=""),"",N337+O337-M337)</f>
        <v/>
      </c>
      <c r="Q337" s="16" t="str">
        <f aca="false">IF(A337="","",IF(M337&gt;=Ayarlar!$B$7,"ALARM",IF(M337&gt;=Ayarlar!$B$6,"Planla","")))</f>
        <v/>
      </c>
      <c r="R337" s="14" t="str">
        <f aca="false">IF(A337="","",IF(AND(L337&gt;=0,L337&lt;=Ayarlar!$B$9),"Evet",""))</f>
        <v/>
      </c>
      <c r="S337" s="16" t="str">
        <f aca="false">IF(A337="","",IF(N337="","Yeni personel",IF(P337&lt;0,"Kontrol et","")))</f>
        <v/>
      </c>
      <c r="T337" s="14" t="str">
        <f aca="false">IF(A337="","",IF(AND(G337=1,M337&gt;=Ayarlar!$B$6,OR(Ayarlar!$B$11="Tümü",C337=Ayarlar!$B$11)),M337+ROW()/100000,""))</f>
        <v/>
      </c>
    </row>
    <row r="338" customFormat="false" ht="15" hidden="false" customHeight="false" outlineLevel="0" collapsed="false">
      <c r="A338" s="18" t="str">
        <f aca="false">IF(Veri_Guncel!A338="","",Veri_Guncel!A338)</f>
        <v/>
      </c>
      <c r="B338" s="18" t="str">
        <f aca="false">IF($A338="","",Veri_Guncel!B338)</f>
        <v/>
      </c>
      <c r="C338" s="18" t="str">
        <f aca="false">IF($A338="","",Veri_Guncel!C338)</f>
        <v/>
      </c>
      <c r="D338" s="18" t="str">
        <f aca="false">IF($A338="","",Veri_Guncel!D338)</f>
        <v/>
      </c>
      <c r="E338" s="19" t="str">
        <f aca="false">IF($A338="","",Veri_Guncel!E338)</f>
        <v/>
      </c>
      <c r="F338" s="19" t="str">
        <f aca="false">IF($A338="","",Veri_Guncel!F338)</f>
        <v/>
      </c>
      <c r="G338" s="14" t="str">
        <f aca="false">IF(A338="","",IF(COUNTIF(Ayarlar!$A$15:$A$20,C338)&gt;0,1,0))</f>
        <v/>
      </c>
      <c r="H338" s="14" t="str">
        <f aca="false">IF(A338="","",DATEDIF(E338,Ayarlar!$B$3,"y"))</f>
        <v/>
      </c>
      <c r="I338" s="14" t="str">
        <f aca="false">IF(OR(A338="",F338=""),"",DATEDIF(F338,Ayarlar!$B$3,"y"))</f>
        <v/>
      </c>
      <c r="J338" s="14" t="str">
        <f aca="false">IF(A338="","",IF(H338&lt;1,0,MAX(IF(H338&lt;5,14,IF(H338&lt;15,20,26)),IF(AND(I338&lt;&gt;"",OR(I338&lt;=18,I338&gt;=50)),20,0))))</f>
        <v/>
      </c>
      <c r="K338" s="17" t="str">
        <f aca="false">IF(A338="","",EDATE(E338,12*(H338+1)))</f>
        <v/>
      </c>
      <c r="L338" s="14" t="str">
        <f aca="false">IF(A338="","",K338-Ayarlar!$B$3)</f>
        <v/>
      </c>
      <c r="M338" s="18" t="str">
        <f aca="false">IF(A338="","",Veri_Guncel!H338)</f>
        <v/>
      </c>
      <c r="N338" s="18" t="str">
        <f aca="false">IF(A338="","",IFERROR(INDEX(Veri_Onceki!$H:$H,MATCH(A338,Veri_Onceki!$A:$A,0)),""))</f>
        <v/>
      </c>
      <c r="O338" s="14" t="str">
        <f aca="false">IF(A338="","",IF(AND(H338&gt;=1,EDATE(E338,12*H338)&gt;Ayarlar!$B$4,EDATE(E338,12*H338)&lt;=Ayarlar!$B$3),J338,0))</f>
        <v/>
      </c>
      <c r="P338" s="14" t="str">
        <f aca="false">IF(OR(A338="",N338=""),"",N338+O338-M338)</f>
        <v/>
      </c>
      <c r="Q338" s="16" t="str">
        <f aca="false">IF(A338="","",IF(M338&gt;=Ayarlar!$B$7,"ALARM",IF(M338&gt;=Ayarlar!$B$6,"Planla","")))</f>
        <v/>
      </c>
      <c r="R338" s="14" t="str">
        <f aca="false">IF(A338="","",IF(AND(L338&gt;=0,L338&lt;=Ayarlar!$B$9),"Evet",""))</f>
        <v/>
      </c>
      <c r="S338" s="16" t="str">
        <f aca="false">IF(A338="","",IF(N338="","Yeni personel",IF(P338&lt;0,"Kontrol et","")))</f>
        <v/>
      </c>
      <c r="T338" s="14" t="str">
        <f aca="false">IF(A338="","",IF(AND(G338=1,M338&gt;=Ayarlar!$B$6,OR(Ayarlar!$B$11="Tümü",C338=Ayarlar!$B$11)),M338+ROW()/100000,""))</f>
        <v/>
      </c>
    </row>
    <row r="339" customFormat="false" ht="15" hidden="false" customHeight="false" outlineLevel="0" collapsed="false">
      <c r="A339" s="18" t="str">
        <f aca="false">IF(Veri_Guncel!A339="","",Veri_Guncel!A339)</f>
        <v/>
      </c>
      <c r="B339" s="18" t="str">
        <f aca="false">IF($A339="","",Veri_Guncel!B339)</f>
        <v/>
      </c>
      <c r="C339" s="18" t="str">
        <f aca="false">IF($A339="","",Veri_Guncel!C339)</f>
        <v/>
      </c>
      <c r="D339" s="18" t="str">
        <f aca="false">IF($A339="","",Veri_Guncel!D339)</f>
        <v/>
      </c>
      <c r="E339" s="19" t="str">
        <f aca="false">IF($A339="","",Veri_Guncel!E339)</f>
        <v/>
      </c>
      <c r="F339" s="19" t="str">
        <f aca="false">IF($A339="","",Veri_Guncel!F339)</f>
        <v/>
      </c>
      <c r="G339" s="14" t="str">
        <f aca="false">IF(A339="","",IF(COUNTIF(Ayarlar!$A$15:$A$20,C339)&gt;0,1,0))</f>
        <v/>
      </c>
      <c r="H339" s="14" t="str">
        <f aca="false">IF(A339="","",DATEDIF(E339,Ayarlar!$B$3,"y"))</f>
        <v/>
      </c>
      <c r="I339" s="14" t="str">
        <f aca="false">IF(OR(A339="",F339=""),"",DATEDIF(F339,Ayarlar!$B$3,"y"))</f>
        <v/>
      </c>
      <c r="J339" s="14" t="str">
        <f aca="false">IF(A339="","",IF(H339&lt;1,0,MAX(IF(H339&lt;5,14,IF(H339&lt;15,20,26)),IF(AND(I339&lt;&gt;"",OR(I339&lt;=18,I339&gt;=50)),20,0))))</f>
        <v/>
      </c>
      <c r="K339" s="17" t="str">
        <f aca="false">IF(A339="","",EDATE(E339,12*(H339+1)))</f>
        <v/>
      </c>
      <c r="L339" s="14" t="str">
        <f aca="false">IF(A339="","",K339-Ayarlar!$B$3)</f>
        <v/>
      </c>
      <c r="M339" s="18" t="str">
        <f aca="false">IF(A339="","",Veri_Guncel!H339)</f>
        <v/>
      </c>
      <c r="N339" s="18" t="str">
        <f aca="false">IF(A339="","",IFERROR(INDEX(Veri_Onceki!$H:$H,MATCH(A339,Veri_Onceki!$A:$A,0)),""))</f>
        <v/>
      </c>
      <c r="O339" s="14" t="str">
        <f aca="false">IF(A339="","",IF(AND(H339&gt;=1,EDATE(E339,12*H339)&gt;Ayarlar!$B$4,EDATE(E339,12*H339)&lt;=Ayarlar!$B$3),J339,0))</f>
        <v/>
      </c>
      <c r="P339" s="14" t="str">
        <f aca="false">IF(OR(A339="",N339=""),"",N339+O339-M339)</f>
        <v/>
      </c>
      <c r="Q339" s="16" t="str">
        <f aca="false">IF(A339="","",IF(M339&gt;=Ayarlar!$B$7,"ALARM",IF(M339&gt;=Ayarlar!$B$6,"Planla","")))</f>
        <v/>
      </c>
      <c r="R339" s="14" t="str">
        <f aca="false">IF(A339="","",IF(AND(L339&gt;=0,L339&lt;=Ayarlar!$B$9),"Evet",""))</f>
        <v/>
      </c>
      <c r="S339" s="16" t="str">
        <f aca="false">IF(A339="","",IF(N339="","Yeni personel",IF(P339&lt;0,"Kontrol et","")))</f>
        <v/>
      </c>
      <c r="T339" s="14" t="str">
        <f aca="false">IF(A339="","",IF(AND(G339=1,M339&gt;=Ayarlar!$B$6,OR(Ayarlar!$B$11="Tümü",C339=Ayarlar!$B$11)),M339+ROW()/100000,""))</f>
        <v/>
      </c>
    </row>
    <row r="340" customFormat="false" ht="15" hidden="false" customHeight="false" outlineLevel="0" collapsed="false">
      <c r="A340" s="18" t="str">
        <f aca="false">IF(Veri_Guncel!A340="","",Veri_Guncel!A340)</f>
        <v/>
      </c>
      <c r="B340" s="18" t="str">
        <f aca="false">IF($A340="","",Veri_Guncel!B340)</f>
        <v/>
      </c>
      <c r="C340" s="18" t="str">
        <f aca="false">IF($A340="","",Veri_Guncel!C340)</f>
        <v/>
      </c>
      <c r="D340" s="18" t="str">
        <f aca="false">IF($A340="","",Veri_Guncel!D340)</f>
        <v/>
      </c>
      <c r="E340" s="19" t="str">
        <f aca="false">IF($A340="","",Veri_Guncel!E340)</f>
        <v/>
      </c>
      <c r="F340" s="19" t="str">
        <f aca="false">IF($A340="","",Veri_Guncel!F340)</f>
        <v/>
      </c>
      <c r="G340" s="14" t="str">
        <f aca="false">IF(A340="","",IF(COUNTIF(Ayarlar!$A$15:$A$20,C340)&gt;0,1,0))</f>
        <v/>
      </c>
      <c r="H340" s="14" t="str">
        <f aca="false">IF(A340="","",DATEDIF(E340,Ayarlar!$B$3,"y"))</f>
        <v/>
      </c>
      <c r="I340" s="14" t="str">
        <f aca="false">IF(OR(A340="",F340=""),"",DATEDIF(F340,Ayarlar!$B$3,"y"))</f>
        <v/>
      </c>
      <c r="J340" s="14" t="str">
        <f aca="false">IF(A340="","",IF(H340&lt;1,0,MAX(IF(H340&lt;5,14,IF(H340&lt;15,20,26)),IF(AND(I340&lt;&gt;"",OR(I340&lt;=18,I340&gt;=50)),20,0))))</f>
        <v/>
      </c>
      <c r="K340" s="17" t="str">
        <f aca="false">IF(A340="","",EDATE(E340,12*(H340+1)))</f>
        <v/>
      </c>
      <c r="L340" s="14" t="str">
        <f aca="false">IF(A340="","",K340-Ayarlar!$B$3)</f>
        <v/>
      </c>
      <c r="M340" s="18" t="str">
        <f aca="false">IF(A340="","",Veri_Guncel!H340)</f>
        <v/>
      </c>
      <c r="N340" s="18" t="str">
        <f aca="false">IF(A340="","",IFERROR(INDEX(Veri_Onceki!$H:$H,MATCH(A340,Veri_Onceki!$A:$A,0)),""))</f>
        <v/>
      </c>
      <c r="O340" s="14" t="str">
        <f aca="false">IF(A340="","",IF(AND(H340&gt;=1,EDATE(E340,12*H340)&gt;Ayarlar!$B$4,EDATE(E340,12*H340)&lt;=Ayarlar!$B$3),J340,0))</f>
        <v/>
      </c>
      <c r="P340" s="14" t="str">
        <f aca="false">IF(OR(A340="",N340=""),"",N340+O340-M340)</f>
        <v/>
      </c>
      <c r="Q340" s="16" t="str">
        <f aca="false">IF(A340="","",IF(M340&gt;=Ayarlar!$B$7,"ALARM",IF(M340&gt;=Ayarlar!$B$6,"Planla","")))</f>
        <v/>
      </c>
      <c r="R340" s="14" t="str">
        <f aca="false">IF(A340="","",IF(AND(L340&gt;=0,L340&lt;=Ayarlar!$B$9),"Evet",""))</f>
        <v/>
      </c>
      <c r="S340" s="16" t="str">
        <f aca="false">IF(A340="","",IF(N340="","Yeni personel",IF(P340&lt;0,"Kontrol et","")))</f>
        <v/>
      </c>
      <c r="T340" s="14" t="str">
        <f aca="false">IF(A340="","",IF(AND(G340=1,M340&gt;=Ayarlar!$B$6,OR(Ayarlar!$B$11="Tümü",C340=Ayarlar!$B$11)),M340+ROW()/100000,""))</f>
        <v/>
      </c>
    </row>
    <row r="341" customFormat="false" ht="15" hidden="false" customHeight="false" outlineLevel="0" collapsed="false">
      <c r="A341" s="18" t="str">
        <f aca="false">IF(Veri_Guncel!A341="","",Veri_Guncel!A341)</f>
        <v/>
      </c>
      <c r="B341" s="18" t="str">
        <f aca="false">IF($A341="","",Veri_Guncel!B341)</f>
        <v/>
      </c>
      <c r="C341" s="18" t="str">
        <f aca="false">IF($A341="","",Veri_Guncel!C341)</f>
        <v/>
      </c>
      <c r="D341" s="18" t="str">
        <f aca="false">IF($A341="","",Veri_Guncel!D341)</f>
        <v/>
      </c>
      <c r="E341" s="19" t="str">
        <f aca="false">IF($A341="","",Veri_Guncel!E341)</f>
        <v/>
      </c>
      <c r="F341" s="19" t="str">
        <f aca="false">IF($A341="","",Veri_Guncel!F341)</f>
        <v/>
      </c>
      <c r="G341" s="14" t="str">
        <f aca="false">IF(A341="","",IF(COUNTIF(Ayarlar!$A$15:$A$20,C341)&gt;0,1,0))</f>
        <v/>
      </c>
      <c r="H341" s="14" t="str">
        <f aca="false">IF(A341="","",DATEDIF(E341,Ayarlar!$B$3,"y"))</f>
        <v/>
      </c>
      <c r="I341" s="14" t="str">
        <f aca="false">IF(OR(A341="",F341=""),"",DATEDIF(F341,Ayarlar!$B$3,"y"))</f>
        <v/>
      </c>
      <c r="J341" s="14" t="str">
        <f aca="false">IF(A341="","",IF(H341&lt;1,0,MAX(IF(H341&lt;5,14,IF(H341&lt;15,20,26)),IF(AND(I341&lt;&gt;"",OR(I341&lt;=18,I341&gt;=50)),20,0))))</f>
        <v/>
      </c>
      <c r="K341" s="17" t="str">
        <f aca="false">IF(A341="","",EDATE(E341,12*(H341+1)))</f>
        <v/>
      </c>
      <c r="L341" s="14" t="str">
        <f aca="false">IF(A341="","",K341-Ayarlar!$B$3)</f>
        <v/>
      </c>
      <c r="M341" s="18" t="str">
        <f aca="false">IF(A341="","",Veri_Guncel!H341)</f>
        <v/>
      </c>
      <c r="N341" s="18" t="str">
        <f aca="false">IF(A341="","",IFERROR(INDEX(Veri_Onceki!$H:$H,MATCH(A341,Veri_Onceki!$A:$A,0)),""))</f>
        <v/>
      </c>
      <c r="O341" s="14" t="str">
        <f aca="false">IF(A341="","",IF(AND(H341&gt;=1,EDATE(E341,12*H341)&gt;Ayarlar!$B$4,EDATE(E341,12*H341)&lt;=Ayarlar!$B$3),J341,0))</f>
        <v/>
      </c>
      <c r="P341" s="14" t="str">
        <f aca="false">IF(OR(A341="",N341=""),"",N341+O341-M341)</f>
        <v/>
      </c>
      <c r="Q341" s="16" t="str">
        <f aca="false">IF(A341="","",IF(M341&gt;=Ayarlar!$B$7,"ALARM",IF(M341&gt;=Ayarlar!$B$6,"Planla","")))</f>
        <v/>
      </c>
      <c r="R341" s="14" t="str">
        <f aca="false">IF(A341="","",IF(AND(L341&gt;=0,L341&lt;=Ayarlar!$B$9),"Evet",""))</f>
        <v/>
      </c>
      <c r="S341" s="16" t="str">
        <f aca="false">IF(A341="","",IF(N341="","Yeni personel",IF(P341&lt;0,"Kontrol et","")))</f>
        <v/>
      </c>
      <c r="T341" s="14" t="str">
        <f aca="false">IF(A341="","",IF(AND(G341=1,M341&gt;=Ayarlar!$B$6,OR(Ayarlar!$B$11="Tümü",C341=Ayarlar!$B$11)),M341+ROW()/100000,""))</f>
        <v/>
      </c>
    </row>
    <row r="342" customFormat="false" ht="15" hidden="false" customHeight="false" outlineLevel="0" collapsed="false">
      <c r="A342" s="18" t="str">
        <f aca="false">IF(Veri_Guncel!A342="","",Veri_Guncel!A342)</f>
        <v/>
      </c>
      <c r="B342" s="18" t="str">
        <f aca="false">IF($A342="","",Veri_Guncel!B342)</f>
        <v/>
      </c>
      <c r="C342" s="18" t="str">
        <f aca="false">IF($A342="","",Veri_Guncel!C342)</f>
        <v/>
      </c>
      <c r="D342" s="18" t="str">
        <f aca="false">IF($A342="","",Veri_Guncel!D342)</f>
        <v/>
      </c>
      <c r="E342" s="19" t="str">
        <f aca="false">IF($A342="","",Veri_Guncel!E342)</f>
        <v/>
      </c>
      <c r="F342" s="19" t="str">
        <f aca="false">IF($A342="","",Veri_Guncel!F342)</f>
        <v/>
      </c>
      <c r="G342" s="14" t="str">
        <f aca="false">IF(A342="","",IF(COUNTIF(Ayarlar!$A$15:$A$20,C342)&gt;0,1,0))</f>
        <v/>
      </c>
      <c r="H342" s="14" t="str">
        <f aca="false">IF(A342="","",DATEDIF(E342,Ayarlar!$B$3,"y"))</f>
        <v/>
      </c>
      <c r="I342" s="14" t="str">
        <f aca="false">IF(OR(A342="",F342=""),"",DATEDIF(F342,Ayarlar!$B$3,"y"))</f>
        <v/>
      </c>
      <c r="J342" s="14" t="str">
        <f aca="false">IF(A342="","",IF(H342&lt;1,0,MAX(IF(H342&lt;5,14,IF(H342&lt;15,20,26)),IF(AND(I342&lt;&gt;"",OR(I342&lt;=18,I342&gt;=50)),20,0))))</f>
        <v/>
      </c>
      <c r="K342" s="17" t="str">
        <f aca="false">IF(A342="","",EDATE(E342,12*(H342+1)))</f>
        <v/>
      </c>
      <c r="L342" s="14" t="str">
        <f aca="false">IF(A342="","",K342-Ayarlar!$B$3)</f>
        <v/>
      </c>
      <c r="M342" s="18" t="str">
        <f aca="false">IF(A342="","",Veri_Guncel!H342)</f>
        <v/>
      </c>
      <c r="N342" s="18" t="str">
        <f aca="false">IF(A342="","",IFERROR(INDEX(Veri_Onceki!$H:$H,MATCH(A342,Veri_Onceki!$A:$A,0)),""))</f>
        <v/>
      </c>
      <c r="O342" s="14" t="str">
        <f aca="false">IF(A342="","",IF(AND(H342&gt;=1,EDATE(E342,12*H342)&gt;Ayarlar!$B$4,EDATE(E342,12*H342)&lt;=Ayarlar!$B$3),J342,0))</f>
        <v/>
      </c>
      <c r="P342" s="14" t="str">
        <f aca="false">IF(OR(A342="",N342=""),"",N342+O342-M342)</f>
        <v/>
      </c>
      <c r="Q342" s="16" t="str">
        <f aca="false">IF(A342="","",IF(M342&gt;=Ayarlar!$B$7,"ALARM",IF(M342&gt;=Ayarlar!$B$6,"Planla","")))</f>
        <v/>
      </c>
      <c r="R342" s="14" t="str">
        <f aca="false">IF(A342="","",IF(AND(L342&gt;=0,L342&lt;=Ayarlar!$B$9),"Evet",""))</f>
        <v/>
      </c>
      <c r="S342" s="16" t="str">
        <f aca="false">IF(A342="","",IF(N342="","Yeni personel",IF(P342&lt;0,"Kontrol et","")))</f>
        <v/>
      </c>
      <c r="T342" s="14" t="str">
        <f aca="false">IF(A342="","",IF(AND(G342=1,M342&gt;=Ayarlar!$B$6,OR(Ayarlar!$B$11="Tümü",C342=Ayarlar!$B$11)),M342+ROW()/100000,""))</f>
        <v/>
      </c>
    </row>
    <row r="343" customFormat="false" ht="15" hidden="false" customHeight="false" outlineLevel="0" collapsed="false">
      <c r="A343" s="18" t="str">
        <f aca="false">IF(Veri_Guncel!A343="","",Veri_Guncel!A343)</f>
        <v/>
      </c>
      <c r="B343" s="18" t="str">
        <f aca="false">IF($A343="","",Veri_Guncel!B343)</f>
        <v/>
      </c>
      <c r="C343" s="18" t="str">
        <f aca="false">IF($A343="","",Veri_Guncel!C343)</f>
        <v/>
      </c>
      <c r="D343" s="18" t="str">
        <f aca="false">IF($A343="","",Veri_Guncel!D343)</f>
        <v/>
      </c>
      <c r="E343" s="19" t="str">
        <f aca="false">IF($A343="","",Veri_Guncel!E343)</f>
        <v/>
      </c>
      <c r="F343" s="19" t="str">
        <f aca="false">IF($A343="","",Veri_Guncel!F343)</f>
        <v/>
      </c>
      <c r="G343" s="14" t="str">
        <f aca="false">IF(A343="","",IF(COUNTIF(Ayarlar!$A$15:$A$20,C343)&gt;0,1,0))</f>
        <v/>
      </c>
      <c r="H343" s="14" t="str">
        <f aca="false">IF(A343="","",DATEDIF(E343,Ayarlar!$B$3,"y"))</f>
        <v/>
      </c>
      <c r="I343" s="14" t="str">
        <f aca="false">IF(OR(A343="",F343=""),"",DATEDIF(F343,Ayarlar!$B$3,"y"))</f>
        <v/>
      </c>
      <c r="J343" s="14" t="str">
        <f aca="false">IF(A343="","",IF(H343&lt;1,0,MAX(IF(H343&lt;5,14,IF(H343&lt;15,20,26)),IF(AND(I343&lt;&gt;"",OR(I343&lt;=18,I343&gt;=50)),20,0))))</f>
        <v/>
      </c>
      <c r="K343" s="17" t="str">
        <f aca="false">IF(A343="","",EDATE(E343,12*(H343+1)))</f>
        <v/>
      </c>
      <c r="L343" s="14" t="str">
        <f aca="false">IF(A343="","",K343-Ayarlar!$B$3)</f>
        <v/>
      </c>
      <c r="M343" s="18" t="str">
        <f aca="false">IF(A343="","",Veri_Guncel!H343)</f>
        <v/>
      </c>
      <c r="N343" s="18" t="str">
        <f aca="false">IF(A343="","",IFERROR(INDEX(Veri_Onceki!$H:$H,MATCH(A343,Veri_Onceki!$A:$A,0)),""))</f>
        <v/>
      </c>
      <c r="O343" s="14" t="str">
        <f aca="false">IF(A343="","",IF(AND(H343&gt;=1,EDATE(E343,12*H343)&gt;Ayarlar!$B$4,EDATE(E343,12*H343)&lt;=Ayarlar!$B$3),J343,0))</f>
        <v/>
      </c>
      <c r="P343" s="14" t="str">
        <f aca="false">IF(OR(A343="",N343=""),"",N343+O343-M343)</f>
        <v/>
      </c>
      <c r="Q343" s="16" t="str">
        <f aca="false">IF(A343="","",IF(M343&gt;=Ayarlar!$B$7,"ALARM",IF(M343&gt;=Ayarlar!$B$6,"Planla","")))</f>
        <v/>
      </c>
      <c r="R343" s="14" t="str">
        <f aca="false">IF(A343="","",IF(AND(L343&gt;=0,L343&lt;=Ayarlar!$B$9),"Evet",""))</f>
        <v/>
      </c>
      <c r="S343" s="16" t="str">
        <f aca="false">IF(A343="","",IF(N343="","Yeni personel",IF(P343&lt;0,"Kontrol et","")))</f>
        <v/>
      </c>
      <c r="T343" s="14" t="str">
        <f aca="false">IF(A343="","",IF(AND(G343=1,M343&gt;=Ayarlar!$B$6,OR(Ayarlar!$B$11="Tümü",C343=Ayarlar!$B$11)),M343+ROW()/100000,""))</f>
        <v/>
      </c>
    </row>
    <row r="344" customFormat="false" ht="15" hidden="false" customHeight="false" outlineLevel="0" collapsed="false">
      <c r="A344" s="18" t="str">
        <f aca="false">IF(Veri_Guncel!A344="","",Veri_Guncel!A344)</f>
        <v/>
      </c>
      <c r="B344" s="18" t="str">
        <f aca="false">IF($A344="","",Veri_Guncel!B344)</f>
        <v/>
      </c>
      <c r="C344" s="18" t="str">
        <f aca="false">IF($A344="","",Veri_Guncel!C344)</f>
        <v/>
      </c>
      <c r="D344" s="18" t="str">
        <f aca="false">IF($A344="","",Veri_Guncel!D344)</f>
        <v/>
      </c>
      <c r="E344" s="19" t="str">
        <f aca="false">IF($A344="","",Veri_Guncel!E344)</f>
        <v/>
      </c>
      <c r="F344" s="19" t="str">
        <f aca="false">IF($A344="","",Veri_Guncel!F344)</f>
        <v/>
      </c>
      <c r="G344" s="14" t="str">
        <f aca="false">IF(A344="","",IF(COUNTIF(Ayarlar!$A$15:$A$20,C344)&gt;0,1,0))</f>
        <v/>
      </c>
      <c r="H344" s="14" t="str">
        <f aca="false">IF(A344="","",DATEDIF(E344,Ayarlar!$B$3,"y"))</f>
        <v/>
      </c>
      <c r="I344" s="14" t="str">
        <f aca="false">IF(OR(A344="",F344=""),"",DATEDIF(F344,Ayarlar!$B$3,"y"))</f>
        <v/>
      </c>
      <c r="J344" s="14" t="str">
        <f aca="false">IF(A344="","",IF(H344&lt;1,0,MAX(IF(H344&lt;5,14,IF(H344&lt;15,20,26)),IF(AND(I344&lt;&gt;"",OR(I344&lt;=18,I344&gt;=50)),20,0))))</f>
        <v/>
      </c>
      <c r="K344" s="17" t="str">
        <f aca="false">IF(A344="","",EDATE(E344,12*(H344+1)))</f>
        <v/>
      </c>
      <c r="L344" s="14" t="str">
        <f aca="false">IF(A344="","",K344-Ayarlar!$B$3)</f>
        <v/>
      </c>
      <c r="M344" s="18" t="str">
        <f aca="false">IF(A344="","",Veri_Guncel!H344)</f>
        <v/>
      </c>
      <c r="N344" s="18" t="str">
        <f aca="false">IF(A344="","",IFERROR(INDEX(Veri_Onceki!$H:$H,MATCH(A344,Veri_Onceki!$A:$A,0)),""))</f>
        <v/>
      </c>
      <c r="O344" s="14" t="str">
        <f aca="false">IF(A344="","",IF(AND(H344&gt;=1,EDATE(E344,12*H344)&gt;Ayarlar!$B$4,EDATE(E344,12*H344)&lt;=Ayarlar!$B$3),J344,0))</f>
        <v/>
      </c>
      <c r="P344" s="14" t="str">
        <f aca="false">IF(OR(A344="",N344=""),"",N344+O344-M344)</f>
        <v/>
      </c>
      <c r="Q344" s="16" t="str">
        <f aca="false">IF(A344="","",IF(M344&gt;=Ayarlar!$B$7,"ALARM",IF(M344&gt;=Ayarlar!$B$6,"Planla","")))</f>
        <v/>
      </c>
      <c r="R344" s="14" t="str">
        <f aca="false">IF(A344="","",IF(AND(L344&gt;=0,L344&lt;=Ayarlar!$B$9),"Evet",""))</f>
        <v/>
      </c>
      <c r="S344" s="16" t="str">
        <f aca="false">IF(A344="","",IF(N344="","Yeni personel",IF(P344&lt;0,"Kontrol et","")))</f>
        <v/>
      </c>
      <c r="T344" s="14" t="str">
        <f aca="false">IF(A344="","",IF(AND(G344=1,M344&gt;=Ayarlar!$B$6,OR(Ayarlar!$B$11="Tümü",C344=Ayarlar!$B$11)),M344+ROW()/100000,""))</f>
        <v/>
      </c>
    </row>
    <row r="345" customFormat="false" ht="15" hidden="false" customHeight="false" outlineLevel="0" collapsed="false">
      <c r="A345" s="18" t="str">
        <f aca="false">IF(Veri_Guncel!A345="","",Veri_Guncel!A345)</f>
        <v/>
      </c>
      <c r="B345" s="18" t="str">
        <f aca="false">IF($A345="","",Veri_Guncel!B345)</f>
        <v/>
      </c>
      <c r="C345" s="18" t="str">
        <f aca="false">IF($A345="","",Veri_Guncel!C345)</f>
        <v/>
      </c>
      <c r="D345" s="18" t="str">
        <f aca="false">IF($A345="","",Veri_Guncel!D345)</f>
        <v/>
      </c>
      <c r="E345" s="19" t="str">
        <f aca="false">IF($A345="","",Veri_Guncel!E345)</f>
        <v/>
      </c>
      <c r="F345" s="19" t="str">
        <f aca="false">IF($A345="","",Veri_Guncel!F345)</f>
        <v/>
      </c>
      <c r="G345" s="14" t="str">
        <f aca="false">IF(A345="","",IF(COUNTIF(Ayarlar!$A$15:$A$20,C345)&gt;0,1,0))</f>
        <v/>
      </c>
      <c r="H345" s="14" t="str">
        <f aca="false">IF(A345="","",DATEDIF(E345,Ayarlar!$B$3,"y"))</f>
        <v/>
      </c>
      <c r="I345" s="14" t="str">
        <f aca="false">IF(OR(A345="",F345=""),"",DATEDIF(F345,Ayarlar!$B$3,"y"))</f>
        <v/>
      </c>
      <c r="J345" s="14" t="str">
        <f aca="false">IF(A345="","",IF(H345&lt;1,0,MAX(IF(H345&lt;5,14,IF(H345&lt;15,20,26)),IF(AND(I345&lt;&gt;"",OR(I345&lt;=18,I345&gt;=50)),20,0))))</f>
        <v/>
      </c>
      <c r="K345" s="17" t="str">
        <f aca="false">IF(A345="","",EDATE(E345,12*(H345+1)))</f>
        <v/>
      </c>
      <c r="L345" s="14" t="str">
        <f aca="false">IF(A345="","",K345-Ayarlar!$B$3)</f>
        <v/>
      </c>
      <c r="M345" s="18" t="str">
        <f aca="false">IF(A345="","",Veri_Guncel!H345)</f>
        <v/>
      </c>
      <c r="N345" s="18" t="str">
        <f aca="false">IF(A345="","",IFERROR(INDEX(Veri_Onceki!$H:$H,MATCH(A345,Veri_Onceki!$A:$A,0)),""))</f>
        <v/>
      </c>
      <c r="O345" s="14" t="str">
        <f aca="false">IF(A345="","",IF(AND(H345&gt;=1,EDATE(E345,12*H345)&gt;Ayarlar!$B$4,EDATE(E345,12*H345)&lt;=Ayarlar!$B$3),J345,0))</f>
        <v/>
      </c>
      <c r="P345" s="14" t="str">
        <f aca="false">IF(OR(A345="",N345=""),"",N345+O345-M345)</f>
        <v/>
      </c>
      <c r="Q345" s="16" t="str">
        <f aca="false">IF(A345="","",IF(M345&gt;=Ayarlar!$B$7,"ALARM",IF(M345&gt;=Ayarlar!$B$6,"Planla","")))</f>
        <v/>
      </c>
      <c r="R345" s="14" t="str">
        <f aca="false">IF(A345="","",IF(AND(L345&gt;=0,L345&lt;=Ayarlar!$B$9),"Evet",""))</f>
        <v/>
      </c>
      <c r="S345" s="16" t="str">
        <f aca="false">IF(A345="","",IF(N345="","Yeni personel",IF(P345&lt;0,"Kontrol et","")))</f>
        <v/>
      </c>
      <c r="T345" s="14" t="str">
        <f aca="false">IF(A345="","",IF(AND(G345=1,M345&gt;=Ayarlar!$B$6,OR(Ayarlar!$B$11="Tümü",C345=Ayarlar!$B$11)),M345+ROW()/100000,""))</f>
        <v/>
      </c>
    </row>
    <row r="346" customFormat="false" ht="15" hidden="false" customHeight="false" outlineLevel="0" collapsed="false">
      <c r="A346" s="18" t="str">
        <f aca="false">IF(Veri_Guncel!A346="","",Veri_Guncel!A346)</f>
        <v/>
      </c>
      <c r="B346" s="18" t="str">
        <f aca="false">IF($A346="","",Veri_Guncel!B346)</f>
        <v/>
      </c>
      <c r="C346" s="18" t="str">
        <f aca="false">IF($A346="","",Veri_Guncel!C346)</f>
        <v/>
      </c>
      <c r="D346" s="18" t="str">
        <f aca="false">IF($A346="","",Veri_Guncel!D346)</f>
        <v/>
      </c>
      <c r="E346" s="19" t="str">
        <f aca="false">IF($A346="","",Veri_Guncel!E346)</f>
        <v/>
      </c>
      <c r="F346" s="19" t="str">
        <f aca="false">IF($A346="","",Veri_Guncel!F346)</f>
        <v/>
      </c>
      <c r="G346" s="14" t="str">
        <f aca="false">IF(A346="","",IF(COUNTIF(Ayarlar!$A$15:$A$20,C346)&gt;0,1,0))</f>
        <v/>
      </c>
      <c r="H346" s="14" t="str">
        <f aca="false">IF(A346="","",DATEDIF(E346,Ayarlar!$B$3,"y"))</f>
        <v/>
      </c>
      <c r="I346" s="14" t="str">
        <f aca="false">IF(OR(A346="",F346=""),"",DATEDIF(F346,Ayarlar!$B$3,"y"))</f>
        <v/>
      </c>
      <c r="J346" s="14" t="str">
        <f aca="false">IF(A346="","",IF(H346&lt;1,0,MAX(IF(H346&lt;5,14,IF(H346&lt;15,20,26)),IF(AND(I346&lt;&gt;"",OR(I346&lt;=18,I346&gt;=50)),20,0))))</f>
        <v/>
      </c>
      <c r="K346" s="17" t="str">
        <f aca="false">IF(A346="","",EDATE(E346,12*(H346+1)))</f>
        <v/>
      </c>
      <c r="L346" s="14" t="str">
        <f aca="false">IF(A346="","",K346-Ayarlar!$B$3)</f>
        <v/>
      </c>
      <c r="M346" s="18" t="str">
        <f aca="false">IF(A346="","",Veri_Guncel!H346)</f>
        <v/>
      </c>
      <c r="N346" s="18" t="str">
        <f aca="false">IF(A346="","",IFERROR(INDEX(Veri_Onceki!$H:$H,MATCH(A346,Veri_Onceki!$A:$A,0)),""))</f>
        <v/>
      </c>
      <c r="O346" s="14" t="str">
        <f aca="false">IF(A346="","",IF(AND(H346&gt;=1,EDATE(E346,12*H346)&gt;Ayarlar!$B$4,EDATE(E346,12*H346)&lt;=Ayarlar!$B$3),J346,0))</f>
        <v/>
      </c>
      <c r="P346" s="14" t="str">
        <f aca="false">IF(OR(A346="",N346=""),"",N346+O346-M346)</f>
        <v/>
      </c>
      <c r="Q346" s="16" t="str">
        <f aca="false">IF(A346="","",IF(M346&gt;=Ayarlar!$B$7,"ALARM",IF(M346&gt;=Ayarlar!$B$6,"Planla","")))</f>
        <v/>
      </c>
      <c r="R346" s="14" t="str">
        <f aca="false">IF(A346="","",IF(AND(L346&gt;=0,L346&lt;=Ayarlar!$B$9),"Evet",""))</f>
        <v/>
      </c>
      <c r="S346" s="16" t="str">
        <f aca="false">IF(A346="","",IF(N346="","Yeni personel",IF(P346&lt;0,"Kontrol et","")))</f>
        <v/>
      </c>
      <c r="T346" s="14" t="str">
        <f aca="false">IF(A346="","",IF(AND(G346=1,M346&gt;=Ayarlar!$B$6,OR(Ayarlar!$B$11="Tümü",C346=Ayarlar!$B$11)),M346+ROW()/100000,""))</f>
        <v/>
      </c>
    </row>
    <row r="347" customFormat="false" ht="15" hidden="false" customHeight="false" outlineLevel="0" collapsed="false">
      <c r="A347" s="18" t="str">
        <f aca="false">IF(Veri_Guncel!A347="","",Veri_Guncel!A347)</f>
        <v/>
      </c>
      <c r="B347" s="18" t="str">
        <f aca="false">IF($A347="","",Veri_Guncel!B347)</f>
        <v/>
      </c>
      <c r="C347" s="18" t="str">
        <f aca="false">IF($A347="","",Veri_Guncel!C347)</f>
        <v/>
      </c>
      <c r="D347" s="18" t="str">
        <f aca="false">IF($A347="","",Veri_Guncel!D347)</f>
        <v/>
      </c>
      <c r="E347" s="19" t="str">
        <f aca="false">IF($A347="","",Veri_Guncel!E347)</f>
        <v/>
      </c>
      <c r="F347" s="19" t="str">
        <f aca="false">IF($A347="","",Veri_Guncel!F347)</f>
        <v/>
      </c>
      <c r="G347" s="14" t="str">
        <f aca="false">IF(A347="","",IF(COUNTIF(Ayarlar!$A$15:$A$20,C347)&gt;0,1,0))</f>
        <v/>
      </c>
      <c r="H347" s="14" t="str">
        <f aca="false">IF(A347="","",DATEDIF(E347,Ayarlar!$B$3,"y"))</f>
        <v/>
      </c>
      <c r="I347" s="14" t="str">
        <f aca="false">IF(OR(A347="",F347=""),"",DATEDIF(F347,Ayarlar!$B$3,"y"))</f>
        <v/>
      </c>
      <c r="J347" s="14" t="str">
        <f aca="false">IF(A347="","",IF(H347&lt;1,0,MAX(IF(H347&lt;5,14,IF(H347&lt;15,20,26)),IF(AND(I347&lt;&gt;"",OR(I347&lt;=18,I347&gt;=50)),20,0))))</f>
        <v/>
      </c>
      <c r="K347" s="17" t="str">
        <f aca="false">IF(A347="","",EDATE(E347,12*(H347+1)))</f>
        <v/>
      </c>
      <c r="L347" s="14" t="str">
        <f aca="false">IF(A347="","",K347-Ayarlar!$B$3)</f>
        <v/>
      </c>
      <c r="M347" s="18" t="str">
        <f aca="false">IF(A347="","",Veri_Guncel!H347)</f>
        <v/>
      </c>
      <c r="N347" s="18" t="str">
        <f aca="false">IF(A347="","",IFERROR(INDEX(Veri_Onceki!$H:$H,MATCH(A347,Veri_Onceki!$A:$A,0)),""))</f>
        <v/>
      </c>
      <c r="O347" s="14" t="str">
        <f aca="false">IF(A347="","",IF(AND(H347&gt;=1,EDATE(E347,12*H347)&gt;Ayarlar!$B$4,EDATE(E347,12*H347)&lt;=Ayarlar!$B$3),J347,0))</f>
        <v/>
      </c>
      <c r="P347" s="14" t="str">
        <f aca="false">IF(OR(A347="",N347=""),"",N347+O347-M347)</f>
        <v/>
      </c>
      <c r="Q347" s="16" t="str">
        <f aca="false">IF(A347="","",IF(M347&gt;=Ayarlar!$B$7,"ALARM",IF(M347&gt;=Ayarlar!$B$6,"Planla","")))</f>
        <v/>
      </c>
      <c r="R347" s="14" t="str">
        <f aca="false">IF(A347="","",IF(AND(L347&gt;=0,L347&lt;=Ayarlar!$B$9),"Evet",""))</f>
        <v/>
      </c>
      <c r="S347" s="16" t="str">
        <f aca="false">IF(A347="","",IF(N347="","Yeni personel",IF(P347&lt;0,"Kontrol et","")))</f>
        <v/>
      </c>
      <c r="T347" s="14" t="str">
        <f aca="false">IF(A347="","",IF(AND(G347=1,M347&gt;=Ayarlar!$B$6,OR(Ayarlar!$B$11="Tümü",C347=Ayarlar!$B$11)),M347+ROW()/100000,""))</f>
        <v/>
      </c>
    </row>
    <row r="348" customFormat="false" ht="15" hidden="false" customHeight="false" outlineLevel="0" collapsed="false">
      <c r="A348" s="18" t="str">
        <f aca="false">IF(Veri_Guncel!A348="","",Veri_Guncel!A348)</f>
        <v/>
      </c>
      <c r="B348" s="18" t="str">
        <f aca="false">IF($A348="","",Veri_Guncel!B348)</f>
        <v/>
      </c>
      <c r="C348" s="18" t="str">
        <f aca="false">IF($A348="","",Veri_Guncel!C348)</f>
        <v/>
      </c>
      <c r="D348" s="18" t="str">
        <f aca="false">IF($A348="","",Veri_Guncel!D348)</f>
        <v/>
      </c>
      <c r="E348" s="19" t="str">
        <f aca="false">IF($A348="","",Veri_Guncel!E348)</f>
        <v/>
      </c>
      <c r="F348" s="19" t="str">
        <f aca="false">IF($A348="","",Veri_Guncel!F348)</f>
        <v/>
      </c>
      <c r="G348" s="14" t="str">
        <f aca="false">IF(A348="","",IF(COUNTIF(Ayarlar!$A$15:$A$20,C348)&gt;0,1,0))</f>
        <v/>
      </c>
      <c r="H348" s="14" t="str">
        <f aca="false">IF(A348="","",DATEDIF(E348,Ayarlar!$B$3,"y"))</f>
        <v/>
      </c>
      <c r="I348" s="14" t="str">
        <f aca="false">IF(OR(A348="",F348=""),"",DATEDIF(F348,Ayarlar!$B$3,"y"))</f>
        <v/>
      </c>
      <c r="J348" s="14" t="str">
        <f aca="false">IF(A348="","",IF(H348&lt;1,0,MAX(IF(H348&lt;5,14,IF(H348&lt;15,20,26)),IF(AND(I348&lt;&gt;"",OR(I348&lt;=18,I348&gt;=50)),20,0))))</f>
        <v/>
      </c>
      <c r="K348" s="17" t="str">
        <f aca="false">IF(A348="","",EDATE(E348,12*(H348+1)))</f>
        <v/>
      </c>
      <c r="L348" s="14" t="str">
        <f aca="false">IF(A348="","",K348-Ayarlar!$B$3)</f>
        <v/>
      </c>
      <c r="M348" s="18" t="str">
        <f aca="false">IF(A348="","",Veri_Guncel!H348)</f>
        <v/>
      </c>
      <c r="N348" s="18" t="str">
        <f aca="false">IF(A348="","",IFERROR(INDEX(Veri_Onceki!$H:$H,MATCH(A348,Veri_Onceki!$A:$A,0)),""))</f>
        <v/>
      </c>
      <c r="O348" s="14" t="str">
        <f aca="false">IF(A348="","",IF(AND(H348&gt;=1,EDATE(E348,12*H348)&gt;Ayarlar!$B$4,EDATE(E348,12*H348)&lt;=Ayarlar!$B$3),J348,0))</f>
        <v/>
      </c>
      <c r="P348" s="14" t="str">
        <f aca="false">IF(OR(A348="",N348=""),"",N348+O348-M348)</f>
        <v/>
      </c>
      <c r="Q348" s="16" t="str">
        <f aca="false">IF(A348="","",IF(M348&gt;=Ayarlar!$B$7,"ALARM",IF(M348&gt;=Ayarlar!$B$6,"Planla","")))</f>
        <v/>
      </c>
      <c r="R348" s="14" t="str">
        <f aca="false">IF(A348="","",IF(AND(L348&gt;=0,L348&lt;=Ayarlar!$B$9),"Evet",""))</f>
        <v/>
      </c>
      <c r="S348" s="16" t="str">
        <f aca="false">IF(A348="","",IF(N348="","Yeni personel",IF(P348&lt;0,"Kontrol et","")))</f>
        <v/>
      </c>
      <c r="T348" s="14" t="str">
        <f aca="false">IF(A348="","",IF(AND(G348=1,M348&gt;=Ayarlar!$B$6,OR(Ayarlar!$B$11="Tümü",C348=Ayarlar!$B$11)),M348+ROW()/100000,""))</f>
        <v/>
      </c>
    </row>
    <row r="349" customFormat="false" ht="15" hidden="false" customHeight="false" outlineLevel="0" collapsed="false">
      <c r="A349" s="18" t="str">
        <f aca="false">IF(Veri_Guncel!A349="","",Veri_Guncel!A349)</f>
        <v/>
      </c>
      <c r="B349" s="18" t="str">
        <f aca="false">IF($A349="","",Veri_Guncel!B349)</f>
        <v/>
      </c>
      <c r="C349" s="18" t="str">
        <f aca="false">IF($A349="","",Veri_Guncel!C349)</f>
        <v/>
      </c>
      <c r="D349" s="18" t="str">
        <f aca="false">IF($A349="","",Veri_Guncel!D349)</f>
        <v/>
      </c>
      <c r="E349" s="19" t="str">
        <f aca="false">IF($A349="","",Veri_Guncel!E349)</f>
        <v/>
      </c>
      <c r="F349" s="19" t="str">
        <f aca="false">IF($A349="","",Veri_Guncel!F349)</f>
        <v/>
      </c>
      <c r="G349" s="14" t="str">
        <f aca="false">IF(A349="","",IF(COUNTIF(Ayarlar!$A$15:$A$20,C349)&gt;0,1,0))</f>
        <v/>
      </c>
      <c r="H349" s="14" t="str">
        <f aca="false">IF(A349="","",DATEDIF(E349,Ayarlar!$B$3,"y"))</f>
        <v/>
      </c>
      <c r="I349" s="14" t="str">
        <f aca="false">IF(OR(A349="",F349=""),"",DATEDIF(F349,Ayarlar!$B$3,"y"))</f>
        <v/>
      </c>
      <c r="J349" s="14" t="str">
        <f aca="false">IF(A349="","",IF(H349&lt;1,0,MAX(IF(H349&lt;5,14,IF(H349&lt;15,20,26)),IF(AND(I349&lt;&gt;"",OR(I349&lt;=18,I349&gt;=50)),20,0))))</f>
        <v/>
      </c>
      <c r="K349" s="17" t="str">
        <f aca="false">IF(A349="","",EDATE(E349,12*(H349+1)))</f>
        <v/>
      </c>
      <c r="L349" s="14" t="str">
        <f aca="false">IF(A349="","",K349-Ayarlar!$B$3)</f>
        <v/>
      </c>
      <c r="M349" s="18" t="str">
        <f aca="false">IF(A349="","",Veri_Guncel!H349)</f>
        <v/>
      </c>
      <c r="N349" s="18" t="str">
        <f aca="false">IF(A349="","",IFERROR(INDEX(Veri_Onceki!$H:$H,MATCH(A349,Veri_Onceki!$A:$A,0)),""))</f>
        <v/>
      </c>
      <c r="O349" s="14" t="str">
        <f aca="false">IF(A349="","",IF(AND(H349&gt;=1,EDATE(E349,12*H349)&gt;Ayarlar!$B$4,EDATE(E349,12*H349)&lt;=Ayarlar!$B$3),J349,0))</f>
        <v/>
      </c>
      <c r="P349" s="14" t="str">
        <f aca="false">IF(OR(A349="",N349=""),"",N349+O349-M349)</f>
        <v/>
      </c>
      <c r="Q349" s="16" t="str">
        <f aca="false">IF(A349="","",IF(M349&gt;=Ayarlar!$B$7,"ALARM",IF(M349&gt;=Ayarlar!$B$6,"Planla","")))</f>
        <v/>
      </c>
      <c r="R349" s="14" t="str">
        <f aca="false">IF(A349="","",IF(AND(L349&gt;=0,L349&lt;=Ayarlar!$B$9),"Evet",""))</f>
        <v/>
      </c>
      <c r="S349" s="16" t="str">
        <f aca="false">IF(A349="","",IF(N349="","Yeni personel",IF(P349&lt;0,"Kontrol et","")))</f>
        <v/>
      </c>
      <c r="T349" s="14" t="str">
        <f aca="false">IF(A349="","",IF(AND(G349=1,M349&gt;=Ayarlar!$B$6,OR(Ayarlar!$B$11="Tümü",C349=Ayarlar!$B$11)),M349+ROW()/100000,""))</f>
        <v/>
      </c>
    </row>
    <row r="350" customFormat="false" ht="15" hidden="false" customHeight="false" outlineLevel="0" collapsed="false">
      <c r="A350" s="18" t="str">
        <f aca="false">IF(Veri_Guncel!A350="","",Veri_Guncel!A350)</f>
        <v/>
      </c>
      <c r="B350" s="18" t="str">
        <f aca="false">IF($A350="","",Veri_Guncel!B350)</f>
        <v/>
      </c>
      <c r="C350" s="18" t="str">
        <f aca="false">IF($A350="","",Veri_Guncel!C350)</f>
        <v/>
      </c>
      <c r="D350" s="18" t="str">
        <f aca="false">IF($A350="","",Veri_Guncel!D350)</f>
        <v/>
      </c>
      <c r="E350" s="19" t="str">
        <f aca="false">IF($A350="","",Veri_Guncel!E350)</f>
        <v/>
      </c>
      <c r="F350" s="19" t="str">
        <f aca="false">IF($A350="","",Veri_Guncel!F350)</f>
        <v/>
      </c>
      <c r="G350" s="14" t="str">
        <f aca="false">IF(A350="","",IF(COUNTIF(Ayarlar!$A$15:$A$20,C350)&gt;0,1,0))</f>
        <v/>
      </c>
      <c r="H350" s="14" t="str">
        <f aca="false">IF(A350="","",DATEDIF(E350,Ayarlar!$B$3,"y"))</f>
        <v/>
      </c>
      <c r="I350" s="14" t="str">
        <f aca="false">IF(OR(A350="",F350=""),"",DATEDIF(F350,Ayarlar!$B$3,"y"))</f>
        <v/>
      </c>
      <c r="J350" s="14" t="str">
        <f aca="false">IF(A350="","",IF(H350&lt;1,0,MAX(IF(H350&lt;5,14,IF(H350&lt;15,20,26)),IF(AND(I350&lt;&gt;"",OR(I350&lt;=18,I350&gt;=50)),20,0))))</f>
        <v/>
      </c>
      <c r="K350" s="17" t="str">
        <f aca="false">IF(A350="","",EDATE(E350,12*(H350+1)))</f>
        <v/>
      </c>
      <c r="L350" s="14" t="str">
        <f aca="false">IF(A350="","",K350-Ayarlar!$B$3)</f>
        <v/>
      </c>
      <c r="M350" s="18" t="str">
        <f aca="false">IF(A350="","",Veri_Guncel!H350)</f>
        <v/>
      </c>
      <c r="N350" s="18" t="str">
        <f aca="false">IF(A350="","",IFERROR(INDEX(Veri_Onceki!$H:$H,MATCH(A350,Veri_Onceki!$A:$A,0)),""))</f>
        <v/>
      </c>
      <c r="O350" s="14" t="str">
        <f aca="false">IF(A350="","",IF(AND(H350&gt;=1,EDATE(E350,12*H350)&gt;Ayarlar!$B$4,EDATE(E350,12*H350)&lt;=Ayarlar!$B$3),J350,0))</f>
        <v/>
      </c>
      <c r="P350" s="14" t="str">
        <f aca="false">IF(OR(A350="",N350=""),"",N350+O350-M350)</f>
        <v/>
      </c>
      <c r="Q350" s="16" t="str">
        <f aca="false">IF(A350="","",IF(M350&gt;=Ayarlar!$B$7,"ALARM",IF(M350&gt;=Ayarlar!$B$6,"Planla","")))</f>
        <v/>
      </c>
      <c r="R350" s="14" t="str">
        <f aca="false">IF(A350="","",IF(AND(L350&gt;=0,L350&lt;=Ayarlar!$B$9),"Evet",""))</f>
        <v/>
      </c>
      <c r="S350" s="16" t="str">
        <f aca="false">IF(A350="","",IF(N350="","Yeni personel",IF(P350&lt;0,"Kontrol et","")))</f>
        <v/>
      </c>
      <c r="T350" s="14" t="str">
        <f aca="false">IF(A350="","",IF(AND(G350=1,M350&gt;=Ayarlar!$B$6,OR(Ayarlar!$B$11="Tümü",C350=Ayarlar!$B$11)),M350+ROW()/100000,""))</f>
        <v/>
      </c>
    </row>
    <row r="351" customFormat="false" ht="15" hidden="false" customHeight="false" outlineLevel="0" collapsed="false">
      <c r="A351" s="18" t="str">
        <f aca="false">IF(Veri_Guncel!A351="","",Veri_Guncel!A351)</f>
        <v/>
      </c>
      <c r="B351" s="18" t="str">
        <f aca="false">IF($A351="","",Veri_Guncel!B351)</f>
        <v/>
      </c>
      <c r="C351" s="18" t="str">
        <f aca="false">IF($A351="","",Veri_Guncel!C351)</f>
        <v/>
      </c>
      <c r="D351" s="18" t="str">
        <f aca="false">IF($A351="","",Veri_Guncel!D351)</f>
        <v/>
      </c>
      <c r="E351" s="19" t="str">
        <f aca="false">IF($A351="","",Veri_Guncel!E351)</f>
        <v/>
      </c>
      <c r="F351" s="19" t="str">
        <f aca="false">IF($A351="","",Veri_Guncel!F351)</f>
        <v/>
      </c>
      <c r="G351" s="14" t="str">
        <f aca="false">IF(A351="","",IF(COUNTIF(Ayarlar!$A$15:$A$20,C351)&gt;0,1,0))</f>
        <v/>
      </c>
      <c r="H351" s="14" t="str">
        <f aca="false">IF(A351="","",DATEDIF(E351,Ayarlar!$B$3,"y"))</f>
        <v/>
      </c>
      <c r="I351" s="14" t="str">
        <f aca="false">IF(OR(A351="",F351=""),"",DATEDIF(F351,Ayarlar!$B$3,"y"))</f>
        <v/>
      </c>
      <c r="J351" s="14" t="str">
        <f aca="false">IF(A351="","",IF(H351&lt;1,0,MAX(IF(H351&lt;5,14,IF(H351&lt;15,20,26)),IF(AND(I351&lt;&gt;"",OR(I351&lt;=18,I351&gt;=50)),20,0))))</f>
        <v/>
      </c>
      <c r="K351" s="17" t="str">
        <f aca="false">IF(A351="","",EDATE(E351,12*(H351+1)))</f>
        <v/>
      </c>
      <c r="L351" s="14" t="str">
        <f aca="false">IF(A351="","",K351-Ayarlar!$B$3)</f>
        <v/>
      </c>
      <c r="M351" s="18" t="str">
        <f aca="false">IF(A351="","",Veri_Guncel!H351)</f>
        <v/>
      </c>
      <c r="N351" s="18" t="str">
        <f aca="false">IF(A351="","",IFERROR(INDEX(Veri_Onceki!$H:$H,MATCH(A351,Veri_Onceki!$A:$A,0)),""))</f>
        <v/>
      </c>
      <c r="O351" s="14" t="str">
        <f aca="false">IF(A351="","",IF(AND(H351&gt;=1,EDATE(E351,12*H351)&gt;Ayarlar!$B$4,EDATE(E351,12*H351)&lt;=Ayarlar!$B$3),J351,0))</f>
        <v/>
      </c>
      <c r="P351" s="14" t="str">
        <f aca="false">IF(OR(A351="",N351=""),"",N351+O351-M351)</f>
        <v/>
      </c>
      <c r="Q351" s="16" t="str">
        <f aca="false">IF(A351="","",IF(M351&gt;=Ayarlar!$B$7,"ALARM",IF(M351&gt;=Ayarlar!$B$6,"Planla","")))</f>
        <v/>
      </c>
      <c r="R351" s="14" t="str">
        <f aca="false">IF(A351="","",IF(AND(L351&gt;=0,L351&lt;=Ayarlar!$B$9),"Evet",""))</f>
        <v/>
      </c>
      <c r="S351" s="16" t="str">
        <f aca="false">IF(A351="","",IF(N351="","Yeni personel",IF(P351&lt;0,"Kontrol et","")))</f>
        <v/>
      </c>
      <c r="T351" s="14" t="str">
        <f aca="false">IF(A351="","",IF(AND(G351=1,M351&gt;=Ayarlar!$B$6,OR(Ayarlar!$B$11="Tümü",C351=Ayarlar!$B$11)),M351+ROW()/100000,""))</f>
        <v/>
      </c>
    </row>
    <row r="352" customFormat="false" ht="15" hidden="false" customHeight="false" outlineLevel="0" collapsed="false">
      <c r="A352" s="18" t="str">
        <f aca="false">IF(Veri_Guncel!A352="","",Veri_Guncel!A352)</f>
        <v/>
      </c>
      <c r="B352" s="18" t="str">
        <f aca="false">IF($A352="","",Veri_Guncel!B352)</f>
        <v/>
      </c>
      <c r="C352" s="18" t="str">
        <f aca="false">IF($A352="","",Veri_Guncel!C352)</f>
        <v/>
      </c>
      <c r="D352" s="18" t="str">
        <f aca="false">IF($A352="","",Veri_Guncel!D352)</f>
        <v/>
      </c>
      <c r="E352" s="19" t="str">
        <f aca="false">IF($A352="","",Veri_Guncel!E352)</f>
        <v/>
      </c>
      <c r="F352" s="19" t="str">
        <f aca="false">IF($A352="","",Veri_Guncel!F352)</f>
        <v/>
      </c>
      <c r="G352" s="14" t="str">
        <f aca="false">IF(A352="","",IF(COUNTIF(Ayarlar!$A$15:$A$20,C352)&gt;0,1,0))</f>
        <v/>
      </c>
      <c r="H352" s="14" t="str">
        <f aca="false">IF(A352="","",DATEDIF(E352,Ayarlar!$B$3,"y"))</f>
        <v/>
      </c>
      <c r="I352" s="14" t="str">
        <f aca="false">IF(OR(A352="",F352=""),"",DATEDIF(F352,Ayarlar!$B$3,"y"))</f>
        <v/>
      </c>
      <c r="J352" s="14" t="str">
        <f aca="false">IF(A352="","",IF(H352&lt;1,0,MAX(IF(H352&lt;5,14,IF(H352&lt;15,20,26)),IF(AND(I352&lt;&gt;"",OR(I352&lt;=18,I352&gt;=50)),20,0))))</f>
        <v/>
      </c>
      <c r="K352" s="17" t="str">
        <f aca="false">IF(A352="","",EDATE(E352,12*(H352+1)))</f>
        <v/>
      </c>
      <c r="L352" s="14" t="str">
        <f aca="false">IF(A352="","",K352-Ayarlar!$B$3)</f>
        <v/>
      </c>
      <c r="M352" s="18" t="str">
        <f aca="false">IF(A352="","",Veri_Guncel!H352)</f>
        <v/>
      </c>
      <c r="N352" s="18" t="str">
        <f aca="false">IF(A352="","",IFERROR(INDEX(Veri_Onceki!$H:$H,MATCH(A352,Veri_Onceki!$A:$A,0)),""))</f>
        <v/>
      </c>
      <c r="O352" s="14" t="str">
        <f aca="false">IF(A352="","",IF(AND(H352&gt;=1,EDATE(E352,12*H352)&gt;Ayarlar!$B$4,EDATE(E352,12*H352)&lt;=Ayarlar!$B$3),J352,0))</f>
        <v/>
      </c>
      <c r="P352" s="14" t="str">
        <f aca="false">IF(OR(A352="",N352=""),"",N352+O352-M352)</f>
        <v/>
      </c>
      <c r="Q352" s="16" t="str">
        <f aca="false">IF(A352="","",IF(M352&gt;=Ayarlar!$B$7,"ALARM",IF(M352&gt;=Ayarlar!$B$6,"Planla","")))</f>
        <v/>
      </c>
      <c r="R352" s="14" t="str">
        <f aca="false">IF(A352="","",IF(AND(L352&gt;=0,L352&lt;=Ayarlar!$B$9),"Evet",""))</f>
        <v/>
      </c>
      <c r="S352" s="16" t="str">
        <f aca="false">IF(A352="","",IF(N352="","Yeni personel",IF(P352&lt;0,"Kontrol et","")))</f>
        <v/>
      </c>
      <c r="T352" s="14" t="str">
        <f aca="false">IF(A352="","",IF(AND(G352=1,M352&gt;=Ayarlar!$B$6,OR(Ayarlar!$B$11="Tümü",C352=Ayarlar!$B$11)),M352+ROW()/100000,""))</f>
        <v/>
      </c>
    </row>
    <row r="353" customFormat="false" ht="15" hidden="false" customHeight="false" outlineLevel="0" collapsed="false">
      <c r="A353" s="18" t="str">
        <f aca="false">IF(Veri_Guncel!A353="","",Veri_Guncel!A353)</f>
        <v/>
      </c>
      <c r="B353" s="18" t="str">
        <f aca="false">IF($A353="","",Veri_Guncel!B353)</f>
        <v/>
      </c>
      <c r="C353" s="18" t="str">
        <f aca="false">IF($A353="","",Veri_Guncel!C353)</f>
        <v/>
      </c>
      <c r="D353" s="18" t="str">
        <f aca="false">IF($A353="","",Veri_Guncel!D353)</f>
        <v/>
      </c>
      <c r="E353" s="19" t="str">
        <f aca="false">IF($A353="","",Veri_Guncel!E353)</f>
        <v/>
      </c>
      <c r="F353" s="19" t="str">
        <f aca="false">IF($A353="","",Veri_Guncel!F353)</f>
        <v/>
      </c>
      <c r="G353" s="14" t="str">
        <f aca="false">IF(A353="","",IF(COUNTIF(Ayarlar!$A$15:$A$20,C353)&gt;0,1,0))</f>
        <v/>
      </c>
      <c r="H353" s="14" t="str">
        <f aca="false">IF(A353="","",DATEDIF(E353,Ayarlar!$B$3,"y"))</f>
        <v/>
      </c>
      <c r="I353" s="14" t="str">
        <f aca="false">IF(OR(A353="",F353=""),"",DATEDIF(F353,Ayarlar!$B$3,"y"))</f>
        <v/>
      </c>
      <c r="J353" s="14" t="str">
        <f aca="false">IF(A353="","",IF(H353&lt;1,0,MAX(IF(H353&lt;5,14,IF(H353&lt;15,20,26)),IF(AND(I353&lt;&gt;"",OR(I353&lt;=18,I353&gt;=50)),20,0))))</f>
        <v/>
      </c>
      <c r="K353" s="17" t="str">
        <f aca="false">IF(A353="","",EDATE(E353,12*(H353+1)))</f>
        <v/>
      </c>
      <c r="L353" s="14" t="str">
        <f aca="false">IF(A353="","",K353-Ayarlar!$B$3)</f>
        <v/>
      </c>
      <c r="M353" s="18" t="str">
        <f aca="false">IF(A353="","",Veri_Guncel!H353)</f>
        <v/>
      </c>
      <c r="N353" s="18" t="str">
        <f aca="false">IF(A353="","",IFERROR(INDEX(Veri_Onceki!$H:$H,MATCH(A353,Veri_Onceki!$A:$A,0)),""))</f>
        <v/>
      </c>
      <c r="O353" s="14" t="str">
        <f aca="false">IF(A353="","",IF(AND(H353&gt;=1,EDATE(E353,12*H353)&gt;Ayarlar!$B$4,EDATE(E353,12*H353)&lt;=Ayarlar!$B$3),J353,0))</f>
        <v/>
      </c>
      <c r="P353" s="14" t="str">
        <f aca="false">IF(OR(A353="",N353=""),"",N353+O353-M353)</f>
        <v/>
      </c>
      <c r="Q353" s="16" t="str">
        <f aca="false">IF(A353="","",IF(M353&gt;=Ayarlar!$B$7,"ALARM",IF(M353&gt;=Ayarlar!$B$6,"Planla","")))</f>
        <v/>
      </c>
      <c r="R353" s="14" t="str">
        <f aca="false">IF(A353="","",IF(AND(L353&gt;=0,L353&lt;=Ayarlar!$B$9),"Evet",""))</f>
        <v/>
      </c>
      <c r="S353" s="16" t="str">
        <f aca="false">IF(A353="","",IF(N353="","Yeni personel",IF(P353&lt;0,"Kontrol et","")))</f>
        <v/>
      </c>
      <c r="T353" s="14" t="str">
        <f aca="false">IF(A353="","",IF(AND(G353=1,M353&gt;=Ayarlar!$B$6,OR(Ayarlar!$B$11="Tümü",C353=Ayarlar!$B$11)),M353+ROW()/100000,""))</f>
        <v/>
      </c>
    </row>
    <row r="354" customFormat="false" ht="15" hidden="false" customHeight="false" outlineLevel="0" collapsed="false">
      <c r="A354" s="18" t="str">
        <f aca="false">IF(Veri_Guncel!A354="","",Veri_Guncel!A354)</f>
        <v/>
      </c>
      <c r="B354" s="18" t="str">
        <f aca="false">IF($A354="","",Veri_Guncel!B354)</f>
        <v/>
      </c>
      <c r="C354" s="18" t="str">
        <f aca="false">IF($A354="","",Veri_Guncel!C354)</f>
        <v/>
      </c>
      <c r="D354" s="18" t="str">
        <f aca="false">IF($A354="","",Veri_Guncel!D354)</f>
        <v/>
      </c>
      <c r="E354" s="19" t="str">
        <f aca="false">IF($A354="","",Veri_Guncel!E354)</f>
        <v/>
      </c>
      <c r="F354" s="19" t="str">
        <f aca="false">IF($A354="","",Veri_Guncel!F354)</f>
        <v/>
      </c>
      <c r="G354" s="14" t="str">
        <f aca="false">IF(A354="","",IF(COUNTIF(Ayarlar!$A$15:$A$20,C354)&gt;0,1,0))</f>
        <v/>
      </c>
      <c r="H354" s="14" t="str">
        <f aca="false">IF(A354="","",DATEDIF(E354,Ayarlar!$B$3,"y"))</f>
        <v/>
      </c>
      <c r="I354" s="14" t="str">
        <f aca="false">IF(OR(A354="",F354=""),"",DATEDIF(F354,Ayarlar!$B$3,"y"))</f>
        <v/>
      </c>
      <c r="J354" s="14" t="str">
        <f aca="false">IF(A354="","",IF(H354&lt;1,0,MAX(IF(H354&lt;5,14,IF(H354&lt;15,20,26)),IF(AND(I354&lt;&gt;"",OR(I354&lt;=18,I354&gt;=50)),20,0))))</f>
        <v/>
      </c>
      <c r="K354" s="17" t="str">
        <f aca="false">IF(A354="","",EDATE(E354,12*(H354+1)))</f>
        <v/>
      </c>
      <c r="L354" s="14" t="str">
        <f aca="false">IF(A354="","",K354-Ayarlar!$B$3)</f>
        <v/>
      </c>
      <c r="M354" s="18" t="str">
        <f aca="false">IF(A354="","",Veri_Guncel!H354)</f>
        <v/>
      </c>
      <c r="N354" s="18" t="str">
        <f aca="false">IF(A354="","",IFERROR(INDEX(Veri_Onceki!$H:$H,MATCH(A354,Veri_Onceki!$A:$A,0)),""))</f>
        <v/>
      </c>
      <c r="O354" s="14" t="str">
        <f aca="false">IF(A354="","",IF(AND(H354&gt;=1,EDATE(E354,12*H354)&gt;Ayarlar!$B$4,EDATE(E354,12*H354)&lt;=Ayarlar!$B$3),J354,0))</f>
        <v/>
      </c>
      <c r="P354" s="14" t="str">
        <f aca="false">IF(OR(A354="",N354=""),"",N354+O354-M354)</f>
        <v/>
      </c>
      <c r="Q354" s="16" t="str">
        <f aca="false">IF(A354="","",IF(M354&gt;=Ayarlar!$B$7,"ALARM",IF(M354&gt;=Ayarlar!$B$6,"Planla","")))</f>
        <v/>
      </c>
      <c r="R354" s="14" t="str">
        <f aca="false">IF(A354="","",IF(AND(L354&gt;=0,L354&lt;=Ayarlar!$B$9),"Evet",""))</f>
        <v/>
      </c>
      <c r="S354" s="16" t="str">
        <f aca="false">IF(A354="","",IF(N354="","Yeni personel",IF(P354&lt;0,"Kontrol et","")))</f>
        <v/>
      </c>
      <c r="T354" s="14" t="str">
        <f aca="false">IF(A354="","",IF(AND(G354=1,M354&gt;=Ayarlar!$B$6,OR(Ayarlar!$B$11="Tümü",C354=Ayarlar!$B$11)),M354+ROW()/100000,""))</f>
        <v/>
      </c>
    </row>
    <row r="355" customFormat="false" ht="15" hidden="false" customHeight="false" outlineLevel="0" collapsed="false">
      <c r="A355" s="18" t="str">
        <f aca="false">IF(Veri_Guncel!A355="","",Veri_Guncel!A355)</f>
        <v/>
      </c>
      <c r="B355" s="18" t="str">
        <f aca="false">IF($A355="","",Veri_Guncel!B355)</f>
        <v/>
      </c>
      <c r="C355" s="18" t="str">
        <f aca="false">IF($A355="","",Veri_Guncel!C355)</f>
        <v/>
      </c>
      <c r="D355" s="18" t="str">
        <f aca="false">IF($A355="","",Veri_Guncel!D355)</f>
        <v/>
      </c>
      <c r="E355" s="19" t="str">
        <f aca="false">IF($A355="","",Veri_Guncel!E355)</f>
        <v/>
      </c>
      <c r="F355" s="19" t="str">
        <f aca="false">IF($A355="","",Veri_Guncel!F355)</f>
        <v/>
      </c>
      <c r="G355" s="14" t="str">
        <f aca="false">IF(A355="","",IF(COUNTIF(Ayarlar!$A$15:$A$20,C355)&gt;0,1,0))</f>
        <v/>
      </c>
      <c r="H355" s="14" t="str">
        <f aca="false">IF(A355="","",DATEDIF(E355,Ayarlar!$B$3,"y"))</f>
        <v/>
      </c>
      <c r="I355" s="14" t="str">
        <f aca="false">IF(OR(A355="",F355=""),"",DATEDIF(F355,Ayarlar!$B$3,"y"))</f>
        <v/>
      </c>
      <c r="J355" s="14" t="str">
        <f aca="false">IF(A355="","",IF(H355&lt;1,0,MAX(IF(H355&lt;5,14,IF(H355&lt;15,20,26)),IF(AND(I355&lt;&gt;"",OR(I355&lt;=18,I355&gt;=50)),20,0))))</f>
        <v/>
      </c>
      <c r="K355" s="17" t="str">
        <f aca="false">IF(A355="","",EDATE(E355,12*(H355+1)))</f>
        <v/>
      </c>
      <c r="L355" s="14" t="str">
        <f aca="false">IF(A355="","",K355-Ayarlar!$B$3)</f>
        <v/>
      </c>
      <c r="M355" s="18" t="str">
        <f aca="false">IF(A355="","",Veri_Guncel!H355)</f>
        <v/>
      </c>
      <c r="N355" s="18" t="str">
        <f aca="false">IF(A355="","",IFERROR(INDEX(Veri_Onceki!$H:$H,MATCH(A355,Veri_Onceki!$A:$A,0)),""))</f>
        <v/>
      </c>
      <c r="O355" s="14" t="str">
        <f aca="false">IF(A355="","",IF(AND(H355&gt;=1,EDATE(E355,12*H355)&gt;Ayarlar!$B$4,EDATE(E355,12*H355)&lt;=Ayarlar!$B$3),J355,0))</f>
        <v/>
      </c>
      <c r="P355" s="14" t="str">
        <f aca="false">IF(OR(A355="",N355=""),"",N355+O355-M355)</f>
        <v/>
      </c>
      <c r="Q355" s="16" t="str">
        <f aca="false">IF(A355="","",IF(M355&gt;=Ayarlar!$B$7,"ALARM",IF(M355&gt;=Ayarlar!$B$6,"Planla","")))</f>
        <v/>
      </c>
      <c r="R355" s="14" t="str">
        <f aca="false">IF(A355="","",IF(AND(L355&gt;=0,L355&lt;=Ayarlar!$B$9),"Evet",""))</f>
        <v/>
      </c>
      <c r="S355" s="16" t="str">
        <f aca="false">IF(A355="","",IF(N355="","Yeni personel",IF(P355&lt;0,"Kontrol et","")))</f>
        <v/>
      </c>
      <c r="T355" s="14" t="str">
        <f aca="false">IF(A355="","",IF(AND(G355=1,M355&gt;=Ayarlar!$B$6,OR(Ayarlar!$B$11="Tümü",C355=Ayarlar!$B$11)),M355+ROW()/100000,""))</f>
        <v/>
      </c>
    </row>
    <row r="356" customFormat="false" ht="15" hidden="false" customHeight="false" outlineLevel="0" collapsed="false">
      <c r="A356" s="18" t="str">
        <f aca="false">IF(Veri_Guncel!A356="","",Veri_Guncel!A356)</f>
        <v/>
      </c>
      <c r="B356" s="18" t="str">
        <f aca="false">IF($A356="","",Veri_Guncel!B356)</f>
        <v/>
      </c>
      <c r="C356" s="18" t="str">
        <f aca="false">IF($A356="","",Veri_Guncel!C356)</f>
        <v/>
      </c>
      <c r="D356" s="18" t="str">
        <f aca="false">IF($A356="","",Veri_Guncel!D356)</f>
        <v/>
      </c>
      <c r="E356" s="19" t="str">
        <f aca="false">IF($A356="","",Veri_Guncel!E356)</f>
        <v/>
      </c>
      <c r="F356" s="19" t="str">
        <f aca="false">IF($A356="","",Veri_Guncel!F356)</f>
        <v/>
      </c>
      <c r="G356" s="14" t="str">
        <f aca="false">IF(A356="","",IF(COUNTIF(Ayarlar!$A$15:$A$20,C356)&gt;0,1,0))</f>
        <v/>
      </c>
      <c r="H356" s="14" t="str">
        <f aca="false">IF(A356="","",DATEDIF(E356,Ayarlar!$B$3,"y"))</f>
        <v/>
      </c>
      <c r="I356" s="14" t="str">
        <f aca="false">IF(OR(A356="",F356=""),"",DATEDIF(F356,Ayarlar!$B$3,"y"))</f>
        <v/>
      </c>
      <c r="J356" s="14" t="str">
        <f aca="false">IF(A356="","",IF(H356&lt;1,0,MAX(IF(H356&lt;5,14,IF(H356&lt;15,20,26)),IF(AND(I356&lt;&gt;"",OR(I356&lt;=18,I356&gt;=50)),20,0))))</f>
        <v/>
      </c>
      <c r="K356" s="17" t="str">
        <f aca="false">IF(A356="","",EDATE(E356,12*(H356+1)))</f>
        <v/>
      </c>
      <c r="L356" s="14" t="str">
        <f aca="false">IF(A356="","",K356-Ayarlar!$B$3)</f>
        <v/>
      </c>
      <c r="M356" s="18" t="str">
        <f aca="false">IF(A356="","",Veri_Guncel!H356)</f>
        <v/>
      </c>
      <c r="N356" s="18" t="str">
        <f aca="false">IF(A356="","",IFERROR(INDEX(Veri_Onceki!$H:$H,MATCH(A356,Veri_Onceki!$A:$A,0)),""))</f>
        <v/>
      </c>
      <c r="O356" s="14" t="str">
        <f aca="false">IF(A356="","",IF(AND(H356&gt;=1,EDATE(E356,12*H356)&gt;Ayarlar!$B$4,EDATE(E356,12*H356)&lt;=Ayarlar!$B$3),J356,0))</f>
        <v/>
      </c>
      <c r="P356" s="14" t="str">
        <f aca="false">IF(OR(A356="",N356=""),"",N356+O356-M356)</f>
        <v/>
      </c>
      <c r="Q356" s="16" t="str">
        <f aca="false">IF(A356="","",IF(M356&gt;=Ayarlar!$B$7,"ALARM",IF(M356&gt;=Ayarlar!$B$6,"Planla","")))</f>
        <v/>
      </c>
      <c r="R356" s="14" t="str">
        <f aca="false">IF(A356="","",IF(AND(L356&gt;=0,L356&lt;=Ayarlar!$B$9),"Evet",""))</f>
        <v/>
      </c>
      <c r="S356" s="16" t="str">
        <f aca="false">IF(A356="","",IF(N356="","Yeni personel",IF(P356&lt;0,"Kontrol et","")))</f>
        <v/>
      </c>
      <c r="T356" s="14" t="str">
        <f aca="false">IF(A356="","",IF(AND(G356=1,M356&gt;=Ayarlar!$B$6,OR(Ayarlar!$B$11="Tümü",C356=Ayarlar!$B$11)),M356+ROW()/100000,""))</f>
        <v/>
      </c>
    </row>
    <row r="357" customFormat="false" ht="15" hidden="false" customHeight="false" outlineLevel="0" collapsed="false">
      <c r="A357" s="18" t="str">
        <f aca="false">IF(Veri_Guncel!A357="","",Veri_Guncel!A357)</f>
        <v/>
      </c>
      <c r="B357" s="18" t="str">
        <f aca="false">IF($A357="","",Veri_Guncel!B357)</f>
        <v/>
      </c>
      <c r="C357" s="18" t="str">
        <f aca="false">IF($A357="","",Veri_Guncel!C357)</f>
        <v/>
      </c>
      <c r="D357" s="18" t="str">
        <f aca="false">IF($A357="","",Veri_Guncel!D357)</f>
        <v/>
      </c>
      <c r="E357" s="19" t="str">
        <f aca="false">IF($A357="","",Veri_Guncel!E357)</f>
        <v/>
      </c>
      <c r="F357" s="19" t="str">
        <f aca="false">IF($A357="","",Veri_Guncel!F357)</f>
        <v/>
      </c>
      <c r="G357" s="14" t="str">
        <f aca="false">IF(A357="","",IF(COUNTIF(Ayarlar!$A$15:$A$20,C357)&gt;0,1,0))</f>
        <v/>
      </c>
      <c r="H357" s="14" t="str">
        <f aca="false">IF(A357="","",DATEDIF(E357,Ayarlar!$B$3,"y"))</f>
        <v/>
      </c>
      <c r="I357" s="14" t="str">
        <f aca="false">IF(OR(A357="",F357=""),"",DATEDIF(F357,Ayarlar!$B$3,"y"))</f>
        <v/>
      </c>
      <c r="J357" s="14" t="str">
        <f aca="false">IF(A357="","",IF(H357&lt;1,0,MAX(IF(H357&lt;5,14,IF(H357&lt;15,20,26)),IF(AND(I357&lt;&gt;"",OR(I357&lt;=18,I357&gt;=50)),20,0))))</f>
        <v/>
      </c>
      <c r="K357" s="17" t="str">
        <f aca="false">IF(A357="","",EDATE(E357,12*(H357+1)))</f>
        <v/>
      </c>
      <c r="L357" s="14" t="str">
        <f aca="false">IF(A357="","",K357-Ayarlar!$B$3)</f>
        <v/>
      </c>
      <c r="M357" s="18" t="str">
        <f aca="false">IF(A357="","",Veri_Guncel!H357)</f>
        <v/>
      </c>
      <c r="N357" s="18" t="str">
        <f aca="false">IF(A357="","",IFERROR(INDEX(Veri_Onceki!$H:$H,MATCH(A357,Veri_Onceki!$A:$A,0)),""))</f>
        <v/>
      </c>
      <c r="O357" s="14" t="str">
        <f aca="false">IF(A357="","",IF(AND(H357&gt;=1,EDATE(E357,12*H357)&gt;Ayarlar!$B$4,EDATE(E357,12*H357)&lt;=Ayarlar!$B$3),J357,0))</f>
        <v/>
      </c>
      <c r="P357" s="14" t="str">
        <f aca="false">IF(OR(A357="",N357=""),"",N357+O357-M357)</f>
        <v/>
      </c>
      <c r="Q357" s="16" t="str">
        <f aca="false">IF(A357="","",IF(M357&gt;=Ayarlar!$B$7,"ALARM",IF(M357&gt;=Ayarlar!$B$6,"Planla","")))</f>
        <v/>
      </c>
      <c r="R357" s="14" t="str">
        <f aca="false">IF(A357="","",IF(AND(L357&gt;=0,L357&lt;=Ayarlar!$B$9),"Evet",""))</f>
        <v/>
      </c>
      <c r="S357" s="16" t="str">
        <f aca="false">IF(A357="","",IF(N357="","Yeni personel",IF(P357&lt;0,"Kontrol et","")))</f>
        <v/>
      </c>
      <c r="T357" s="14" t="str">
        <f aca="false">IF(A357="","",IF(AND(G357=1,M357&gt;=Ayarlar!$B$6,OR(Ayarlar!$B$11="Tümü",C357=Ayarlar!$B$11)),M357+ROW()/100000,""))</f>
        <v/>
      </c>
    </row>
    <row r="358" customFormat="false" ht="15" hidden="false" customHeight="false" outlineLevel="0" collapsed="false">
      <c r="A358" s="18" t="str">
        <f aca="false">IF(Veri_Guncel!A358="","",Veri_Guncel!A358)</f>
        <v/>
      </c>
      <c r="B358" s="18" t="str">
        <f aca="false">IF($A358="","",Veri_Guncel!B358)</f>
        <v/>
      </c>
      <c r="C358" s="18" t="str">
        <f aca="false">IF($A358="","",Veri_Guncel!C358)</f>
        <v/>
      </c>
      <c r="D358" s="18" t="str">
        <f aca="false">IF($A358="","",Veri_Guncel!D358)</f>
        <v/>
      </c>
      <c r="E358" s="19" t="str">
        <f aca="false">IF($A358="","",Veri_Guncel!E358)</f>
        <v/>
      </c>
      <c r="F358" s="19" t="str">
        <f aca="false">IF($A358="","",Veri_Guncel!F358)</f>
        <v/>
      </c>
      <c r="G358" s="14" t="str">
        <f aca="false">IF(A358="","",IF(COUNTIF(Ayarlar!$A$15:$A$20,C358)&gt;0,1,0))</f>
        <v/>
      </c>
      <c r="H358" s="14" t="str">
        <f aca="false">IF(A358="","",DATEDIF(E358,Ayarlar!$B$3,"y"))</f>
        <v/>
      </c>
      <c r="I358" s="14" t="str">
        <f aca="false">IF(OR(A358="",F358=""),"",DATEDIF(F358,Ayarlar!$B$3,"y"))</f>
        <v/>
      </c>
      <c r="J358" s="14" t="str">
        <f aca="false">IF(A358="","",IF(H358&lt;1,0,MAX(IF(H358&lt;5,14,IF(H358&lt;15,20,26)),IF(AND(I358&lt;&gt;"",OR(I358&lt;=18,I358&gt;=50)),20,0))))</f>
        <v/>
      </c>
      <c r="K358" s="17" t="str">
        <f aca="false">IF(A358="","",EDATE(E358,12*(H358+1)))</f>
        <v/>
      </c>
      <c r="L358" s="14" t="str">
        <f aca="false">IF(A358="","",K358-Ayarlar!$B$3)</f>
        <v/>
      </c>
      <c r="M358" s="18" t="str">
        <f aca="false">IF(A358="","",Veri_Guncel!H358)</f>
        <v/>
      </c>
      <c r="N358" s="18" t="str">
        <f aca="false">IF(A358="","",IFERROR(INDEX(Veri_Onceki!$H:$H,MATCH(A358,Veri_Onceki!$A:$A,0)),""))</f>
        <v/>
      </c>
      <c r="O358" s="14" t="str">
        <f aca="false">IF(A358="","",IF(AND(H358&gt;=1,EDATE(E358,12*H358)&gt;Ayarlar!$B$4,EDATE(E358,12*H358)&lt;=Ayarlar!$B$3),J358,0))</f>
        <v/>
      </c>
      <c r="P358" s="14" t="str">
        <f aca="false">IF(OR(A358="",N358=""),"",N358+O358-M358)</f>
        <v/>
      </c>
      <c r="Q358" s="16" t="str">
        <f aca="false">IF(A358="","",IF(M358&gt;=Ayarlar!$B$7,"ALARM",IF(M358&gt;=Ayarlar!$B$6,"Planla","")))</f>
        <v/>
      </c>
      <c r="R358" s="14" t="str">
        <f aca="false">IF(A358="","",IF(AND(L358&gt;=0,L358&lt;=Ayarlar!$B$9),"Evet",""))</f>
        <v/>
      </c>
      <c r="S358" s="16" t="str">
        <f aca="false">IF(A358="","",IF(N358="","Yeni personel",IF(P358&lt;0,"Kontrol et","")))</f>
        <v/>
      </c>
      <c r="T358" s="14" t="str">
        <f aca="false">IF(A358="","",IF(AND(G358=1,M358&gt;=Ayarlar!$B$6,OR(Ayarlar!$B$11="Tümü",C358=Ayarlar!$B$11)),M358+ROW()/100000,""))</f>
        <v/>
      </c>
    </row>
    <row r="359" customFormat="false" ht="15" hidden="false" customHeight="false" outlineLevel="0" collapsed="false">
      <c r="A359" s="18" t="str">
        <f aca="false">IF(Veri_Guncel!A359="","",Veri_Guncel!A359)</f>
        <v/>
      </c>
      <c r="B359" s="18" t="str">
        <f aca="false">IF($A359="","",Veri_Guncel!B359)</f>
        <v/>
      </c>
      <c r="C359" s="18" t="str">
        <f aca="false">IF($A359="","",Veri_Guncel!C359)</f>
        <v/>
      </c>
      <c r="D359" s="18" t="str">
        <f aca="false">IF($A359="","",Veri_Guncel!D359)</f>
        <v/>
      </c>
      <c r="E359" s="19" t="str">
        <f aca="false">IF($A359="","",Veri_Guncel!E359)</f>
        <v/>
      </c>
      <c r="F359" s="19" t="str">
        <f aca="false">IF($A359="","",Veri_Guncel!F359)</f>
        <v/>
      </c>
      <c r="G359" s="14" t="str">
        <f aca="false">IF(A359="","",IF(COUNTIF(Ayarlar!$A$15:$A$20,C359)&gt;0,1,0))</f>
        <v/>
      </c>
      <c r="H359" s="14" t="str">
        <f aca="false">IF(A359="","",DATEDIF(E359,Ayarlar!$B$3,"y"))</f>
        <v/>
      </c>
      <c r="I359" s="14" t="str">
        <f aca="false">IF(OR(A359="",F359=""),"",DATEDIF(F359,Ayarlar!$B$3,"y"))</f>
        <v/>
      </c>
      <c r="J359" s="14" t="str">
        <f aca="false">IF(A359="","",IF(H359&lt;1,0,MAX(IF(H359&lt;5,14,IF(H359&lt;15,20,26)),IF(AND(I359&lt;&gt;"",OR(I359&lt;=18,I359&gt;=50)),20,0))))</f>
        <v/>
      </c>
      <c r="K359" s="17" t="str">
        <f aca="false">IF(A359="","",EDATE(E359,12*(H359+1)))</f>
        <v/>
      </c>
      <c r="L359" s="14" t="str">
        <f aca="false">IF(A359="","",K359-Ayarlar!$B$3)</f>
        <v/>
      </c>
      <c r="M359" s="18" t="str">
        <f aca="false">IF(A359="","",Veri_Guncel!H359)</f>
        <v/>
      </c>
      <c r="N359" s="18" t="str">
        <f aca="false">IF(A359="","",IFERROR(INDEX(Veri_Onceki!$H:$H,MATCH(A359,Veri_Onceki!$A:$A,0)),""))</f>
        <v/>
      </c>
      <c r="O359" s="14" t="str">
        <f aca="false">IF(A359="","",IF(AND(H359&gt;=1,EDATE(E359,12*H359)&gt;Ayarlar!$B$4,EDATE(E359,12*H359)&lt;=Ayarlar!$B$3),J359,0))</f>
        <v/>
      </c>
      <c r="P359" s="14" t="str">
        <f aca="false">IF(OR(A359="",N359=""),"",N359+O359-M359)</f>
        <v/>
      </c>
      <c r="Q359" s="16" t="str">
        <f aca="false">IF(A359="","",IF(M359&gt;=Ayarlar!$B$7,"ALARM",IF(M359&gt;=Ayarlar!$B$6,"Planla","")))</f>
        <v/>
      </c>
      <c r="R359" s="14" t="str">
        <f aca="false">IF(A359="","",IF(AND(L359&gt;=0,L359&lt;=Ayarlar!$B$9),"Evet",""))</f>
        <v/>
      </c>
      <c r="S359" s="16" t="str">
        <f aca="false">IF(A359="","",IF(N359="","Yeni personel",IF(P359&lt;0,"Kontrol et","")))</f>
        <v/>
      </c>
      <c r="T359" s="14" t="str">
        <f aca="false">IF(A359="","",IF(AND(G359=1,M359&gt;=Ayarlar!$B$6,OR(Ayarlar!$B$11="Tümü",C359=Ayarlar!$B$11)),M359+ROW()/100000,""))</f>
        <v/>
      </c>
    </row>
    <row r="360" customFormat="false" ht="15" hidden="false" customHeight="false" outlineLevel="0" collapsed="false">
      <c r="A360" s="18" t="str">
        <f aca="false">IF(Veri_Guncel!A360="","",Veri_Guncel!A360)</f>
        <v/>
      </c>
      <c r="B360" s="18" t="str">
        <f aca="false">IF($A360="","",Veri_Guncel!B360)</f>
        <v/>
      </c>
      <c r="C360" s="18" t="str">
        <f aca="false">IF($A360="","",Veri_Guncel!C360)</f>
        <v/>
      </c>
      <c r="D360" s="18" t="str">
        <f aca="false">IF($A360="","",Veri_Guncel!D360)</f>
        <v/>
      </c>
      <c r="E360" s="19" t="str">
        <f aca="false">IF($A360="","",Veri_Guncel!E360)</f>
        <v/>
      </c>
      <c r="F360" s="19" t="str">
        <f aca="false">IF($A360="","",Veri_Guncel!F360)</f>
        <v/>
      </c>
      <c r="G360" s="14" t="str">
        <f aca="false">IF(A360="","",IF(COUNTIF(Ayarlar!$A$15:$A$20,C360)&gt;0,1,0))</f>
        <v/>
      </c>
      <c r="H360" s="14" t="str">
        <f aca="false">IF(A360="","",DATEDIF(E360,Ayarlar!$B$3,"y"))</f>
        <v/>
      </c>
      <c r="I360" s="14" t="str">
        <f aca="false">IF(OR(A360="",F360=""),"",DATEDIF(F360,Ayarlar!$B$3,"y"))</f>
        <v/>
      </c>
      <c r="J360" s="14" t="str">
        <f aca="false">IF(A360="","",IF(H360&lt;1,0,MAX(IF(H360&lt;5,14,IF(H360&lt;15,20,26)),IF(AND(I360&lt;&gt;"",OR(I360&lt;=18,I360&gt;=50)),20,0))))</f>
        <v/>
      </c>
      <c r="K360" s="17" t="str">
        <f aca="false">IF(A360="","",EDATE(E360,12*(H360+1)))</f>
        <v/>
      </c>
      <c r="L360" s="14" t="str">
        <f aca="false">IF(A360="","",K360-Ayarlar!$B$3)</f>
        <v/>
      </c>
      <c r="M360" s="18" t="str">
        <f aca="false">IF(A360="","",Veri_Guncel!H360)</f>
        <v/>
      </c>
      <c r="N360" s="18" t="str">
        <f aca="false">IF(A360="","",IFERROR(INDEX(Veri_Onceki!$H:$H,MATCH(A360,Veri_Onceki!$A:$A,0)),""))</f>
        <v/>
      </c>
      <c r="O360" s="14" t="str">
        <f aca="false">IF(A360="","",IF(AND(H360&gt;=1,EDATE(E360,12*H360)&gt;Ayarlar!$B$4,EDATE(E360,12*H360)&lt;=Ayarlar!$B$3),J360,0))</f>
        <v/>
      </c>
      <c r="P360" s="14" t="str">
        <f aca="false">IF(OR(A360="",N360=""),"",N360+O360-M360)</f>
        <v/>
      </c>
      <c r="Q360" s="16" t="str">
        <f aca="false">IF(A360="","",IF(M360&gt;=Ayarlar!$B$7,"ALARM",IF(M360&gt;=Ayarlar!$B$6,"Planla","")))</f>
        <v/>
      </c>
      <c r="R360" s="14" t="str">
        <f aca="false">IF(A360="","",IF(AND(L360&gt;=0,L360&lt;=Ayarlar!$B$9),"Evet",""))</f>
        <v/>
      </c>
      <c r="S360" s="16" t="str">
        <f aca="false">IF(A360="","",IF(N360="","Yeni personel",IF(P360&lt;0,"Kontrol et","")))</f>
        <v/>
      </c>
      <c r="T360" s="14" t="str">
        <f aca="false">IF(A360="","",IF(AND(G360=1,M360&gt;=Ayarlar!$B$6,OR(Ayarlar!$B$11="Tümü",C360=Ayarlar!$B$11)),M360+ROW()/100000,""))</f>
        <v/>
      </c>
    </row>
    <row r="361" customFormat="false" ht="15" hidden="false" customHeight="false" outlineLevel="0" collapsed="false">
      <c r="A361" s="18" t="str">
        <f aca="false">IF(Veri_Guncel!A361="","",Veri_Guncel!A361)</f>
        <v/>
      </c>
      <c r="B361" s="18" t="str">
        <f aca="false">IF($A361="","",Veri_Guncel!B361)</f>
        <v/>
      </c>
      <c r="C361" s="18" t="str">
        <f aca="false">IF($A361="","",Veri_Guncel!C361)</f>
        <v/>
      </c>
      <c r="D361" s="18" t="str">
        <f aca="false">IF($A361="","",Veri_Guncel!D361)</f>
        <v/>
      </c>
      <c r="E361" s="19" t="str">
        <f aca="false">IF($A361="","",Veri_Guncel!E361)</f>
        <v/>
      </c>
      <c r="F361" s="19" t="str">
        <f aca="false">IF($A361="","",Veri_Guncel!F361)</f>
        <v/>
      </c>
      <c r="G361" s="14" t="str">
        <f aca="false">IF(A361="","",IF(COUNTIF(Ayarlar!$A$15:$A$20,C361)&gt;0,1,0))</f>
        <v/>
      </c>
      <c r="H361" s="14" t="str">
        <f aca="false">IF(A361="","",DATEDIF(E361,Ayarlar!$B$3,"y"))</f>
        <v/>
      </c>
      <c r="I361" s="14" t="str">
        <f aca="false">IF(OR(A361="",F361=""),"",DATEDIF(F361,Ayarlar!$B$3,"y"))</f>
        <v/>
      </c>
      <c r="J361" s="14" t="str">
        <f aca="false">IF(A361="","",IF(H361&lt;1,0,MAX(IF(H361&lt;5,14,IF(H361&lt;15,20,26)),IF(AND(I361&lt;&gt;"",OR(I361&lt;=18,I361&gt;=50)),20,0))))</f>
        <v/>
      </c>
      <c r="K361" s="17" t="str">
        <f aca="false">IF(A361="","",EDATE(E361,12*(H361+1)))</f>
        <v/>
      </c>
      <c r="L361" s="14" t="str">
        <f aca="false">IF(A361="","",K361-Ayarlar!$B$3)</f>
        <v/>
      </c>
      <c r="M361" s="18" t="str">
        <f aca="false">IF(A361="","",Veri_Guncel!H361)</f>
        <v/>
      </c>
      <c r="N361" s="18" t="str">
        <f aca="false">IF(A361="","",IFERROR(INDEX(Veri_Onceki!$H:$H,MATCH(A361,Veri_Onceki!$A:$A,0)),""))</f>
        <v/>
      </c>
      <c r="O361" s="14" t="str">
        <f aca="false">IF(A361="","",IF(AND(H361&gt;=1,EDATE(E361,12*H361)&gt;Ayarlar!$B$4,EDATE(E361,12*H361)&lt;=Ayarlar!$B$3),J361,0))</f>
        <v/>
      </c>
      <c r="P361" s="14" t="str">
        <f aca="false">IF(OR(A361="",N361=""),"",N361+O361-M361)</f>
        <v/>
      </c>
      <c r="Q361" s="16" t="str">
        <f aca="false">IF(A361="","",IF(M361&gt;=Ayarlar!$B$7,"ALARM",IF(M361&gt;=Ayarlar!$B$6,"Planla","")))</f>
        <v/>
      </c>
      <c r="R361" s="14" t="str">
        <f aca="false">IF(A361="","",IF(AND(L361&gt;=0,L361&lt;=Ayarlar!$B$9),"Evet",""))</f>
        <v/>
      </c>
      <c r="S361" s="16" t="str">
        <f aca="false">IF(A361="","",IF(N361="","Yeni personel",IF(P361&lt;0,"Kontrol et","")))</f>
        <v/>
      </c>
      <c r="T361" s="14" t="str">
        <f aca="false">IF(A361="","",IF(AND(G361=1,M361&gt;=Ayarlar!$B$6,OR(Ayarlar!$B$11="Tümü",C361=Ayarlar!$B$11)),M361+ROW()/100000,""))</f>
        <v/>
      </c>
    </row>
    <row r="362" customFormat="false" ht="15" hidden="false" customHeight="false" outlineLevel="0" collapsed="false">
      <c r="A362" s="18" t="str">
        <f aca="false">IF(Veri_Guncel!A362="","",Veri_Guncel!A362)</f>
        <v/>
      </c>
      <c r="B362" s="18" t="str">
        <f aca="false">IF($A362="","",Veri_Guncel!B362)</f>
        <v/>
      </c>
      <c r="C362" s="18" t="str">
        <f aca="false">IF($A362="","",Veri_Guncel!C362)</f>
        <v/>
      </c>
      <c r="D362" s="18" t="str">
        <f aca="false">IF($A362="","",Veri_Guncel!D362)</f>
        <v/>
      </c>
      <c r="E362" s="19" t="str">
        <f aca="false">IF($A362="","",Veri_Guncel!E362)</f>
        <v/>
      </c>
      <c r="F362" s="19" t="str">
        <f aca="false">IF($A362="","",Veri_Guncel!F362)</f>
        <v/>
      </c>
      <c r="G362" s="14" t="str">
        <f aca="false">IF(A362="","",IF(COUNTIF(Ayarlar!$A$15:$A$20,C362)&gt;0,1,0))</f>
        <v/>
      </c>
      <c r="H362" s="14" t="str">
        <f aca="false">IF(A362="","",DATEDIF(E362,Ayarlar!$B$3,"y"))</f>
        <v/>
      </c>
      <c r="I362" s="14" t="str">
        <f aca="false">IF(OR(A362="",F362=""),"",DATEDIF(F362,Ayarlar!$B$3,"y"))</f>
        <v/>
      </c>
      <c r="J362" s="14" t="str">
        <f aca="false">IF(A362="","",IF(H362&lt;1,0,MAX(IF(H362&lt;5,14,IF(H362&lt;15,20,26)),IF(AND(I362&lt;&gt;"",OR(I362&lt;=18,I362&gt;=50)),20,0))))</f>
        <v/>
      </c>
      <c r="K362" s="17" t="str">
        <f aca="false">IF(A362="","",EDATE(E362,12*(H362+1)))</f>
        <v/>
      </c>
      <c r="L362" s="14" t="str">
        <f aca="false">IF(A362="","",K362-Ayarlar!$B$3)</f>
        <v/>
      </c>
      <c r="M362" s="18" t="str">
        <f aca="false">IF(A362="","",Veri_Guncel!H362)</f>
        <v/>
      </c>
      <c r="N362" s="18" t="str">
        <f aca="false">IF(A362="","",IFERROR(INDEX(Veri_Onceki!$H:$H,MATCH(A362,Veri_Onceki!$A:$A,0)),""))</f>
        <v/>
      </c>
      <c r="O362" s="14" t="str">
        <f aca="false">IF(A362="","",IF(AND(H362&gt;=1,EDATE(E362,12*H362)&gt;Ayarlar!$B$4,EDATE(E362,12*H362)&lt;=Ayarlar!$B$3),J362,0))</f>
        <v/>
      </c>
      <c r="P362" s="14" t="str">
        <f aca="false">IF(OR(A362="",N362=""),"",N362+O362-M362)</f>
        <v/>
      </c>
      <c r="Q362" s="16" t="str">
        <f aca="false">IF(A362="","",IF(M362&gt;=Ayarlar!$B$7,"ALARM",IF(M362&gt;=Ayarlar!$B$6,"Planla","")))</f>
        <v/>
      </c>
      <c r="R362" s="14" t="str">
        <f aca="false">IF(A362="","",IF(AND(L362&gt;=0,L362&lt;=Ayarlar!$B$9),"Evet",""))</f>
        <v/>
      </c>
      <c r="S362" s="16" t="str">
        <f aca="false">IF(A362="","",IF(N362="","Yeni personel",IF(P362&lt;0,"Kontrol et","")))</f>
        <v/>
      </c>
      <c r="T362" s="14" t="str">
        <f aca="false">IF(A362="","",IF(AND(G362=1,M362&gt;=Ayarlar!$B$6,OR(Ayarlar!$B$11="Tümü",C362=Ayarlar!$B$11)),M362+ROW()/100000,""))</f>
        <v/>
      </c>
    </row>
    <row r="363" customFormat="false" ht="15" hidden="false" customHeight="false" outlineLevel="0" collapsed="false">
      <c r="A363" s="18" t="str">
        <f aca="false">IF(Veri_Guncel!A363="","",Veri_Guncel!A363)</f>
        <v/>
      </c>
      <c r="B363" s="18" t="str">
        <f aca="false">IF($A363="","",Veri_Guncel!B363)</f>
        <v/>
      </c>
      <c r="C363" s="18" t="str">
        <f aca="false">IF($A363="","",Veri_Guncel!C363)</f>
        <v/>
      </c>
      <c r="D363" s="18" t="str">
        <f aca="false">IF($A363="","",Veri_Guncel!D363)</f>
        <v/>
      </c>
      <c r="E363" s="19" t="str">
        <f aca="false">IF($A363="","",Veri_Guncel!E363)</f>
        <v/>
      </c>
      <c r="F363" s="19" t="str">
        <f aca="false">IF($A363="","",Veri_Guncel!F363)</f>
        <v/>
      </c>
      <c r="G363" s="14" t="str">
        <f aca="false">IF(A363="","",IF(COUNTIF(Ayarlar!$A$15:$A$20,C363)&gt;0,1,0))</f>
        <v/>
      </c>
      <c r="H363" s="14" t="str">
        <f aca="false">IF(A363="","",DATEDIF(E363,Ayarlar!$B$3,"y"))</f>
        <v/>
      </c>
      <c r="I363" s="14" t="str">
        <f aca="false">IF(OR(A363="",F363=""),"",DATEDIF(F363,Ayarlar!$B$3,"y"))</f>
        <v/>
      </c>
      <c r="J363" s="14" t="str">
        <f aca="false">IF(A363="","",IF(H363&lt;1,0,MAX(IF(H363&lt;5,14,IF(H363&lt;15,20,26)),IF(AND(I363&lt;&gt;"",OR(I363&lt;=18,I363&gt;=50)),20,0))))</f>
        <v/>
      </c>
      <c r="K363" s="17" t="str">
        <f aca="false">IF(A363="","",EDATE(E363,12*(H363+1)))</f>
        <v/>
      </c>
      <c r="L363" s="14" t="str">
        <f aca="false">IF(A363="","",K363-Ayarlar!$B$3)</f>
        <v/>
      </c>
      <c r="M363" s="18" t="str">
        <f aca="false">IF(A363="","",Veri_Guncel!H363)</f>
        <v/>
      </c>
      <c r="N363" s="18" t="str">
        <f aca="false">IF(A363="","",IFERROR(INDEX(Veri_Onceki!$H:$H,MATCH(A363,Veri_Onceki!$A:$A,0)),""))</f>
        <v/>
      </c>
      <c r="O363" s="14" t="str">
        <f aca="false">IF(A363="","",IF(AND(H363&gt;=1,EDATE(E363,12*H363)&gt;Ayarlar!$B$4,EDATE(E363,12*H363)&lt;=Ayarlar!$B$3),J363,0))</f>
        <v/>
      </c>
      <c r="P363" s="14" t="str">
        <f aca="false">IF(OR(A363="",N363=""),"",N363+O363-M363)</f>
        <v/>
      </c>
      <c r="Q363" s="16" t="str">
        <f aca="false">IF(A363="","",IF(M363&gt;=Ayarlar!$B$7,"ALARM",IF(M363&gt;=Ayarlar!$B$6,"Planla","")))</f>
        <v/>
      </c>
      <c r="R363" s="14" t="str">
        <f aca="false">IF(A363="","",IF(AND(L363&gt;=0,L363&lt;=Ayarlar!$B$9),"Evet",""))</f>
        <v/>
      </c>
      <c r="S363" s="16" t="str">
        <f aca="false">IF(A363="","",IF(N363="","Yeni personel",IF(P363&lt;0,"Kontrol et","")))</f>
        <v/>
      </c>
      <c r="T363" s="14" t="str">
        <f aca="false">IF(A363="","",IF(AND(G363=1,M363&gt;=Ayarlar!$B$6,OR(Ayarlar!$B$11="Tümü",C363=Ayarlar!$B$11)),M363+ROW()/100000,""))</f>
        <v/>
      </c>
    </row>
    <row r="364" customFormat="false" ht="15" hidden="false" customHeight="false" outlineLevel="0" collapsed="false">
      <c r="A364" s="18" t="str">
        <f aca="false">IF(Veri_Guncel!A364="","",Veri_Guncel!A364)</f>
        <v/>
      </c>
      <c r="B364" s="18" t="str">
        <f aca="false">IF($A364="","",Veri_Guncel!B364)</f>
        <v/>
      </c>
      <c r="C364" s="18" t="str">
        <f aca="false">IF($A364="","",Veri_Guncel!C364)</f>
        <v/>
      </c>
      <c r="D364" s="18" t="str">
        <f aca="false">IF($A364="","",Veri_Guncel!D364)</f>
        <v/>
      </c>
      <c r="E364" s="19" t="str">
        <f aca="false">IF($A364="","",Veri_Guncel!E364)</f>
        <v/>
      </c>
      <c r="F364" s="19" t="str">
        <f aca="false">IF($A364="","",Veri_Guncel!F364)</f>
        <v/>
      </c>
      <c r="G364" s="14" t="str">
        <f aca="false">IF(A364="","",IF(COUNTIF(Ayarlar!$A$15:$A$20,C364)&gt;0,1,0))</f>
        <v/>
      </c>
      <c r="H364" s="14" t="str">
        <f aca="false">IF(A364="","",DATEDIF(E364,Ayarlar!$B$3,"y"))</f>
        <v/>
      </c>
      <c r="I364" s="14" t="str">
        <f aca="false">IF(OR(A364="",F364=""),"",DATEDIF(F364,Ayarlar!$B$3,"y"))</f>
        <v/>
      </c>
      <c r="J364" s="14" t="str">
        <f aca="false">IF(A364="","",IF(H364&lt;1,0,MAX(IF(H364&lt;5,14,IF(H364&lt;15,20,26)),IF(AND(I364&lt;&gt;"",OR(I364&lt;=18,I364&gt;=50)),20,0))))</f>
        <v/>
      </c>
      <c r="K364" s="17" t="str">
        <f aca="false">IF(A364="","",EDATE(E364,12*(H364+1)))</f>
        <v/>
      </c>
      <c r="L364" s="14" t="str">
        <f aca="false">IF(A364="","",K364-Ayarlar!$B$3)</f>
        <v/>
      </c>
      <c r="M364" s="18" t="str">
        <f aca="false">IF(A364="","",Veri_Guncel!H364)</f>
        <v/>
      </c>
      <c r="N364" s="18" t="str">
        <f aca="false">IF(A364="","",IFERROR(INDEX(Veri_Onceki!$H:$H,MATCH(A364,Veri_Onceki!$A:$A,0)),""))</f>
        <v/>
      </c>
      <c r="O364" s="14" t="str">
        <f aca="false">IF(A364="","",IF(AND(H364&gt;=1,EDATE(E364,12*H364)&gt;Ayarlar!$B$4,EDATE(E364,12*H364)&lt;=Ayarlar!$B$3),J364,0))</f>
        <v/>
      </c>
      <c r="P364" s="14" t="str">
        <f aca="false">IF(OR(A364="",N364=""),"",N364+O364-M364)</f>
        <v/>
      </c>
      <c r="Q364" s="16" t="str">
        <f aca="false">IF(A364="","",IF(M364&gt;=Ayarlar!$B$7,"ALARM",IF(M364&gt;=Ayarlar!$B$6,"Planla","")))</f>
        <v/>
      </c>
      <c r="R364" s="14" t="str">
        <f aca="false">IF(A364="","",IF(AND(L364&gt;=0,L364&lt;=Ayarlar!$B$9),"Evet",""))</f>
        <v/>
      </c>
      <c r="S364" s="16" t="str">
        <f aca="false">IF(A364="","",IF(N364="","Yeni personel",IF(P364&lt;0,"Kontrol et","")))</f>
        <v/>
      </c>
      <c r="T364" s="14" t="str">
        <f aca="false">IF(A364="","",IF(AND(G364=1,M364&gt;=Ayarlar!$B$6,OR(Ayarlar!$B$11="Tümü",C364=Ayarlar!$B$11)),M364+ROW()/100000,""))</f>
        <v/>
      </c>
    </row>
    <row r="365" customFormat="false" ht="15" hidden="false" customHeight="false" outlineLevel="0" collapsed="false">
      <c r="A365" s="18" t="str">
        <f aca="false">IF(Veri_Guncel!A365="","",Veri_Guncel!A365)</f>
        <v/>
      </c>
      <c r="B365" s="18" t="str">
        <f aca="false">IF($A365="","",Veri_Guncel!B365)</f>
        <v/>
      </c>
      <c r="C365" s="18" t="str">
        <f aca="false">IF($A365="","",Veri_Guncel!C365)</f>
        <v/>
      </c>
      <c r="D365" s="18" t="str">
        <f aca="false">IF($A365="","",Veri_Guncel!D365)</f>
        <v/>
      </c>
      <c r="E365" s="19" t="str">
        <f aca="false">IF($A365="","",Veri_Guncel!E365)</f>
        <v/>
      </c>
      <c r="F365" s="19" t="str">
        <f aca="false">IF($A365="","",Veri_Guncel!F365)</f>
        <v/>
      </c>
      <c r="G365" s="14" t="str">
        <f aca="false">IF(A365="","",IF(COUNTIF(Ayarlar!$A$15:$A$20,C365)&gt;0,1,0))</f>
        <v/>
      </c>
      <c r="H365" s="14" t="str">
        <f aca="false">IF(A365="","",DATEDIF(E365,Ayarlar!$B$3,"y"))</f>
        <v/>
      </c>
      <c r="I365" s="14" t="str">
        <f aca="false">IF(OR(A365="",F365=""),"",DATEDIF(F365,Ayarlar!$B$3,"y"))</f>
        <v/>
      </c>
      <c r="J365" s="14" t="str">
        <f aca="false">IF(A365="","",IF(H365&lt;1,0,MAX(IF(H365&lt;5,14,IF(H365&lt;15,20,26)),IF(AND(I365&lt;&gt;"",OR(I365&lt;=18,I365&gt;=50)),20,0))))</f>
        <v/>
      </c>
      <c r="K365" s="17" t="str">
        <f aca="false">IF(A365="","",EDATE(E365,12*(H365+1)))</f>
        <v/>
      </c>
      <c r="L365" s="14" t="str">
        <f aca="false">IF(A365="","",K365-Ayarlar!$B$3)</f>
        <v/>
      </c>
      <c r="M365" s="18" t="str">
        <f aca="false">IF(A365="","",Veri_Guncel!H365)</f>
        <v/>
      </c>
      <c r="N365" s="18" t="str">
        <f aca="false">IF(A365="","",IFERROR(INDEX(Veri_Onceki!$H:$H,MATCH(A365,Veri_Onceki!$A:$A,0)),""))</f>
        <v/>
      </c>
      <c r="O365" s="14" t="str">
        <f aca="false">IF(A365="","",IF(AND(H365&gt;=1,EDATE(E365,12*H365)&gt;Ayarlar!$B$4,EDATE(E365,12*H365)&lt;=Ayarlar!$B$3),J365,0))</f>
        <v/>
      </c>
      <c r="P365" s="14" t="str">
        <f aca="false">IF(OR(A365="",N365=""),"",N365+O365-M365)</f>
        <v/>
      </c>
      <c r="Q365" s="16" t="str">
        <f aca="false">IF(A365="","",IF(M365&gt;=Ayarlar!$B$7,"ALARM",IF(M365&gt;=Ayarlar!$B$6,"Planla","")))</f>
        <v/>
      </c>
      <c r="R365" s="14" t="str">
        <f aca="false">IF(A365="","",IF(AND(L365&gt;=0,L365&lt;=Ayarlar!$B$9),"Evet",""))</f>
        <v/>
      </c>
      <c r="S365" s="16" t="str">
        <f aca="false">IF(A365="","",IF(N365="","Yeni personel",IF(P365&lt;0,"Kontrol et","")))</f>
        <v/>
      </c>
      <c r="T365" s="14" t="str">
        <f aca="false">IF(A365="","",IF(AND(G365=1,M365&gt;=Ayarlar!$B$6,OR(Ayarlar!$B$11="Tümü",C365=Ayarlar!$B$11)),M365+ROW()/100000,""))</f>
        <v/>
      </c>
    </row>
    <row r="366" customFormat="false" ht="15" hidden="false" customHeight="false" outlineLevel="0" collapsed="false">
      <c r="A366" s="18" t="str">
        <f aca="false">IF(Veri_Guncel!A366="","",Veri_Guncel!A366)</f>
        <v/>
      </c>
      <c r="B366" s="18" t="str">
        <f aca="false">IF($A366="","",Veri_Guncel!B366)</f>
        <v/>
      </c>
      <c r="C366" s="18" t="str">
        <f aca="false">IF($A366="","",Veri_Guncel!C366)</f>
        <v/>
      </c>
      <c r="D366" s="18" t="str">
        <f aca="false">IF($A366="","",Veri_Guncel!D366)</f>
        <v/>
      </c>
      <c r="E366" s="19" t="str">
        <f aca="false">IF($A366="","",Veri_Guncel!E366)</f>
        <v/>
      </c>
      <c r="F366" s="19" t="str">
        <f aca="false">IF($A366="","",Veri_Guncel!F366)</f>
        <v/>
      </c>
      <c r="G366" s="14" t="str">
        <f aca="false">IF(A366="","",IF(COUNTIF(Ayarlar!$A$15:$A$20,C366)&gt;0,1,0))</f>
        <v/>
      </c>
      <c r="H366" s="14" t="str">
        <f aca="false">IF(A366="","",DATEDIF(E366,Ayarlar!$B$3,"y"))</f>
        <v/>
      </c>
      <c r="I366" s="14" t="str">
        <f aca="false">IF(OR(A366="",F366=""),"",DATEDIF(F366,Ayarlar!$B$3,"y"))</f>
        <v/>
      </c>
      <c r="J366" s="14" t="str">
        <f aca="false">IF(A366="","",IF(H366&lt;1,0,MAX(IF(H366&lt;5,14,IF(H366&lt;15,20,26)),IF(AND(I366&lt;&gt;"",OR(I366&lt;=18,I366&gt;=50)),20,0))))</f>
        <v/>
      </c>
      <c r="K366" s="17" t="str">
        <f aca="false">IF(A366="","",EDATE(E366,12*(H366+1)))</f>
        <v/>
      </c>
      <c r="L366" s="14" t="str">
        <f aca="false">IF(A366="","",K366-Ayarlar!$B$3)</f>
        <v/>
      </c>
      <c r="M366" s="18" t="str">
        <f aca="false">IF(A366="","",Veri_Guncel!H366)</f>
        <v/>
      </c>
      <c r="N366" s="18" t="str">
        <f aca="false">IF(A366="","",IFERROR(INDEX(Veri_Onceki!$H:$H,MATCH(A366,Veri_Onceki!$A:$A,0)),""))</f>
        <v/>
      </c>
      <c r="O366" s="14" t="str">
        <f aca="false">IF(A366="","",IF(AND(H366&gt;=1,EDATE(E366,12*H366)&gt;Ayarlar!$B$4,EDATE(E366,12*H366)&lt;=Ayarlar!$B$3),J366,0))</f>
        <v/>
      </c>
      <c r="P366" s="14" t="str">
        <f aca="false">IF(OR(A366="",N366=""),"",N366+O366-M366)</f>
        <v/>
      </c>
      <c r="Q366" s="16" t="str">
        <f aca="false">IF(A366="","",IF(M366&gt;=Ayarlar!$B$7,"ALARM",IF(M366&gt;=Ayarlar!$B$6,"Planla","")))</f>
        <v/>
      </c>
      <c r="R366" s="14" t="str">
        <f aca="false">IF(A366="","",IF(AND(L366&gt;=0,L366&lt;=Ayarlar!$B$9),"Evet",""))</f>
        <v/>
      </c>
      <c r="S366" s="16" t="str">
        <f aca="false">IF(A366="","",IF(N366="","Yeni personel",IF(P366&lt;0,"Kontrol et","")))</f>
        <v/>
      </c>
      <c r="T366" s="14" t="str">
        <f aca="false">IF(A366="","",IF(AND(G366=1,M366&gt;=Ayarlar!$B$6,OR(Ayarlar!$B$11="Tümü",C366=Ayarlar!$B$11)),M366+ROW()/100000,""))</f>
        <v/>
      </c>
    </row>
    <row r="367" customFormat="false" ht="15" hidden="false" customHeight="false" outlineLevel="0" collapsed="false">
      <c r="A367" s="18" t="str">
        <f aca="false">IF(Veri_Guncel!A367="","",Veri_Guncel!A367)</f>
        <v/>
      </c>
      <c r="B367" s="18" t="str">
        <f aca="false">IF($A367="","",Veri_Guncel!B367)</f>
        <v/>
      </c>
      <c r="C367" s="18" t="str">
        <f aca="false">IF($A367="","",Veri_Guncel!C367)</f>
        <v/>
      </c>
      <c r="D367" s="18" t="str">
        <f aca="false">IF($A367="","",Veri_Guncel!D367)</f>
        <v/>
      </c>
      <c r="E367" s="19" t="str">
        <f aca="false">IF($A367="","",Veri_Guncel!E367)</f>
        <v/>
      </c>
      <c r="F367" s="19" t="str">
        <f aca="false">IF($A367="","",Veri_Guncel!F367)</f>
        <v/>
      </c>
      <c r="G367" s="14" t="str">
        <f aca="false">IF(A367="","",IF(COUNTIF(Ayarlar!$A$15:$A$20,C367)&gt;0,1,0))</f>
        <v/>
      </c>
      <c r="H367" s="14" t="str">
        <f aca="false">IF(A367="","",DATEDIF(E367,Ayarlar!$B$3,"y"))</f>
        <v/>
      </c>
      <c r="I367" s="14" t="str">
        <f aca="false">IF(OR(A367="",F367=""),"",DATEDIF(F367,Ayarlar!$B$3,"y"))</f>
        <v/>
      </c>
      <c r="J367" s="14" t="str">
        <f aca="false">IF(A367="","",IF(H367&lt;1,0,MAX(IF(H367&lt;5,14,IF(H367&lt;15,20,26)),IF(AND(I367&lt;&gt;"",OR(I367&lt;=18,I367&gt;=50)),20,0))))</f>
        <v/>
      </c>
      <c r="K367" s="17" t="str">
        <f aca="false">IF(A367="","",EDATE(E367,12*(H367+1)))</f>
        <v/>
      </c>
      <c r="L367" s="14" t="str">
        <f aca="false">IF(A367="","",K367-Ayarlar!$B$3)</f>
        <v/>
      </c>
      <c r="M367" s="18" t="str">
        <f aca="false">IF(A367="","",Veri_Guncel!H367)</f>
        <v/>
      </c>
      <c r="N367" s="18" t="str">
        <f aca="false">IF(A367="","",IFERROR(INDEX(Veri_Onceki!$H:$H,MATCH(A367,Veri_Onceki!$A:$A,0)),""))</f>
        <v/>
      </c>
      <c r="O367" s="14" t="str">
        <f aca="false">IF(A367="","",IF(AND(H367&gt;=1,EDATE(E367,12*H367)&gt;Ayarlar!$B$4,EDATE(E367,12*H367)&lt;=Ayarlar!$B$3),J367,0))</f>
        <v/>
      </c>
      <c r="P367" s="14" t="str">
        <f aca="false">IF(OR(A367="",N367=""),"",N367+O367-M367)</f>
        <v/>
      </c>
      <c r="Q367" s="16" t="str">
        <f aca="false">IF(A367="","",IF(M367&gt;=Ayarlar!$B$7,"ALARM",IF(M367&gt;=Ayarlar!$B$6,"Planla","")))</f>
        <v/>
      </c>
      <c r="R367" s="14" t="str">
        <f aca="false">IF(A367="","",IF(AND(L367&gt;=0,L367&lt;=Ayarlar!$B$9),"Evet",""))</f>
        <v/>
      </c>
      <c r="S367" s="16" t="str">
        <f aca="false">IF(A367="","",IF(N367="","Yeni personel",IF(P367&lt;0,"Kontrol et","")))</f>
        <v/>
      </c>
      <c r="T367" s="14" t="str">
        <f aca="false">IF(A367="","",IF(AND(G367=1,M367&gt;=Ayarlar!$B$6,OR(Ayarlar!$B$11="Tümü",C367=Ayarlar!$B$11)),M367+ROW()/100000,""))</f>
        <v/>
      </c>
    </row>
    <row r="368" customFormat="false" ht="15" hidden="false" customHeight="false" outlineLevel="0" collapsed="false">
      <c r="A368" s="18" t="str">
        <f aca="false">IF(Veri_Guncel!A368="","",Veri_Guncel!A368)</f>
        <v/>
      </c>
      <c r="B368" s="18" t="str">
        <f aca="false">IF($A368="","",Veri_Guncel!B368)</f>
        <v/>
      </c>
      <c r="C368" s="18" t="str">
        <f aca="false">IF($A368="","",Veri_Guncel!C368)</f>
        <v/>
      </c>
      <c r="D368" s="18" t="str">
        <f aca="false">IF($A368="","",Veri_Guncel!D368)</f>
        <v/>
      </c>
      <c r="E368" s="19" t="str">
        <f aca="false">IF($A368="","",Veri_Guncel!E368)</f>
        <v/>
      </c>
      <c r="F368" s="19" t="str">
        <f aca="false">IF($A368="","",Veri_Guncel!F368)</f>
        <v/>
      </c>
      <c r="G368" s="14" t="str">
        <f aca="false">IF(A368="","",IF(COUNTIF(Ayarlar!$A$15:$A$20,C368)&gt;0,1,0))</f>
        <v/>
      </c>
      <c r="H368" s="14" t="str">
        <f aca="false">IF(A368="","",DATEDIF(E368,Ayarlar!$B$3,"y"))</f>
        <v/>
      </c>
      <c r="I368" s="14" t="str">
        <f aca="false">IF(OR(A368="",F368=""),"",DATEDIF(F368,Ayarlar!$B$3,"y"))</f>
        <v/>
      </c>
      <c r="J368" s="14" t="str">
        <f aca="false">IF(A368="","",IF(H368&lt;1,0,MAX(IF(H368&lt;5,14,IF(H368&lt;15,20,26)),IF(AND(I368&lt;&gt;"",OR(I368&lt;=18,I368&gt;=50)),20,0))))</f>
        <v/>
      </c>
      <c r="K368" s="17" t="str">
        <f aca="false">IF(A368="","",EDATE(E368,12*(H368+1)))</f>
        <v/>
      </c>
      <c r="L368" s="14" t="str">
        <f aca="false">IF(A368="","",K368-Ayarlar!$B$3)</f>
        <v/>
      </c>
      <c r="M368" s="18" t="str">
        <f aca="false">IF(A368="","",Veri_Guncel!H368)</f>
        <v/>
      </c>
      <c r="N368" s="18" t="str">
        <f aca="false">IF(A368="","",IFERROR(INDEX(Veri_Onceki!$H:$H,MATCH(A368,Veri_Onceki!$A:$A,0)),""))</f>
        <v/>
      </c>
      <c r="O368" s="14" t="str">
        <f aca="false">IF(A368="","",IF(AND(H368&gt;=1,EDATE(E368,12*H368)&gt;Ayarlar!$B$4,EDATE(E368,12*H368)&lt;=Ayarlar!$B$3),J368,0))</f>
        <v/>
      </c>
      <c r="P368" s="14" t="str">
        <f aca="false">IF(OR(A368="",N368=""),"",N368+O368-M368)</f>
        <v/>
      </c>
      <c r="Q368" s="16" t="str">
        <f aca="false">IF(A368="","",IF(M368&gt;=Ayarlar!$B$7,"ALARM",IF(M368&gt;=Ayarlar!$B$6,"Planla","")))</f>
        <v/>
      </c>
      <c r="R368" s="14" t="str">
        <f aca="false">IF(A368="","",IF(AND(L368&gt;=0,L368&lt;=Ayarlar!$B$9),"Evet",""))</f>
        <v/>
      </c>
      <c r="S368" s="16" t="str">
        <f aca="false">IF(A368="","",IF(N368="","Yeni personel",IF(P368&lt;0,"Kontrol et","")))</f>
        <v/>
      </c>
      <c r="T368" s="14" t="str">
        <f aca="false">IF(A368="","",IF(AND(G368=1,M368&gt;=Ayarlar!$B$6,OR(Ayarlar!$B$11="Tümü",C368=Ayarlar!$B$11)),M368+ROW()/100000,""))</f>
        <v/>
      </c>
    </row>
    <row r="369" customFormat="false" ht="15" hidden="false" customHeight="false" outlineLevel="0" collapsed="false">
      <c r="A369" s="18" t="str">
        <f aca="false">IF(Veri_Guncel!A369="","",Veri_Guncel!A369)</f>
        <v/>
      </c>
      <c r="B369" s="18" t="str">
        <f aca="false">IF($A369="","",Veri_Guncel!B369)</f>
        <v/>
      </c>
      <c r="C369" s="18" t="str">
        <f aca="false">IF($A369="","",Veri_Guncel!C369)</f>
        <v/>
      </c>
      <c r="D369" s="18" t="str">
        <f aca="false">IF($A369="","",Veri_Guncel!D369)</f>
        <v/>
      </c>
      <c r="E369" s="19" t="str">
        <f aca="false">IF($A369="","",Veri_Guncel!E369)</f>
        <v/>
      </c>
      <c r="F369" s="19" t="str">
        <f aca="false">IF($A369="","",Veri_Guncel!F369)</f>
        <v/>
      </c>
      <c r="G369" s="14" t="str">
        <f aca="false">IF(A369="","",IF(COUNTIF(Ayarlar!$A$15:$A$20,C369)&gt;0,1,0))</f>
        <v/>
      </c>
      <c r="H369" s="14" t="str">
        <f aca="false">IF(A369="","",DATEDIF(E369,Ayarlar!$B$3,"y"))</f>
        <v/>
      </c>
      <c r="I369" s="14" t="str">
        <f aca="false">IF(OR(A369="",F369=""),"",DATEDIF(F369,Ayarlar!$B$3,"y"))</f>
        <v/>
      </c>
      <c r="J369" s="14" t="str">
        <f aca="false">IF(A369="","",IF(H369&lt;1,0,MAX(IF(H369&lt;5,14,IF(H369&lt;15,20,26)),IF(AND(I369&lt;&gt;"",OR(I369&lt;=18,I369&gt;=50)),20,0))))</f>
        <v/>
      </c>
      <c r="K369" s="17" t="str">
        <f aca="false">IF(A369="","",EDATE(E369,12*(H369+1)))</f>
        <v/>
      </c>
      <c r="L369" s="14" t="str">
        <f aca="false">IF(A369="","",K369-Ayarlar!$B$3)</f>
        <v/>
      </c>
      <c r="M369" s="18" t="str">
        <f aca="false">IF(A369="","",Veri_Guncel!H369)</f>
        <v/>
      </c>
      <c r="N369" s="18" t="str">
        <f aca="false">IF(A369="","",IFERROR(INDEX(Veri_Onceki!$H:$H,MATCH(A369,Veri_Onceki!$A:$A,0)),""))</f>
        <v/>
      </c>
      <c r="O369" s="14" t="str">
        <f aca="false">IF(A369="","",IF(AND(H369&gt;=1,EDATE(E369,12*H369)&gt;Ayarlar!$B$4,EDATE(E369,12*H369)&lt;=Ayarlar!$B$3),J369,0))</f>
        <v/>
      </c>
      <c r="P369" s="14" t="str">
        <f aca="false">IF(OR(A369="",N369=""),"",N369+O369-M369)</f>
        <v/>
      </c>
      <c r="Q369" s="16" t="str">
        <f aca="false">IF(A369="","",IF(M369&gt;=Ayarlar!$B$7,"ALARM",IF(M369&gt;=Ayarlar!$B$6,"Planla","")))</f>
        <v/>
      </c>
      <c r="R369" s="14" t="str">
        <f aca="false">IF(A369="","",IF(AND(L369&gt;=0,L369&lt;=Ayarlar!$B$9),"Evet",""))</f>
        <v/>
      </c>
      <c r="S369" s="16" t="str">
        <f aca="false">IF(A369="","",IF(N369="","Yeni personel",IF(P369&lt;0,"Kontrol et","")))</f>
        <v/>
      </c>
      <c r="T369" s="14" t="str">
        <f aca="false">IF(A369="","",IF(AND(G369=1,M369&gt;=Ayarlar!$B$6,OR(Ayarlar!$B$11="Tümü",C369=Ayarlar!$B$11)),M369+ROW()/100000,""))</f>
        <v/>
      </c>
    </row>
    <row r="370" customFormat="false" ht="15" hidden="false" customHeight="false" outlineLevel="0" collapsed="false">
      <c r="A370" s="18" t="str">
        <f aca="false">IF(Veri_Guncel!A370="","",Veri_Guncel!A370)</f>
        <v/>
      </c>
      <c r="B370" s="18" t="str">
        <f aca="false">IF($A370="","",Veri_Guncel!B370)</f>
        <v/>
      </c>
      <c r="C370" s="18" t="str">
        <f aca="false">IF($A370="","",Veri_Guncel!C370)</f>
        <v/>
      </c>
      <c r="D370" s="18" t="str">
        <f aca="false">IF($A370="","",Veri_Guncel!D370)</f>
        <v/>
      </c>
      <c r="E370" s="19" t="str">
        <f aca="false">IF($A370="","",Veri_Guncel!E370)</f>
        <v/>
      </c>
      <c r="F370" s="19" t="str">
        <f aca="false">IF($A370="","",Veri_Guncel!F370)</f>
        <v/>
      </c>
      <c r="G370" s="14" t="str">
        <f aca="false">IF(A370="","",IF(COUNTIF(Ayarlar!$A$15:$A$20,C370)&gt;0,1,0))</f>
        <v/>
      </c>
      <c r="H370" s="14" t="str">
        <f aca="false">IF(A370="","",DATEDIF(E370,Ayarlar!$B$3,"y"))</f>
        <v/>
      </c>
      <c r="I370" s="14" t="str">
        <f aca="false">IF(OR(A370="",F370=""),"",DATEDIF(F370,Ayarlar!$B$3,"y"))</f>
        <v/>
      </c>
      <c r="J370" s="14" t="str">
        <f aca="false">IF(A370="","",IF(H370&lt;1,0,MAX(IF(H370&lt;5,14,IF(H370&lt;15,20,26)),IF(AND(I370&lt;&gt;"",OR(I370&lt;=18,I370&gt;=50)),20,0))))</f>
        <v/>
      </c>
      <c r="K370" s="17" t="str">
        <f aca="false">IF(A370="","",EDATE(E370,12*(H370+1)))</f>
        <v/>
      </c>
      <c r="L370" s="14" t="str">
        <f aca="false">IF(A370="","",K370-Ayarlar!$B$3)</f>
        <v/>
      </c>
      <c r="M370" s="18" t="str">
        <f aca="false">IF(A370="","",Veri_Guncel!H370)</f>
        <v/>
      </c>
      <c r="N370" s="18" t="str">
        <f aca="false">IF(A370="","",IFERROR(INDEX(Veri_Onceki!$H:$H,MATCH(A370,Veri_Onceki!$A:$A,0)),""))</f>
        <v/>
      </c>
      <c r="O370" s="14" t="str">
        <f aca="false">IF(A370="","",IF(AND(H370&gt;=1,EDATE(E370,12*H370)&gt;Ayarlar!$B$4,EDATE(E370,12*H370)&lt;=Ayarlar!$B$3),J370,0))</f>
        <v/>
      </c>
      <c r="P370" s="14" t="str">
        <f aca="false">IF(OR(A370="",N370=""),"",N370+O370-M370)</f>
        <v/>
      </c>
      <c r="Q370" s="16" t="str">
        <f aca="false">IF(A370="","",IF(M370&gt;=Ayarlar!$B$7,"ALARM",IF(M370&gt;=Ayarlar!$B$6,"Planla","")))</f>
        <v/>
      </c>
      <c r="R370" s="14" t="str">
        <f aca="false">IF(A370="","",IF(AND(L370&gt;=0,L370&lt;=Ayarlar!$B$9),"Evet",""))</f>
        <v/>
      </c>
      <c r="S370" s="16" t="str">
        <f aca="false">IF(A370="","",IF(N370="","Yeni personel",IF(P370&lt;0,"Kontrol et","")))</f>
        <v/>
      </c>
      <c r="T370" s="14" t="str">
        <f aca="false">IF(A370="","",IF(AND(G370=1,M370&gt;=Ayarlar!$B$6,OR(Ayarlar!$B$11="Tümü",C370=Ayarlar!$B$11)),M370+ROW()/100000,""))</f>
        <v/>
      </c>
    </row>
    <row r="371" customFormat="false" ht="15" hidden="false" customHeight="false" outlineLevel="0" collapsed="false">
      <c r="A371" s="18" t="str">
        <f aca="false">IF(Veri_Guncel!A371="","",Veri_Guncel!A371)</f>
        <v/>
      </c>
      <c r="B371" s="18" t="str">
        <f aca="false">IF($A371="","",Veri_Guncel!B371)</f>
        <v/>
      </c>
      <c r="C371" s="18" t="str">
        <f aca="false">IF($A371="","",Veri_Guncel!C371)</f>
        <v/>
      </c>
      <c r="D371" s="18" t="str">
        <f aca="false">IF($A371="","",Veri_Guncel!D371)</f>
        <v/>
      </c>
      <c r="E371" s="19" t="str">
        <f aca="false">IF($A371="","",Veri_Guncel!E371)</f>
        <v/>
      </c>
      <c r="F371" s="19" t="str">
        <f aca="false">IF($A371="","",Veri_Guncel!F371)</f>
        <v/>
      </c>
      <c r="G371" s="14" t="str">
        <f aca="false">IF(A371="","",IF(COUNTIF(Ayarlar!$A$15:$A$20,C371)&gt;0,1,0))</f>
        <v/>
      </c>
      <c r="H371" s="14" t="str">
        <f aca="false">IF(A371="","",DATEDIF(E371,Ayarlar!$B$3,"y"))</f>
        <v/>
      </c>
      <c r="I371" s="14" t="str">
        <f aca="false">IF(OR(A371="",F371=""),"",DATEDIF(F371,Ayarlar!$B$3,"y"))</f>
        <v/>
      </c>
      <c r="J371" s="14" t="str">
        <f aca="false">IF(A371="","",IF(H371&lt;1,0,MAX(IF(H371&lt;5,14,IF(H371&lt;15,20,26)),IF(AND(I371&lt;&gt;"",OR(I371&lt;=18,I371&gt;=50)),20,0))))</f>
        <v/>
      </c>
      <c r="K371" s="17" t="str">
        <f aca="false">IF(A371="","",EDATE(E371,12*(H371+1)))</f>
        <v/>
      </c>
      <c r="L371" s="14" t="str">
        <f aca="false">IF(A371="","",K371-Ayarlar!$B$3)</f>
        <v/>
      </c>
      <c r="M371" s="18" t="str">
        <f aca="false">IF(A371="","",Veri_Guncel!H371)</f>
        <v/>
      </c>
      <c r="N371" s="18" t="str">
        <f aca="false">IF(A371="","",IFERROR(INDEX(Veri_Onceki!$H:$H,MATCH(A371,Veri_Onceki!$A:$A,0)),""))</f>
        <v/>
      </c>
      <c r="O371" s="14" t="str">
        <f aca="false">IF(A371="","",IF(AND(H371&gt;=1,EDATE(E371,12*H371)&gt;Ayarlar!$B$4,EDATE(E371,12*H371)&lt;=Ayarlar!$B$3),J371,0))</f>
        <v/>
      </c>
      <c r="P371" s="14" t="str">
        <f aca="false">IF(OR(A371="",N371=""),"",N371+O371-M371)</f>
        <v/>
      </c>
      <c r="Q371" s="16" t="str">
        <f aca="false">IF(A371="","",IF(M371&gt;=Ayarlar!$B$7,"ALARM",IF(M371&gt;=Ayarlar!$B$6,"Planla","")))</f>
        <v/>
      </c>
      <c r="R371" s="14" t="str">
        <f aca="false">IF(A371="","",IF(AND(L371&gt;=0,L371&lt;=Ayarlar!$B$9),"Evet",""))</f>
        <v/>
      </c>
      <c r="S371" s="16" t="str">
        <f aca="false">IF(A371="","",IF(N371="","Yeni personel",IF(P371&lt;0,"Kontrol et","")))</f>
        <v/>
      </c>
      <c r="T371" s="14" t="str">
        <f aca="false">IF(A371="","",IF(AND(G371=1,M371&gt;=Ayarlar!$B$6,OR(Ayarlar!$B$11="Tümü",C371=Ayarlar!$B$11)),M371+ROW()/100000,""))</f>
        <v/>
      </c>
    </row>
    <row r="372" customFormat="false" ht="15" hidden="false" customHeight="false" outlineLevel="0" collapsed="false">
      <c r="A372" s="18" t="str">
        <f aca="false">IF(Veri_Guncel!A372="","",Veri_Guncel!A372)</f>
        <v/>
      </c>
      <c r="B372" s="18" t="str">
        <f aca="false">IF($A372="","",Veri_Guncel!B372)</f>
        <v/>
      </c>
      <c r="C372" s="18" t="str">
        <f aca="false">IF($A372="","",Veri_Guncel!C372)</f>
        <v/>
      </c>
      <c r="D372" s="18" t="str">
        <f aca="false">IF($A372="","",Veri_Guncel!D372)</f>
        <v/>
      </c>
      <c r="E372" s="19" t="str">
        <f aca="false">IF($A372="","",Veri_Guncel!E372)</f>
        <v/>
      </c>
      <c r="F372" s="19" t="str">
        <f aca="false">IF($A372="","",Veri_Guncel!F372)</f>
        <v/>
      </c>
      <c r="G372" s="14" t="str">
        <f aca="false">IF(A372="","",IF(COUNTIF(Ayarlar!$A$15:$A$20,C372)&gt;0,1,0))</f>
        <v/>
      </c>
      <c r="H372" s="14" t="str">
        <f aca="false">IF(A372="","",DATEDIF(E372,Ayarlar!$B$3,"y"))</f>
        <v/>
      </c>
      <c r="I372" s="14" t="str">
        <f aca="false">IF(OR(A372="",F372=""),"",DATEDIF(F372,Ayarlar!$B$3,"y"))</f>
        <v/>
      </c>
      <c r="J372" s="14" t="str">
        <f aca="false">IF(A372="","",IF(H372&lt;1,0,MAX(IF(H372&lt;5,14,IF(H372&lt;15,20,26)),IF(AND(I372&lt;&gt;"",OR(I372&lt;=18,I372&gt;=50)),20,0))))</f>
        <v/>
      </c>
      <c r="K372" s="17" t="str">
        <f aca="false">IF(A372="","",EDATE(E372,12*(H372+1)))</f>
        <v/>
      </c>
      <c r="L372" s="14" t="str">
        <f aca="false">IF(A372="","",K372-Ayarlar!$B$3)</f>
        <v/>
      </c>
      <c r="M372" s="18" t="str">
        <f aca="false">IF(A372="","",Veri_Guncel!H372)</f>
        <v/>
      </c>
      <c r="N372" s="18" t="str">
        <f aca="false">IF(A372="","",IFERROR(INDEX(Veri_Onceki!$H:$H,MATCH(A372,Veri_Onceki!$A:$A,0)),""))</f>
        <v/>
      </c>
      <c r="O372" s="14" t="str">
        <f aca="false">IF(A372="","",IF(AND(H372&gt;=1,EDATE(E372,12*H372)&gt;Ayarlar!$B$4,EDATE(E372,12*H372)&lt;=Ayarlar!$B$3),J372,0))</f>
        <v/>
      </c>
      <c r="P372" s="14" t="str">
        <f aca="false">IF(OR(A372="",N372=""),"",N372+O372-M372)</f>
        <v/>
      </c>
      <c r="Q372" s="16" t="str">
        <f aca="false">IF(A372="","",IF(M372&gt;=Ayarlar!$B$7,"ALARM",IF(M372&gt;=Ayarlar!$B$6,"Planla","")))</f>
        <v/>
      </c>
      <c r="R372" s="14" t="str">
        <f aca="false">IF(A372="","",IF(AND(L372&gt;=0,L372&lt;=Ayarlar!$B$9),"Evet",""))</f>
        <v/>
      </c>
      <c r="S372" s="16" t="str">
        <f aca="false">IF(A372="","",IF(N372="","Yeni personel",IF(P372&lt;0,"Kontrol et","")))</f>
        <v/>
      </c>
      <c r="T372" s="14" t="str">
        <f aca="false">IF(A372="","",IF(AND(G372=1,M372&gt;=Ayarlar!$B$6,OR(Ayarlar!$B$11="Tümü",C372=Ayarlar!$B$11)),M372+ROW()/100000,""))</f>
        <v/>
      </c>
    </row>
    <row r="373" customFormat="false" ht="15" hidden="false" customHeight="false" outlineLevel="0" collapsed="false">
      <c r="A373" s="18" t="str">
        <f aca="false">IF(Veri_Guncel!A373="","",Veri_Guncel!A373)</f>
        <v/>
      </c>
      <c r="B373" s="18" t="str">
        <f aca="false">IF($A373="","",Veri_Guncel!B373)</f>
        <v/>
      </c>
      <c r="C373" s="18" t="str">
        <f aca="false">IF($A373="","",Veri_Guncel!C373)</f>
        <v/>
      </c>
      <c r="D373" s="18" t="str">
        <f aca="false">IF($A373="","",Veri_Guncel!D373)</f>
        <v/>
      </c>
      <c r="E373" s="19" t="str">
        <f aca="false">IF($A373="","",Veri_Guncel!E373)</f>
        <v/>
      </c>
      <c r="F373" s="19" t="str">
        <f aca="false">IF($A373="","",Veri_Guncel!F373)</f>
        <v/>
      </c>
      <c r="G373" s="14" t="str">
        <f aca="false">IF(A373="","",IF(COUNTIF(Ayarlar!$A$15:$A$20,C373)&gt;0,1,0))</f>
        <v/>
      </c>
      <c r="H373" s="14" t="str">
        <f aca="false">IF(A373="","",DATEDIF(E373,Ayarlar!$B$3,"y"))</f>
        <v/>
      </c>
      <c r="I373" s="14" t="str">
        <f aca="false">IF(OR(A373="",F373=""),"",DATEDIF(F373,Ayarlar!$B$3,"y"))</f>
        <v/>
      </c>
      <c r="J373" s="14" t="str">
        <f aca="false">IF(A373="","",IF(H373&lt;1,0,MAX(IF(H373&lt;5,14,IF(H373&lt;15,20,26)),IF(AND(I373&lt;&gt;"",OR(I373&lt;=18,I373&gt;=50)),20,0))))</f>
        <v/>
      </c>
      <c r="K373" s="17" t="str">
        <f aca="false">IF(A373="","",EDATE(E373,12*(H373+1)))</f>
        <v/>
      </c>
      <c r="L373" s="14" t="str">
        <f aca="false">IF(A373="","",K373-Ayarlar!$B$3)</f>
        <v/>
      </c>
      <c r="M373" s="18" t="str">
        <f aca="false">IF(A373="","",Veri_Guncel!H373)</f>
        <v/>
      </c>
      <c r="N373" s="18" t="str">
        <f aca="false">IF(A373="","",IFERROR(INDEX(Veri_Onceki!$H:$H,MATCH(A373,Veri_Onceki!$A:$A,0)),""))</f>
        <v/>
      </c>
      <c r="O373" s="14" t="str">
        <f aca="false">IF(A373="","",IF(AND(H373&gt;=1,EDATE(E373,12*H373)&gt;Ayarlar!$B$4,EDATE(E373,12*H373)&lt;=Ayarlar!$B$3),J373,0))</f>
        <v/>
      </c>
      <c r="P373" s="14" t="str">
        <f aca="false">IF(OR(A373="",N373=""),"",N373+O373-M373)</f>
        <v/>
      </c>
      <c r="Q373" s="16" t="str">
        <f aca="false">IF(A373="","",IF(M373&gt;=Ayarlar!$B$7,"ALARM",IF(M373&gt;=Ayarlar!$B$6,"Planla","")))</f>
        <v/>
      </c>
      <c r="R373" s="14" t="str">
        <f aca="false">IF(A373="","",IF(AND(L373&gt;=0,L373&lt;=Ayarlar!$B$9),"Evet",""))</f>
        <v/>
      </c>
      <c r="S373" s="16" t="str">
        <f aca="false">IF(A373="","",IF(N373="","Yeni personel",IF(P373&lt;0,"Kontrol et","")))</f>
        <v/>
      </c>
      <c r="T373" s="14" t="str">
        <f aca="false">IF(A373="","",IF(AND(G373=1,M373&gt;=Ayarlar!$B$6,OR(Ayarlar!$B$11="Tümü",C373=Ayarlar!$B$11)),M373+ROW()/100000,""))</f>
        <v/>
      </c>
    </row>
    <row r="374" customFormat="false" ht="15" hidden="false" customHeight="false" outlineLevel="0" collapsed="false">
      <c r="A374" s="18" t="str">
        <f aca="false">IF(Veri_Guncel!A374="","",Veri_Guncel!A374)</f>
        <v/>
      </c>
      <c r="B374" s="18" t="str">
        <f aca="false">IF($A374="","",Veri_Guncel!B374)</f>
        <v/>
      </c>
      <c r="C374" s="18" t="str">
        <f aca="false">IF($A374="","",Veri_Guncel!C374)</f>
        <v/>
      </c>
      <c r="D374" s="18" t="str">
        <f aca="false">IF($A374="","",Veri_Guncel!D374)</f>
        <v/>
      </c>
      <c r="E374" s="19" t="str">
        <f aca="false">IF($A374="","",Veri_Guncel!E374)</f>
        <v/>
      </c>
      <c r="F374" s="19" t="str">
        <f aca="false">IF($A374="","",Veri_Guncel!F374)</f>
        <v/>
      </c>
      <c r="G374" s="14" t="str">
        <f aca="false">IF(A374="","",IF(COUNTIF(Ayarlar!$A$15:$A$20,C374)&gt;0,1,0))</f>
        <v/>
      </c>
      <c r="H374" s="14" t="str">
        <f aca="false">IF(A374="","",DATEDIF(E374,Ayarlar!$B$3,"y"))</f>
        <v/>
      </c>
      <c r="I374" s="14" t="str">
        <f aca="false">IF(OR(A374="",F374=""),"",DATEDIF(F374,Ayarlar!$B$3,"y"))</f>
        <v/>
      </c>
      <c r="J374" s="14" t="str">
        <f aca="false">IF(A374="","",IF(H374&lt;1,0,MAX(IF(H374&lt;5,14,IF(H374&lt;15,20,26)),IF(AND(I374&lt;&gt;"",OR(I374&lt;=18,I374&gt;=50)),20,0))))</f>
        <v/>
      </c>
      <c r="K374" s="17" t="str">
        <f aca="false">IF(A374="","",EDATE(E374,12*(H374+1)))</f>
        <v/>
      </c>
      <c r="L374" s="14" t="str">
        <f aca="false">IF(A374="","",K374-Ayarlar!$B$3)</f>
        <v/>
      </c>
      <c r="M374" s="18" t="str">
        <f aca="false">IF(A374="","",Veri_Guncel!H374)</f>
        <v/>
      </c>
      <c r="N374" s="18" t="str">
        <f aca="false">IF(A374="","",IFERROR(INDEX(Veri_Onceki!$H:$H,MATCH(A374,Veri_Onceki!$A:$A,0)),""))</f>
        <v/>
      </c>
      <c r="O374" s="14" t="str">
        <f aca="false">IF(A374="","",IF(AND(H374&gt;=1,EDATE(E374,12*H374)&gt;Ayarlar!$B$4,EDATE(E374,12*H374)&lt;=Ayarlar!$B$3),J374,0))</f>
        <v/>
      </c>
      <c r="P374" s="14" t="str">
        <f aca="false">IF(OR(A374="",N374=""),"",N374+O374-M374)</f>
        <v/>
      </c>
      <c r="Q374" s="16" t="str">
        <f aca="false">IF(A374="","",IF(M374&gt;=Ayarlar!$B$7,"ALARM",IF(M374&gt;=Ayarlar!$B$6,"Planla","")))</f>
        <v/>
      </c>
      <c r="R374" s="14" t="str">
        <f aca="false">IF(A374="","",IF(AND(L374&gt;=0,L374&lt;=Ayarlar!$B$9),"Evet",""))</f>
        <v/>
      </c>
      <c r="S374" s="16" t="str">
        <f aca="false">IF(A374="","",IF(N374="","Yeni personel",IF(P374&lt;0,"Kontrol et","")))</f>
        <v/>
      </c>
      <c r="T374" s="14" t="str">
        <f aca="false">IF(A374="","",IF(AND(G374=1,M374&gt;=Ayarlar!$B$6,OR(Ayarlar!$B$11="Tümü",C374=Ayarlar!$B$11)),M374+ROW()/100000,""))</f>
        <v/>
      </c>
    </row>
    <row r="375" customFormat="false" ht="15" hidden="false" customHeight="false" outlineLevel="0" collapsed="false">
      <c r="A375" s="18" t="str">
        <f aca="false">IF(Veri_Guncel!A375="","",Veri_Guncel!A375)</f>
        <v/>
      </c>
      <c r="B375" s="18" t="str">
        <f aca="false">IF($A375="","",Veri_Guncel!B375)</f>
        <v/>
      </c>
      <c r="C375" s="18" t="str">
        <f aca="false">IF($A375="","",Veri_Guncel!C375)</f>
        <v/>
      </c>
      <c r="D375" s="18" t="str">
        <f aca="false">IF($A375="","",Veri_Guncel!D375)</f>
        <v/>
      </c>
      <c r="E375" s="19" t="str">
        <f aca="false">IF($A375="","",Veri_Guncel!E375)</f>
        <v/>
      </c>
      <c r="F375" s="19" t="str">
        <f aca="false">IF($A375="","",Veri_Guncel!F375)</f>
        <v/>
      </c>
      <c r="G375" s="14" t="str">
        <f aca="false">IF(A375="","",IF(COUNTIF(Ayarlar!$A$15:$A$20,C375)&gt;0,1,0))</f>
        <v/>
      </c>
      <c r="H375" s="14" t="str">
        <f aca="false">IF(A375="","",DATEDIF(E375,Ayarlar!$B$3,"y"))</f>
        <v/>
      </c>
      <c r="I375" s="14" t="str">
        <f aca="false">IF(OR(A375="",F375=""),"",DATEDIF(F375,Ayarlar!$B$3,"y"))</f>
        <v/>
      </c>
      <c r="J375" s="14" t="str">
        <f aca="false">IF(A375="","",IF(H375&lt;1,0,MAX(IF(H375&lt;5,14,IF(H375&lt;15,20,26)),IF(AND(I375&lt;&gt;"",OR(I375&lt;=18,I375&gt;=50)),20,0))))</f>
        <v/>
      </c>
      <c r="K375" s="17" t="str">
        <f aca="false">IF(A375="","",EDATE(E375,12*(H375+1)))</f>
        <v/>
      </c>
      <c r="L375" s="14" t="str">
        <f aca="false">IF(A375="","",K375-Ayarlar!$B$3)</f>
        <v/>
      </c>
      <c r="M375" s="18" t="str">
        <f aca="false">IF(A375="","",Veri_Guncel!H375)</f>
        <v/>
      </c>
      <c r="N375" s="18" t="str">
        <f aca="false">IF(A375="","",IFERROR(INDEX(Veri_Onceki!$H:$H,MATCH(A375,Veri_Onceki!$A:$A,0)),""))</f>
        <v/>
      </c>
      <c r="O375" s="14" t="str">
        <f aca="false">IF(A375="","",IF(AND(H375&gt;=1,EDATE(E375,12*H375)&gt;Ayarlar!$B$4,EDATE(E375,12*H375)&lt;=Ayarlar!$B$3),J375,0))</f>
        <v/>
      </c>
      <c r="P375" s="14" t="str">
        <f aca="false">IF(OR(A375="",N375=""),"",N375+O375-M375)</f>
        <v/>
      </c>
      <c r="Q375" s="16" t="str">
        <f aca="false">IF(A375="","",IF(M375&gt;=Ayarlar!$B$7,"ALARM",IF(M375&gt;=Ayarlar!$B$6,"Planla","")))</f>
        <v/>
      </c>
      <c r="R375" s="14" t="str">
        <f aca="false">IF(A375="","",IF(AND(L375&gt;=0,L375&lt;=Ayarlar!$B$9),"Evet",""))</f>
        <v/>
      </c>
      <c r="S375" s="16" t="str">
        <f aca="false">IF(A375="","",IF(N375="","Yeni personel",IF(P375&lt;0,"Kontrol et","")))</f>
        <v/>
      </c>
      <c r="T375" s="14" t="str">
        <f aca="false">IF(A375="","",IF(AND(G375=1,M375&gt;=Ayarlar!$B$6,OR(Ayarlar!$B$11="Tümü",C375=Ayarlar!$B$11)),M375+ROW()/100000,""))</f>
        <v/>
      </c>
    </row>
    <row r="376" customFormat="false" ht="15" hidden="false" customHeight="false" outlineLevel="0" collapsed="false">
      <c r="A376" s="18" t="str">
        <f aca="false">IF(Veri_Guncel!A376="","",Veri_Guncel!A376)</f>
        <v/>
      </c>
      <c r="B376" s="18" t="str">
        <f aca="false">IF($A376="","",Veri_Guncel!B376)</f>
        <v/>
      </c>
      <c r="C376" s="18" t="str">
        <f aca="false">IF($A376="","",Veri_Guncel!C376)</f>
        <v/>
      </c>
      <c r="D376" s="18" t="str">
        <f aca="false">IF($A376="","",Veri_Guncel!D376)</f>
        <v/>
      </c>
      <c r="E376" s="19" t="str">
        <f aca="false">IF($A376="","",Veri_Guncel!E376)</f>
        <v/>
      </c>
      <c r="F376" s="19" t="str">
        <f aca="false">IF($A376="","",Veri_Guncel!F376)</f>
        <v/>
      </c>
      <c r="G376" s="14" t="str">
        <f aca="false">IF(A376="","",IF(COUNTIF(Ayarlar!$A$15:$A$20,C376)&gt;0,1,0))</f>
        <v/>
      </c>
      <c r="H376" s="14" t="str">
        <f aca="false">IF(A376="","",DATEDIF(E376,Ayarlar!$B$3,"y"))</f>
        <v/>
      </c>
      <c r="I376" s="14" t="str">
        <f aca="false">IF(OR(A376="",F376=""),"",DATEDIF(F376,Ayarlar!$B$3,"y"))</f>
        <v/>
      </c>
      <c r="J376" s="14" t="str">
        <f aca="false">IF(A376="","",IF(H376&lt;1,0,MAX(IF(H376&lt;5,14,IF(H376&lt;15,20,26)),IF(AND(I376&lt;&gt;"",OR(I376&lt;=18,I376&gt;=50)),20,0))))</f>
        <v/>
      </c>
      <c r="K376" s="17" t="str">
        <f aca="false">IF(A376="","",EDATE(E376,12*(H376+1)))</f>
        <v/>
      </c>
      <c r="L376" s="14" t="str">
        <f aca="false">IF(A376="","",K376-Ayarlar!$B$3)</f>
        <v/>
      </c>
      <c r="M376" s="18" t="str">
        <f aca="false">IF(A376="","",Veri_Guncel!H376)</f>
        <v/>
      </c>
      <c r="N376" s="18" t="str">
        <f aca="false">IF(A376="","",IFERROR(INDEX(Veri_Onceki!$H:$H,MATCH(A376,Veri_Onceki!$A:$A,0)),""))</f>
        <v/>
      </c>
      <c r="O376" s="14" t="str">
        <f aca="false">IF(A376="","",IF(AND(H376&gt;=1,EDATE(E376,12*H376)&gt;Ayarlar!$B$4,EDATE(E376,12*H376)&lt;=Ayarlar!$B$3),J376,0))</f>
        <v/>
      </c>
      <c r="P376" s="14" t="str">
        <f aca="false">IF(OR(A376="",N376=""),"",N376+O376-M376)</f>
        <v/>
      </c>
      <c r="Q376" s="16" t="str">
        <f aca="false">IF(A376="","",IF(M376&gt;=Ayarlar!$B$7,"ALARM",IF(M376&gt;=Ayarlar!$B$6,"Planla","")))</f>
        <v/>
      </c>
      <c r="R376" s="14" t="str">
        <f aca="false">IF(A376="","",IF(AND(L376&gt;=0,L376&lt;=Ayarlar!$B$9),"Evet",""))</f>
        <v/>
      </c>
      <c r="S376" s="16" t="str">
        <f aca="false">IF(A376="","",IF(N376="","Yeni personel",IF(P376&lt;0,"Kontrol et","")))</f>
        <v/>
      </c>
      <c r="T376" s="14" t="str">
        <f aca="false">IF(A376="","",IF(AND(G376=1,M376&gt;=Ayarlar!$B$6,OR(Ayarlar!$B$11="Tümü",C376=Ayarlar!$B$11)),M376+ROW()/100000,""))</f>
        <v/>
      </c>
    </row>
    <row r="377" customFormat="false" ht="15" hidden="false" customHeight="false" outlineLevel="0" collapsed="false">
      <c r="A377" s="18" t="str">
        <f aca="false">IF(Veri_Guncel!A377="","",Veri_Guncel!A377)</f>
        <v/>
      </c>
      <c r="B377" s="18" t="str">
        <f aca="false">IF($A377="","",Veri_Guncel!B377)</f>
        <v/>
      </c>
      <c r="C377" s="18" t="str">
        <f aca="false">IF($A377="","",Veri_Guncel!C377)</f>
        <v/>
      </c>
      <c r="D377" s="18" t="str">
        <f aca="false">IF($A377="","",Veri_Guncel!D377)</f>
        <v/>
      </c>
      <c r="E377" s="19" t="str">
        <f aca="false">IF($A377="","",Veri_Guncel!E377)</f>
        <v/>
      </c>
      <c r="F377" s="19" t="str">
        <f aca="false">IF($A377="","",Veri_Guncel!F377)</f>
        <v/>
      </c>
      <c r="G377" s="14" t="str">
        <f aca="false">IF(A377="","",IF(COUNTIF(Ayarlar!$A$15:$A$20,C377)&gt;0,1,0))</f>
        <v/>
      </c>
      <c r="H377" s="14" t="str">
        <f aca="false">IF(A377="","",DATEDIF(E377,Ayarlar!$B$3,"y"))</f>
        <v/>
      </c>
      <c r="I377" s="14" t="str">
        <f aca="false">IF(OR(A377="",F377=""),"",DATEDIF(F377,Ayarlar!$B$3,"y"))</f>
        <v/>
      </c>
      <c r="J377" s="14" t="str">
        <f aca="false">IF(A377="","",IF(H377&lt;1,0,MAX(IF(H377&lt;5,14,IF(H377&lt;15,20,26)),IF(AND(I377&lt;&gt;"",OR(I377&lt;=18,I377&gt;=50)),20,0))))</f>
        <v/>
      </c>
      <c r="K377" s="17" t="str">
        <f aca="false">IF(A377="","",EDATE(E377,12*(H377+1)))</f>
        <v/>
      </c>
      <c r="L377" s="14" t="str">
        <f aca="false">IF(A377="","",K377-Ayarlar!$B$3)</f>
        <v/>
      </c>
      <c r="M377" s="18" t="str">
        <f aca="false">IF(A377="","",Veri_Guncel!H377)</f>
        <v/>
      </c>
      <c r="N377" s="18" t="str">
        <f aca="false">IF(A377="","",IFERROR(INDEX(Veri_Onceki!$H:$H,MATCH(A377,Veri_Onceki!$A:$A,0)),""))</f>
        <v/>
      </c>
      <c r="O377" s="14" t="str">
        <f aca="false">IF(A377="","",IF(AND(H377&gt;=1,EDATE(E377,12*H377)&gt;Ayarlar!$B$4,EDATE(E377,12*H377)&lt;=Ayarlar!$B$3),J377,0))</f>
        <v/>
      </c>
      <c r="P377" s="14" t="str">
        <f aca="false">IF(OR(A377="",N377=""),"",N377+O377-M377)</f>
        <v/>
      </c>
      <c r="Q377" s="16" t="str">
        <f aca="false">IF(A377="","",IF(M377&gt;=Ayarlar!$B$7,"ALARM",IF(M377&gt;=Ayarlar!$B$6,"Planla","")))</f>
        <v/>
      </c>
      <c r="R377" s="14" t="str">
        <f aca="false">IF(A377="","",IF(AND(L377&gt;=0,L377&lt;=Ayarlar!$B$9),"Evet",""))</f>
        <v/>
      </c>
      <c r="S377" s="16" t="str">
        <f aca="false">IF(A377="","",IF(N377="","Yeni personel",IF(P377&lt;0,"Kontrol et","")))</f>
        <v/>
      </c>
      <c r="T377" s="14" t="str">
        <f aca="false">IF(A377="","",IF(AND(G377=1,M377&gt;=Ayarlar!$B$6,OR(Ayarlar!$B$11="Tümü",C377=Ayarlar!$B$11)),M377+ROW()/100000,""))</f>
        <v/>
      </c>
    </row>
    <row r="378" customFormat="false" ht="15" hidden="false" customHeight="false" outlineLevel="0" collapsed="false">
      <c r="A378" s="18" t="str">
        <f aca="false">IF(Veri_Guncel!A378="","",Veri_Guncel!A378)</f>
        <v/>
      </c>
      <c r="B378" s="18" t="str">
        <f aca="false">IF($A378="","",Veri_Guncel!B378)</f>
        <v/>
      </c>
      <c r="C378" s="18" t="str">
        <f aca="false">IF($A378="","",Veri_Guncel!C378)</f>
        <v/>
      </c>
      <c r="D378" s="18" t="str">
        <f aca="false">IF($A378="","",Veri_Guncel!D378)</f>
        <v/>
      </c>
      <c r="E378" s="19" t="str">
        <f aca="false">IF($A378="","",Veri_Guncel!E378)</f>
        <v/>
      </c>
      <c r="F378" s="19" t="str">
        <f aca="false">IF($A378="","",Veri_Guncel!F378)</f>
        <v/>
      </c>
      <c r="G378" s="14" t="str">
        <f aca="false">IF(A378="","",IF(COUNTIF(Ayarlar!$A$15:$A$20,C378)&gt;0,1,0))</f>
        <v/>
      </c>
      <c r="H378" s="14" t="str">
        <f aca="false">IF(A378="","",DATEDIF(E378,Ayarlar!$B$3,"y"))</f>
        <v/>
      </c>
      <c r="I378" s="14" t="str">
        <f aca="false">IF(OR(A378="",F378=""),"",DATEDIF(F378,Ayarlar!$B$3,"y"))</f>
        <v/>
      </c>
      <c r="J378" s="14" t="str">
        <f aca="false">IF(A378="","",IF(H378&lt;1,0,MAX(IF(H378&lt;5,14,IF(H378&lt;15,20,26)),IF(AND(I378&lt;&gt;"",OR(I378&lt;=18,I378&gt;=50)),20,0))))</f>
        <v/>
      </c>
      <c r="K378" s="17" t="str">
        <f aca="false">IF(A378="","",EDATE(E378,12*(H378+1)))</f>
        <v/>
      </c>
      <c r="L378" s="14" t="str">
        <f aca="false">IF(A378="","",K378-Ayarlar!$B$3)</f>
        <v/>
      </c>
      <c r="M378" s="18" t="str">
        <f aca="false">IF(A378="","",Veri_Guncel!H378)</f>
        <v/>
      </c>
      <c r="N378" s="18" t="str">
        <f aca="false">IF(A378="","",IFERROR(INDEX(Veri_Onceki!$H:$H,MATCH(A378,Veri_Onceki!$A:$A,0)),""))</f>
        <v/>
      </c>
      <c r="O378" s="14" t="str">
        <f aca="false">IF(A378="","",IF(AND(H378&gt;=1,EDATE(E378,12*H378)&gt;Ayarlar!$B$4,EDATE(E378,12*H378)&lt;=Ayarlar!$B$3),J378,0))</f>
        <v/>
      </c>
      <c r="P378" s="14" t="str">
        <f aca="false">IF(OR(A378="",N378=""),"",N378+O378-M378)</f>
        <v/>
      </c>
      <c r="Q378" s="16" t="str">
        <f aca="false">IF(A378="","",IF(M378&gt;=Ayarlar!$B$7,"ALARM",IF(M378&gt;=Ayarlar!$B$6,"Planla","")))</f>
        <v/>
      </c>
      <c r="R378" s="14" t="str">
        <f aca="false">IF(A378="","",IF(AND(L378&gt;=0,L378&lt;=Ayarlar!$B$9),"Evet",""))</f>
        <v/>
      </c>
      <c r="S378" s="16" t="str">
        <f aca="false">IF(A378="","",IF(N378="","Yeni personel",IF(P378&lt;0,"Kontrol et","")))</f>
        <v/>
      </c>
      <c r="T378" s="14" t="str">
        <f aca="false">IF(A378="","",IF(AND(G378=1,M378&gt;=Ayarlar!$B$6,OR(Ayarlar!$B$11="Tümü",C378=Ayarlar!$B$11)),M378+ROW()/100000,""))</f>
        <v/>
      </c>
    </row>
    <row r="379" customFormat="false" ht="15" hidden="false" customHeight="false" outlineLevel="0" collapsed="false">
      <c r="A379" s="18" t="str">
        <f aca="false">IF(Veri_Guncel!A379="","",Veri_Guncel!A379)</f>
        <v/>
      </c>
      <c r="B379" s="18" t="str">
        <f aca="false">IF($A379="","",Veri_Guncel!B379)</f>
        <v/>
      </c>
      <c r="C379" s="18" t="str">
        <f aca="false">IF($A379="","",Veri_Guncel!C379)</f>
        <v/>
      </c>
      <c r="D379" s="18" t="str">
        <f aca="false">IF($A379="","",Veri_Guncel!D379)</f>
        <v/>
      </c>
      <c r="E379" s="19" t="str">
        <f aca="false">IF($A379="","",Veri_Guncel!E379)</f>
        <v/>
      </c>
      <c r="F379" s="19" t="str">
        <f aca="false">IF($A379="","",Veri_Guncel!F379)</f>
        <v/>
      </c>
      <c r="G379" s="14" t="str">
        <f aca="false">IF(A379="","",IF(COUNTIF(Ayarlar!$A$15:$A$20,C379)&gt;0,1,0))</f>
        <v/>
      </c>
      <c r="H379" s="14" t="str">
        <f aca="false">IF(A379="","",DATEDIF(E379,Ayarlar!$B$3,"y"))</f>
        <v/>
      </c>
      <c r="I379" s="14" t="str">
        <f aca="false">IF(OR(A379="",F379=""),"",DATEDIF(F379,Ayarlar!$B$3,"y"))</f>
        <v/>
      </c>
      <c r="J379" s="14" t="str">
        <f aca="false">IF(A379="","",IF(H379&lt;1,0,MAX(IF(H379&lt;5,14,IF(H379&lt;15,20,26)),IF(AND(I379&lt;&gt;"",OR(I379&lt;=18,I379&gt;=50)),20,0))))</f>
        <v/>
      </c>
      <c r="K379" s="17" t="str">
        <f aca="false">IF(A379="","",EDATE(E379,12*(H379+1)))</f>
        <v/>
      </c>
      <c r="L379" s="14" t="str">
        <f aca="false">IF(A379="","",K379-Ayarlar!$B$3)</f>
        <v/>
      </c>
      <c r="M379" s="18" t="str">
        <f aca="false">IF(A379="","",Veri_Guncel!H379)</f>
        <v/>
      </c>
      <c r="N379" s="18" t="str">
        <f aca="false">IF(A379="","",IFERROR(INDEX(Veri_Onceki!$H:$H,MATCH(A379,Veri_Onceki!$A:$A,0)),""))</f>
        <v/>
      </c>
      <c r="O379" s="14" t="str">
        <f aca="false">IF(A379="","",IF(AND(H379&gt;=1,EDATE(E379,12*H379)&gt;Ayarlar!$B$4,EDATE(E379,12*H379)&lt;=Ayarlar!$B$3),J379,0))</f>
        <v/>
      </c>
      <c r="P379" s="14" t="str">
        <f aca="false">IF(OR(A379="",N379=""),"",N379+O379-M379)</f>
        <v/>
      </c>
      <c r="Q379" s="16" t="str">
        <f aca="false">IF(A379="","",IF(M379&gt;=Ayarlar!$B$7,"ALARM",IF(M379&gt;=Ayarlar!$B$6,"Planla","")))</f>
        <v/>
      </c>
      <c r="R379" s="14" t="str">
        <f aca="false">IF(A379="","",IF(AND(L379&gt;=0,L379&lt;=Ayarlar!$B$9),"Evet",""))</f>
        <v/>
      </c>
      <c r="S379" s="16" t="str">
        <f aca="false">IF(A379="","",IF(N379="","Yeni personel",IF(P379&lt;0,"Kontrol et","")))</f>
        <v/>
      </c>
      <c r="T379" s="14" t="str">
        <f aca="false">IF(A379="","",IF(AND(G379=1,M379&gt;=Ayarlar!$B$6,OR(Ayarlar!$B$11="Tümü",C379=Ayarlar!$B$11)),M379+ROW()/100000,""))</f>
        <v/>
      </c>
    </row>
    <row r="380" customFormat="false" ht="15" hidden="false" customHeight="false" outlineLevel="0" collapsed="false">
      <c r="A380" s="18" t="str">
        <f aca="false">IF(Veri_Guncel!A380="","",Veri_Guncel!A380)</f>
        <v/>
      </c>
      <c r="B380" s="18" t="str">
        <f aca="false">IF($A380="","",Veri_Guncel!B380)</f>
        <v/>
      </c>
      <c r="C380" s="18" t="str">
        <f aca="false">IF($A380="","",Veri_Guncel!C380)</f>
        <v/>
      </c>
      <c r="D380" s="18" t="str">
        <f aca="false">IF($A380="","",Veri_Guncel!D380)</f>
        <v/>
      </c>
      <c r="E380" s="19" t="str">
        <f aca="false">IF($A380="","",Veri_Guncel!E380)</f>
        <v/>
      </c>
      <c r="F380" s="19" t="str">
        <f aca="false">IF($A380="","",Veri_Guncel!F380)</f>
        <v/>
      </c>
      <c r="G380" s="14" t="str">
        <f aca="false">IF(A380="","",IF(COUNTIF(Ayarlar!$A$15:$A$20,C380)&gt;0,1,0))</f>
        <v/>
      </c>
      <c r="H380" s="14" t="str">
        <f aca="false">IF(A380="","",DATEDIF(E380,Ayarlar!$B$3,"y"))</f>
        <v/>
      </c>
      <c r="I380" s="14" t="str">
        <f aca="false">IF(OR(A380="",F380=""),"",DATEDIF(F380,Ayarlar!$B$3,"y"))</f>
        <v/>
      </c>
      <c r="J380" s="14" t="str">
        <f aca="false">IF(A380="","",IF(H380&lt;1,0,MAX(IF(H380&lt;5,14,IF(H380&lt;15,20,26)),IF(AND(I380&lt;&gt;"",OR(I380&lt;=18,I380&gt;=50)),20,0))))</f>
        <v/>
      </c>
      <c r="K380" s="17" t="str">
        <f aca="false">IF(A380="","",EDATE(E380,12*(H380+1)))</f>
        <v/>
      </c>
      <c r="L380" s="14" t="str">
        <f aca="false">IF(A380="","",K380-Ayarlar!$B$3)</f>
        <v/>
      </c>
      <c r="M380" s="18" t="str">
        <f aca="false">IF(A380="","",Veri_Guncel!H380)</f>
        <v/>
      </c>
      <c r="N380" s="18" t="str">
        <f aca="false">IF(A380="","",IFERROR(INDEX(Veri_Onceki!$H:$H,MATCH(A380,Veri_Onceki!$A:$A,0)),""))</f>
        <v/>
      </c>
      <c r="O380" s="14" t="str">
        <f aca="false">IF(A380="","",IF(AND(H380&gt;=1,EDATE(E380,12*H380)&gt;Ayarlar!$B$4,EDATE(E380,12*H380)&lt;=Ayarlar!$B$3),J380,0))</f>
        <v/>
      </c>
      <c r="P380" s="14" t="str">
        <f aca="false">IF(OR(A380="",N380=""),"",N380+O380-M380)</f>
        <v/>
      </c>
      <c r="Q380" s="16" t="str">
        <f aca="false">IF(A380="","",IF(M380&gt;=Ayarlar!$B$7,"ALARM",IF(M380&gt;=Ayarlar!$B$6,"Planla","")))</f>
        <v/>
      </c>
      <c r="R380" s="14" t="str">
        <f aca="false">IF(A380="","",IF(AND(L380&gt;=0,L380&lt;=Ayarlar!$B$9),"Evet",""))</f>
        <v/>
      </c>
      <c r="S380" s="16" t="str">
        <f aca="false">IF(A380="","",IF(N380="","Yeni personel",IF(P380&lt;0,"Kontrol et","")))</f>
        <v/>
      </c>
      <c r="T380" s="14" t="str">
        <f aca="false">IF(A380="","",IF(AND(G380=1,M380&gt;=Ayarlar!$B$6,OR(Ayarlar!$B$11="Tümü",C380=Ayarlar!$B$11)),M380+ROW()/100000,""))</f>
        <v/>
      </c>
    </row>
    <row r="381" customFormat="false" ht="15" hidden="false" customHeight="false" outlineLevel="0" collapsed="false">
      <c r="A381" s="18" t="str">
        <f aca="false">IF(Veri_Guncel!A381="","",Veri_Guncel!A381)</f>
        <v/>
      </c>
      <c r="B381" s="18" t="str">
        <f aca="false">IF($A381="","",Veri_Guncel!B381)</f>
        <v/>
      </c>
      <c r="C381" s="18" t="str">
        <f aca="false">IF($A381="","",Veri_Guncel!C381)</f>
        <v/>
      </c>
      <c r="D381" s="18" t="str">
        <f aca="false">IF($A381="","",Veri_Guncel!D381)</f>
        <v/>
      </c>
      <c r="E381" s="19" t="str">
        <f aca="false">IF($A381="","",Veri_Guncel!E381)</f>
        <v/>
      </c>
      <c r="F381" s="19" t="str">
        <f aca="false">IF($A381="","",Veri_Guncel!F381)</f>
        <v/>
      </c>
      <c r="G381" s="14" t="str">
        <f aca="false">IF(A381="","",IF(COUNTIF(Ayarlar!$A$15:$A$20,C381)&gt;0,1,0))</f>
        <v/>
      </c>
      <c r="H381" s="14" t="str">
        <f aca="false">IF(A381="","",DATEDIF(E381,Ayarlar!$B$3,"y"))</f>
        <v/>
      </c>
      <c r="I381" s="14" t="str">
        <f aca="false">IF(OR(A381="",F381=""),"",DATEDIF(F381,Ayarlar!$B$3,"y"))</f>
        <v/>
      </c>
      <c r="J381" s="14" t="str">
        <f aca="false">IF(A381="","",IF(H381&lt;1,0,MAX(IF(H381&lt;5,14,IF(H381&lt;15,20,26)),IF(AND(I381&lt;&gt;"",OR(I381&lt;=18,I381&gt;=50)),20,0))))</f>
        <v/>
      </c>
      <c r="K381" s="17" t="str">
        <f aca="false">IF(A381="","",EDATE(E381,12*(H381+1)))</f>
        <v/>
      </c>
      <c r="L381" s="14" t="str">
        <f aca="false">IF(A381="","",K381-Ayarlar!$B$3)</f>
        <v/>
      </c>
      <c r="M381" s="18" t="str">
        <f aca="false">IF(A381="","",Veri_Guncel!H381)</f>
        <v/>
      </c>
      <c r="N381" s="18" t="str">
        <f aca="false">IF(A381="","",IFERROR(INDEX(Veri_Onceki!$H:$H,MATCH(A381,Veri_Onceki!$A:$A,0)),""))</f>
        <v/>
      </c>
      <c r="O381" s="14" t="str">
        <f aca="false">IF(A381="","",IF(AND(H381&gt;=1,EDATE(E381,12*H381)&gt;Ayarlar!$B$4,EDATE(E381,12*H381)&lt;=Ayarlar!$B$3),J381,0))</f>
        <v/>
      </c>
      <c r="P381" s="14" t="str">
        <f aca="false">IF(OR(A381="",N381=""),"",N381+O381-M381)</f>
        <v/>
      </c>
      <c r="Q381" s="16" t="str">
        <f aca="false">IF(A381="","",IF(M381&gt;=Ayarlar!$B$7,"ALARM",IF(M381&gt;=Ayarlar!$B$6,"Planla","")))</f>
        <v/>
      </c>
      <c r="R381" s="14" t="str">
        <f aca="false">IF(A381="","",IF(AND(L381&gt;=0,L381&lt;=Ayarlar!$B$9),"Evet",""))</f>
        <v/>
      </c>
      <c r="S381" s="16" t="str">
        <f aca="false">IF(A381="","",IF(N381="","Yeni personel",IF(P381&lt;0,"Kontrol et","")))</f>
        <v/>
      </c>
      <c r="T381" s="14" t="str">
        <f aca="false">IF(A381="","",IF(AND(G381=1,M381&gt;=Ayarlar!$B$6,OR(Ayarlar!$B$11="Tümü",C381=Ayarlar!$B$11)),M381+ROW()/100000,""))</f>
        <v/>
      </c>
    </row>
    <row r="382" customFormat="false" ht="15" hidden="false" customHeight="false" outlineLevel="0" collapsed="false">
      <c r="A382" s="18" t="str">
        <f aca="false">IF(Veri_Guncel!A382="","",Veri_Guncel!A382)</f>
        <v/>
      </c>
      <c r="B382" s="18" t="str">
        <f aca="false">IF($A382="","",Veri_Guncel!B382)</f>
        <v/>
      </c>
      <c r="C382" s="18" t="str">
        <f aca="false">IF($A382="","",Veri_Guncel!C382)</f>
        <v/>
      </c>
      <c r="D382" s="18" t="str">
        <f aca="false">IF($A382="","",Veri_Guncel!D382)</f>
        <v/>
      </c>
      <c r="E382" s="19" t="str">
        <f aca="false">IF($A382="","",Veri_Guncel!E382)</f>
        <v/>
      </c>
      <c r="F382" s="19" t="str">
        <f aca="false">IF($A382="","",Veri_Guncel!F382)</f>
        <v/>
      </c>
      <c r="G382" s="14" t="str">
        <f aca="false">IF(A382="","",IF(COUNTIF(Ayarlar!$A$15:$A$20,C382)&gt;0,1,0))</f>
        <v/>
      </c>
      <c r="H382" s="14" t="str">
        <f aca="false">IF(A382="","",DATEDIF(E382,Ayarlar!$B$3,"y"))</f>
        <v/>
      </c>
      <c r="I382" s="14" t="str">
        <f aca="false">IF(OR(A382="",F382=""),"",DATEDIF(F382,Ayarlar!$B$3,"y"))</f>
        <v/>
      </c>
      <c r="J382" s="14" t="str">
        <f aca="false">IF(A382="","",IF(H382&lt;1,0,MAX(IF(H382&lt;5,14,IF(H382&lt;15,20,26)),IF(AND(I382&lt;&gt;"",OR(I382&lt;=18,I382&gt;=50)),20,0))))</f>
        <v/>
      </c>
      <c r="K382" s="17" t="str">
        <f aca="false">IF(A382="","",EDATE(E382,12*(H382+1)))</f>
        <v/>
      </c>
      <c r="L382" s="14" t="str">
        <f aca="false">IF(A382="","",K382-Ayarlar!$B$3)</f>
        <v/>
      </c>
      <c r="M382" s="18" t="str">
        <f aca="false">IF(A382="","",Veri_Guncel!H382)</f>
        <v/>
      </c>
      <c r="N382" s="18" t="str">
        <f aca="false">IF(A382="","",IFERROR(INDEX(Veri_Onceki!$H:$H,MATCH(A382,Veri_Onceki!$A:$A,0)),""))</f>
        <v/>
      </c>
      <c r="O382" s="14" t="str">
        <f aca="false">IF(A382="","",IF(AND(H382&gt;=1,EDATE(E382,12*H382)&gt;Ayarlar!$B$4,EDATE(E382,12*H382)&lt;=Ayarlar!$B$3),J382,0))</f>
        <v/>
      </c>
      <c r="P382" s="14" t="str">
        <f aca="false">IF(OR(A382="",N382=""),"",N382+O382-M382)</f>
        <v/>
      </c>
      <c r="Q382" s="16" t="str">
        <f aca="false">IF(A382="","",IF(M382&gt;=Ayarlar!$B$7,"ALARM",IF(M382&gt;=Ayarlar!$B$6,"Planla","")))</f>
        <v/>
      </c>
      <c r="R382" s="14" t="str">
        <f aca="false">IF(A382="","",IF(AND(L382&gt;=0,L382&lt;=Ayarlar!$B$9),"Evet",""))</f>
        <v/>
      </c>
      <c r="S382" s="16" t="str">
        <f aca="false">IF(A382="","",IF(N382="","Yeni personel",IF(P382&lt;0,"Kontrol et","")))</f>
        <v/>
      </c>
      <c r="T382" s="14" t="str">
        <f aca="false">IF(A382="","",IF(AND(G382=1,M382&gt;=Ayarlar!$B$6,OR(Ayarlar!$B$11="Tümü",C382=Ayarlar!$B$11)),M382+ROW()/100000,""))</f>
        <v/>
      </c>
    </row>
    <row r="383" customFormat="false" ht="15" hidden="false" customHeight="false" outlineLevel="0" collapsed="false">
      <c r="A383" s="18" t="str">
        <f aca="false">IF(Veri_Guncel!A383="","",Veri_Guncel!A383)</f>
        <v/>
      </c>
      <c r="B383" s="18" t="str">
        <f aca="false">IF($A383="","",Veri_Guncel!B383)</f>
        <v/>
      </c>
      <c r="C383" s="18" t="str">
        <f aca="false">IF($A383="","",Veri_Guncel!C383)</f>
        <v/>
      </c>
      <c r="D383" s="18" t="str">
        <f aca="false">IF($A383="","",Veri_Guncel!D383)</f>
        <v/>
      </c>
      <c r="E383" s="19" t="str">
        <f aca="false">IF($A383="","",Veri_Guncel!E383)</f>
        <v/>
      </c>
      <c r="F383" s="19" t="str">
        <f aca="false">IF($A383="","",Veri_Guncel!F383)</f>
        <v/>
      </c>
      <c r="G383" s="14" t="str">
        <f aca="false">IF(A383="","",IF(COUNTIF(Ayarlar!$A$15:$A$20,C383)&gt;0,1,0))</f>
        <v/>
      </c>
      <c r="H383" s="14" t="str">
        <f aca="false">IF(A383="","",DATEDIF(E383,Ayarlar!$B$3,"y"))</f>
        <v/>
      </c>
      <c r="I383" s="14" t="str">
        <f aca="false">IF(OR(A383="",F383=""),"",DATEDIF(F383,Ayarlar!$B$3,"y"))</f>
        <v/>
      </c>
      <c r="J383" s="14" t="str">
        <f aca="false">IF(A383="","",IF(H383&lt;1,0,MAX(IF(H383&lt;5,14,IF(H383&lt;15,20,26)),IF(AND(I383&lt;&gt;"",OR(I383&lt;=18,I383&gt;=50)),20,0))))</f>
        <v/>
      </c>
      <c r="K383" s="17" t="str">
        <f aca="false">IF(A383="","",EDATE(E383,12*(H383+1)))</f>
        <v/>
      </c>
      <c r="L383" s="14" t="str">
        <f aca="false">IF(A383="","",K383-Ayarlar!$B$3)</f>
        <v/>
      </c>
      <c r="M383" s="18" t="str">
        <f aca="false">IF(A383="","",Veri_Guncel!H383)</f>
        <v/>
      </c>
      <c r="N383" s="18" t="str">
        <f aca="false">IF(A383="","",IFERROR(INDEX(Veri_Onceki!$H:$H,MATCH(A383,Veri_Onceki!$A:$A,0)),""))</f>
        <v/>
      </c>
      <c r="O383" s="14" t="str">
        <f aca="false">IF(A383="","",IF(AND(H383&gt;=1,EDATE(E383,12*H383)&gt;Ayarlar!$B$4,EDATE(E383,12*H383)&lt;=Ayarlar!$B$3),J383,0))</f>
        <v/>
      </c>
      <c r="P383" s="14" t="str">
        <f aca="false">IF(OR(A383="",N383=""),"",N383+O383-M383)</f>
        <v/>
      </c>
      <c r="Q383" s="16" t="str">
        <f aca="false">IF(A383="","",IF(M383&gt;=Ayarlar!$B$7,"ALARM",IF(M383&gt;=Ayarlar!$B$6,"Planla","")))</f>
        <v/>
      </c>
      <c r="R383" s="14" t="str">
        <f aca="false">IF(A383="","",IF(AND(L383&gt;=0,L383&lt;=Ayarlar!$B$9),"Evet",""))</f>
        <v/>
      </c>
      <c r="S383" s="16" t="str">
        <f aca="false">IF(A383="","",IF(N383="","Yeni personel",IF(P383&lt;0,"Kontrol et","")))</f>
        <v/>
      </c>
      <c r="T383" s="14" t="str">
        <f aca="false">IF(A383="","",IF(AND(G383=1,M383&gt;=Ayarlar!$B$6,OR(Ayarlar!$B$11="Tümü",C383=Ayarlar!$B$11)),M383+ROW()/100000,""))</f>
        <v/>
      </c>
    </row>
    <row r="384" customFormat="false" ht="15" hidden="false" customHeight="false" outlineLevel="0" collapsed="false">
      <c r="A384" s="18" t="str">
        <f aca="false">IF(Veri_Guncel!A384="","",Veri_Guncel!A384)</f>
        <v/>
      </c>
      <c r="B384" s="18" t="str">
        <f aca="false">IF($A384="","",Veri_Guncel!B384)</f>
        <v/>
      </c>
      <c r="C384" s="18" t="str">
        <f aca="false">IF($A384="","",Veri_Guncel!C384)</f>
        <v/>
      </c>
      <c r="D384" s="18" t="str">
        <f aca="false">IF($A384="","",Veri_Guncel!D384)</f>
        <v/>
      </c>
      <c r="E384" s="19" t="str">
        <f aca="false">IF($A384="","",Veri_Guncel!E384)</f>
        <v/>
      </c>
      <c r="F384" s="19" t="str">
        <f aca="false">IF($A384="","",Veri_Guncel!F384)</f>
        <v/>
      </c>
      <c r="G384" s="14" t="str">
        <f aca="false">IF(A384="","",IF(COUNTIF(Ayarlar!$A$15:$A$20,C384)&gt;0,1,0))</f>
        <v/>
      </c>
      <c r="H384" s="14" t="str">
        <f aca="false">IF(A384="","",DATEDIF(E384,Ayarlar!$B$3,"y"))</f>
        <v/>
      </c>
      <c r="I384" s="14" t="str">
        <f aca="false">IF(OR(A384="",F384=""),"",DATEDIF(F384,Ayarlar!$B$3,"y"))</f>
        <v/>
      </c>
      <c r="J384" s="14" t="str">
        <f aca="false">IF(A384="","",IF(H384&lt;1,0,MAX(IF(H384&lt;5,14,IF(H384&lt;15,20,26)),IF(AND(I384&lt;&gt;"",OR(I384&lt;=18,I384&gt;=50)),20,0))))</f>
        <v/>
      </c>
      <c r="K384" s="17" t="str">
        <f aca="false">IF(A384="","",EDATE(E384,12*(H384+1)))</f>
        <v/>
      </c>
      <c r="L384" s="14" t="str">
        <f aca="false">IF(A384="","",K384-Ayarlar!$B$3)</f>
        <v/>
      </c>
      <c r="M384" s="18" t="str">
        <f aca="false">IF(A384="","",Veri_Guncel!H384)</f>
        <v/>
      </c>
      <c r="N384" s="18" t="str">
        <f aca="false">IF(A384="","",IFERROR(INDEX(Veri_Onceki!$H:$H,MATCH(A384,Veri_Onceki!$A:$A,0)),""))</f>
        <v/>
      </c>
      <c r="O384" s="14" t="str">
        <f aca="false">IF(A384="","",IF(AND(H384&gt;=1,EDATE(E384,12*H384)&gt;Ayarlar!$B$4,EDATE(E384,12*H384)&lt;=Ayarlar!$B$3),J384,0))</f>
        <v/>
      </c>
      <c r="P384" s="14" t="str">
        <f aca="false">IF(OR(A384="",N384=""),"",N384+O384-M384)</f>
        <v/>
      </c>
      <c r="Q384" s="16" t="str">
        <f aca="false">IF(A384="","",IF(M384&gt;=Ayarlar!$B$7,"ALARM",IF(M384&gt;=Ayarlar!$B$6,"Planla","")))</f>
        <v/>
      </c>
      <c r="R384" s="14" t="str">
        <f aca="false">IF(A384="","",IF(AND(L384&gt;=0,L384&lt;=Ayarlar!$B$9),"Evet",""))</f>
        <v/>
      </c>
      <c r="S384" s="16" t="str">
        <f aca="false">IF(A384="","",IF(N384="","Yeni personel",IF(P384&lt;0,"Kontrol et","")))</f>
        <v/>
      </c>
      <c r="T384" s="14" t="str">
        <f aca="false">IF(A384="","",IF(AND(G384=1,M384&gt;=Ayarlar!$B$6,OR(Ayarlar!$B$11="Tümü",C384=Ayarlar!$B$11)),M384+ROW()/100000,""))</f>
        <v/>
      </c>
    </row>
    <row r="385" customFormat="false" ht="15" hidden="false" customHeight="false" outlineLevel="0" collapsed="false">
      <c r="A385" s="18" t="str">
        <f aca="false">IF(Veri_Guncel!A385="","",Veri_Guncel!A385)</f>
        <v/>
      </c>
      <c r="B385" s="18" t="str">
        <f aca="false">IF($A385="","",Veri_Guncel!B385)</f>
        <v/>
      </c>
      <c r="C385" s="18" t="str">
        <f aca="false">IF($A385="","",Veri_Guncel!C385)</f>
        <v/>
      </c>
      <c r="D385" s="18" t="str">
        <f aca="false">IF($A385="","",Veri_Guncel!D385)</f>
        <v/>
      </c>
      <c r="E385" s="19" t="str">
        <f aca="false">IF($A385="","",Veri_Guncel!E385)</f>
        <v/>
      </c>
      <c r="F385" s="19" t="str">
        <f aca="false">IF($A385="","",Veri_Guncel!F385)</f>
        <v/>
      </c>
      <c r="G385" s="14" t="str">
        <f aca="false">IF(A385="","",IF(COUNTIF(Ayarlar!$A$15:$A$20,C385)&gt;0,1,0))</f>
        <v/>
      </c>
      <c r="H385" s="14" t="str">
        <f aca="false">IF(A385="","",DATEDIF(E385,Ayarlar!$B$3,"y"))</f>
        <v/>
      </c>
      <c r="I385" s="14" t="str">
        <f aca="false">IF(OR(A385="",F385=""),"",DATEDIF(F385,Ayarlar!$B$3,"y"))</f>
        <v/>
      </c>
      <c r="J385" s="14" t="str">
        <f aca="false">IF(A385="","",IF(H385&lt;1,0,MAX(IF(H385&lt;5,14,IF(H385&lt;15,20,26)),IF(AND(I385&lt;&gt;"",OR(I385&lt;=18,I385&gt;=50)),20,0))))</f>
        <v/>
      </c>
      <c r="K385" s="17" t="str">
        <f aca="false">IF(A385="","",EDATE(E385,12*(H385+1)))</f>
        <v/>
      </c>
      <c r="L385" s="14" t="str">
        <f aca="false">IF(A385="","",K385-Ayarlar!$B$3)</f>
        <v/>
      </c>
      <c r="M385" s="18" t="str">
        <f aca="false">IF(A385="","",Veri_Guncel!H385)</f>
        <v/>
      </c>
      <c r="N385" s="18" t="str">
        <f aca="false">IF(A385="","",IFERROR(INDEX(Veri_Onceki!$H:$H,MATCH(A385,Veri_Onceki!$A:$A,0)),""))</f>
        <v/>
      </c>
      <c r="O385" s="14" t="str">
        <f aca="false">IF(A385="","",IF(AND(H385&gt;=1,EDATE(E385,12*H385)&gt;Ayarlar!$B$4,EDATE(E385,12*H385)&lt;=Ayarlar!$B$3),J385,0))</f>
        <v/>
      </c>
      <c r="P385" s="14" t="str">
        <f aca="false">IF(OR(A385="",N385=""),"",N385+O385-M385)</f>
        <v/>
      </c>
      <c r="Q385" s="16" t="str">
        <f aca="false">IF(A385="","",IF(M385&gt;=Ayarlar!$B$7,"ALARM",IF(M385&gt;=Ayarlar!$B$6,"Planla","")))</f>
        <v/>
      </c>
      <c r="R385" s="14" t="str">
        <f aca="false">IF(A385="","",IF(AND(L385&gt;=0,L385&lt;=Ayarlar!$B$9),"Evet",""))</f>
        <v/>
      </c>
      <c r="S385" s="16" t="str">
        <f aca="false">IF(A385="","",IF(N385="","Yeni personel",IF(P385&lt;0,"Kontrol et","")))</f>
        <v/>
      </c>
      <c r="T385" s="14" t="str">
        <f aca="false">IF(A385="","",IF(AND(G385=1,M385&gt;=Ayarlar!$B$6,OR(Ayarlar!$B$11="Tümü",C385=Ayarlar!$B$11)),M385+ROW()/100000,""))</f>
        <v/>
      </c>
    </row>
    <row r="386" customFormat="false" ht="15" hidden="false" customHeight="false" outlineLevel="0" collapsed="false">
      <c r="A386" s="18" t="str">
        <f aca="false">IF(Veri_Guncel!A386="","",Veri_Guncel!A386)</f>
        <v/>
      </c>
      <c r="B386" s="18" t="str">
        <f aca="false">IF($A386="","",Veri_Guncel!B386)</f>
        <v/>
      </c>
      <c r="C386" s="18" t="str">
        <f aca="false">IF($A386="","",Veri_Guncel!C386)</f>
        <v/>
      </c>
      <c r="D386" s="18" t="str">
        <f aca="false">IF($A386="","",Veri_Guncel!D386)</f>
        <v/>
      </c>
      <c r="E386" s="19" t="str">
        <f aca="false">IF($A386="","",Veri_Guncel!E386)</f>
        <v/>
      </c>
      <c r="F386" s="19" t="str">
        <f aca="false">IF($A386="","",Veri_Guncel!F386)</f>
        <v/>
      </c>
      <c r="G386" s="14" t="str">
        <f aca="false">IF(A386="","",IF(COUNTIF(Ayarlar!$A$15:$A$20,C386)&gt;0,1,0))</f>
        <v/>
      </c>
      <c r="H386" s="14" t="str">
        <f aca="false">IF(A386="","",DATEDIF(E386,Ayarlar!$B$3,"y"))</f>
        <v/>
      </c>
      <c r="I386" s="14" t="str">
        <f aca="false">IF(OR(A386="",F386=""),"",DATEDIF(F386,Ayarlar!$B$3,"y"))</f>
        <v/>
      </c>
      <c r="J386" s="14" t="str">
        <f aca="false">IF(A386="","",IF(H386&lt;1,0,MAX(IF(H386&lt;5,14,IF(H386&lt;15,20,26)),IF(AND(I386&lt;&gt;"",OR(I386&lt;=18,I386&gt;=50)),20,0))))</f>
        <v/>
      </c>
      <c r="K386" s="17" t="str">
        <f aca="false">IF(A386="","",EDATE(E386,12*(H386+1)))</f>
        <v/>
      </c>
      <c r="L386" s="14" t="str">
        <f aca="false">IF(A386="","",K386-Ayarlar!$B$3)</f>
        <v/>
      </c>
      <c r="M386" s="18" t="str">
        <f aca="false">IF(A386="","",Veri_Guncel!H386)</f>
        <v/>
      </c>
      <c r="N386" s="18" t="str">
        <f aca="false">IF(A386="","",IFERROR(INDEX(Veri_Onceki!$H:$H,MATCH(A386,Veri_Onceki!$A:$A,0)),""))</f>
        <v/>
      </c>
      <c r="O386" s="14" t="str">
        <f aca="false">IF(A386="","",IF(AND(H386&gt;=1,EDATE(E386,12*H386)&gt;Ayarlar!$B$4,EDATE(E386,12*H386)&lt;=Ayarlar!$B$3),J386,0))</f>
        <v/>
      </c>
      <c r="P386" s="14" t="str">
        <f aca="false">IF(OR(A386="",N386=""),"",N386+O386-M386)</f>
        <v/>
      </c>
      <c r="Q386" s="16" t="str">
        <f aca="false">IF(A386="","",IF(M386&gt;=Ayarlar!$B$7,"ALARM",IF(M386&gt;=Ayarlar!$B$6,"Planla","")))</f>
        <v/>
      </c>
      <c r="R386" s="14" t="str">
        <f aca="false">IF(A386="","",IF(AND(L386&gt;=0,L386&lt;=Ayarlar!$B$9),"Evet",""))</f>
        <v/>
      </c>
      <c r="S386" s="16" t="str">
        <f aca="false">IF(A386="","",IF(N386="","Yeni personel",IF(P386&lt;0,"Kontrol et","")))</f>
        <v/>
      </c>
      <c r="T386" s="14" t="str">
        <f aca="false">IF(A386="","",IF(AND(G386=1,M386&gt;=Ayarlar!$B$6,OR(Ayarlar!$B$11="Tümü",C386=Ayarlar!$B$11)),M386+ROW()/100000,""))</f>
        <v/>
      </c>
    </row>
    <row r="387" customFormat="false" ht="15" hidden="false" customHeight="false" outlineLevel="0" collapsed="false">
      <c r="A387" s="18" t="str">
        <f aca="false">IF(Veri_Guncel!A387="","",Veri_Guncel!A387)</f>
        <v/>
      </c>
      <c r="B387" s="18" t="str">
        <f aca="false">IF($A387="","",Veri_Guncel!B387)</f>
        <v/>
      </c>
      <c r="C387" s="18" t="str">
        <f aca="false">IF($A387="","",Veri_Guncel!C387)</f>
        <v/>
      </c>
      <c r="D387" s="18" t="str">
        <f aca="false">IF($A387="","",Veri_Guncel!D387)</f>
        <v/>
      </c>
      <c r="E387" s="19" t="str">
        <f aca="false">IF($A387="","",Veri_Guncel!E387)</f>
        <v/>
      </c>
      <c r="F387" s="19" t="str">
        <f aca="false">IF($A387="","",Veri_Guncel!F387)</f>
        <v/>
      </c>
      <c r="G387" s="14" t="str">
        <f aca="false">IF(A387="","",IF(COUNTIF(Ayarlar!$A$15:$A$20,C387)&gt;0,1,0))</f>
        <v/>
      </c>
      <c r="H387" s="14" t="str">
        <f aca="false">IF(A387="","",DATEDIF(E387,Ayarlar!$B$3,"y"))</f>
        <v/>
      </c>
      <c r="I387" s="14" t="str">
        <f aca="false">IF(OR(A387="",F387=""),"",DATEDIF(F387,Ayarlar!$B$3,"y"))</f>
        <v/>
      </c>
      <c r="J387" s="14" t="str">
        <f aca="false">IF(A387="","",IF(H387&lt;1,0,MAX(IF(H387&lt;5,14,IF(H387&lt;15,20,26)),IF(AND(I387&lt;&gt;"",OR(I387&lt;=18,I387&gt;=50)),20,0))))</f>
        <v/>
      </c>
      <c r="K387" s="17" t="str">
        <f aca="false">IF(A387="","",EDATE(E387,12*(H387+1)))</f>
        <v/>
      </c>
      <c r="L387" s="14" t="str">
        <f aca="false">IF(A387="","",K387-Ayarlar!$B$3)</f>
        <v/>
      </c>
      <c r="M387" s="18" t="str">
        <f aca="false">IF(A387="","",Veri_Guncel!H387)</f>
        <v/>
      </c>
      <c r="N387" s="18" t="str">
        <f aca="false">IF(A387="","",IFERROR(INDEX(Veri_Onceki!$H:$H,MATCH(A387,Veri_Onceki!$A:$A,0)),""))</f>
        <v/>
      </c>
      <c r="O387" s="14" t="str">
        <f aca="false">IF(A387="","",IF(AND(H387&gt;=1,EDATE(E387,12*H387)&gt;Ayarlar!$B$4,EDATE(E387,12*H387)&lt;=Ayarlar!$B$3),J387,0))</f>
        <v/>
      </c>
      <c r="P387" s="14" t="str">
        <f aca="false">IF(OR(A387="",N387=""),"",N387+O387-M387)</f>
        <v/>
      </c>
      <c r="Q387" s="16" t="str">
        <f aca="false">IF(A387="","",IF(M387&gt;=Ayarlar!$B$7,"ALARM",IF(M387&gt;=Ayarlar!$B$6,"Planla","")))</f>
        <v/>
      </c>
      <c r="R387" s="14" t="str">
        <f aca="false">IF(A387="","",IF(AND(L387&gt;=0,L387&lt;=Ayarlar!$B$9),"Evet",""))</f>
        <v/>
      </c>
      <c r="S387" s="16" t="str">
        <f aca="false">IF(A387="","",IF(N387="","Yeni personel",IF(P387&lt;0,"Kontrol et","")))</f>
        <v/>
      </c>
      <c r="T387" s="14" t="str">
        <f aca="false">IF(A387="","",IF(AND(G387=1,M387&gt;=Ayarlar!$B$6,OR(Ayarlar!$B$11="Tümü",C387=Ayarlar!$B$11)),M387+ROW()/100000,""))</f>
        <v/>
      </c>
    </row>
    <row r="388" customFormat="false" ht="15" hidden="false" customHeight="false" outlineLevel="0" collapsed="false">
      <c r="A388" s="18" t="str">
        <f aca="false">IF(Veri_Guncel!A388="","",Veri_Guncel!A388)</f>
        <v/>
      </c>
      <c r="B388" s="18" t="str">
        <f aca="false">IF($A388="","",Veri_Guncel!B388)</f>
        <v/>
      </c>
      <c r="C388" s="18" t="str">
        <f aca="false">IF($A388="","",Veri_Guncel!C388)</f>
        <v/>
      </c>
      <c r="D388" s="18" t="str">
        <f aca="false">IF($A388="","",Veri_Guncel!D388)</f>
        <v/>
      </c>
      <c r="E388" s="19" t="str">
        <f aca="false">IF($A388="","",Veri_Guncel!E388)</f>
        <v/>
      </c>
      <c r="F388" s="19" t="str">
        <f aca="false">IF($A388="","",Veri_Guncel!F388)</f>
        <v/>
      </c>
      <c r="G388" s="14" t="str">
        <f aca="false">IF(A388="","",IF(COUNTIF(Ayarlar!$A$15:$A$20,C388)&gt;0,1,0))</f>
        <v/>
      </c>
      <c r="H388" s="14" t="str">
        <f aca="false">IF(A388="","",DATEDIF(E388,Ayarlar!$B$3,"y"))</f>
        <v/>
      </c>
      <c r="I388" s="14" t="str">
        <f aca="false">IF(OR(A388="",F388=""),"",DATEDIF(F388,Ayarlar!$B$3,"y"))</f>
        <v/>
      </c>
      <c r="J388" s="14" t="str">
        <f aca="false">IF(A388="","",IF(H388&lt;1,0,MAX(IF(H388&lt;5,14,IF(H388&lt;15,20,26)),IF(AND(I388&lt;&gt;"",OR(I388&lt;=18,I388&gt;=50)),20,0))))</f>
        <v/>
      </c>
      <c r="K388" s="17" t="str">
        <f aca="false">IF(A388="","",EDATE(E388,12*(H388+1)))</f>
        <v/>
      </c>
      <c r="L388" s="14" t="str">
        <f aca="false">IF(A388="","",K388-Ayarlar!$B$3)</f>
        <v/>
      </c>
      <c r="M388" s="18" t="str">
        <f aca="false">IF(A388="","",Veri_Guncel!H388)</f>
        <v/>
      </c>
      <c r="N388" s="18" t="str">
        <f aca="false">IF(A388="","",IFERROR(INDEX(Veri_Onceki!$H:$H,MATCH(A388,Veri_Onceki!$A:$A,0)),""))</f>
        <v/>
      </c>
      <c r="O388" s="14" t="str">
        <f aca="false">IF(A388="","",IF(AND(H388&gt;=1,EDATE(E388,12*H388)&gt;Ayarlar!$B$4,EDATE(E388,12*H388)&lt;=Ayarlar!$B$3),J388,0))</f>
        <v/>
      </c>
      <c r="P388" s="14" t="str">
        <f aca="false">IF(OR(A388="",N388=""),"",N388+O388-M388)</f>
        <v/>
      </c>
      <c r="Q388" s="16" t="str">
        <f aca="false">IF(A388="","",IF(M388&gt;=Ayarlar!$B$7,"ALARM",IF(M388&gt;=Ayarlar!$B$6,"Planla","")))</f>
        <v/>
      </c>
      <c r="R388" s="14" t="str">
        <f aca="false">IF(A388="","",IF(AND(L388&gt;=0,L388&lt;=Ayarlar!$B$9),"Evet",""))</f>
        <v/>
      </c>
      <c r="S388" s="16" t="str">
        <f aca="false">IF(A388="","",IF(N388="","Yeni personel",IF(P388&lt;0,"Kontrol et","")))</f>
        <v/>
      </c>
      <c r="T388" s="14" t="str">
        <f aca="false">IF(A388="","",IF(AND(G388=1,M388&gt;=Ayarlar!$B$6,OR(Ayarlar!$B$11="Tümü",C388=Ayarlar!$B$11)),M388+ROW()/100000,""))</f>
        <v/>
      </c>
    </row>
    <row r="389" customFormat="false" ht="15" hidden="false" customHeight="false" outlineLevel="0" collapsed="false">
      <c r="A389" s="18" t="str">
        <f aca="false">IF(Veri_Guncel!A389="","",Veri_Guncel!A389)</f>
        <v/>
      </c>
      <c r="B389" s="18" t="str">
        <f aca="false">IF($A389="","",Veri_Guncel!B389)</f>
        <v/>
      </c>
      <c r="C389" s="18" t="str">
        <f aca="false">IF($A389="","",Veri_Guncel!C389)</f>
        <v/>
      </c>
      <c r="D389" s="18" t="str">
        <f aca="false">IF($A389="","",Veri_Guncel!D389)</f>
        <v/>
      </c>
      <c r="E389" s="19" t="str">
        <f aca="false">IF($A389="","",Veri_Guncel!E389)</f>
        <v/>
      </c>
      <c r="F389" s="19" t="str">
        <f aca="false">IF($A389="","",Veri_Guncel!F389)</f>
        <v/>
      </c>
      <c r="G389" s="14" t="str">
        <f aca="false">IF(A389="","",IF(COUNTIF(Ayarlar!$A$15:$A$20,C389)&gt;0,1,0))</f>
        <v/>
      </c>
      <c r="H389" s="14" t="str">
        <f aca="false">IF(A389="","",DATEDIF(E389,Ayarlar!$B$3,"y"))</f>
        <v/>
      </c>
      <c r="I389" s="14" t="str">
        <f aca="false">IF(OR(A389="",F389=""),"",DATEDIF(F389,Ayarlar!$B$3,"y"))</f>
        <v/>
      </c>
      <c r="J389" s="14" t="str">
        <f aca="false">IF(A389="","",IF(H389&lt;1,0,MAX(IF(H389&lt;5,14,IF(H389&lt;15,20,26)),IF(AND(I389&lt;&gt;"",OR(I389&lt;=18,I389&gt;=50)),20,0))))</f>
        <v/>
      </c>
      <c r="K389" s="17" t="str">
        <f aca="false">IF(A389="","",EDATE(E389,12*(H389+1)))</f>
        <v/>
      </c>
      <c r="L389" s="14" t="str">
        <f aca="false">IF(A389="","",K389-Ayarlar!$B$3)</f>
        <v/>
      </c>
      <c r="M389" s="18" t="str">
        <f aca="false">IF(A389="","",Veri_Guncel!H389)</f>
        <v/>
      </c>
      <c r="N389" s="18" t="str">
        <f aca="false">IF(A389="","",IFERROR(INDEX(Veri_Onceki!$H:$H,MATCH(A389,Veri_Onceki!$A:$A,0)),""))</f>
        <v/>
      </c>
      <c r="O389" s="14" t="str">
        <f aca="false">IF(A389="","",IF(AND(H389&gt;=1,EDATE(E389,12*H389)&gt;Ayarlar!$B$4,EDATE(E389,12*H389)&lt;=Ayarlar!$B$3),J389,0))</f>
        <v/>
      </c>
      <c r="P389" s="14" t="str">
        <f aca="false">IF(OR(A389="",N389=""),"",N389+O389-M389)</f>
        <v/>
      </c>
      <c r="Q389" s="16" t="str">
        <f aca="false">IF(A389="","",IF(M389&gt;=Ayarlar!$B$7,"ALARM",IF(M389&gt;=Ayarlar!$B$6,"Planla","")))</f>
        <v/>
      </c>
      <c r="R389" s="14" t="str">
        <f aca="false">IF(A389="","",IF(AND(L389&gt;=0,L389&lt;=Ayarlar!$B$9),"Evet",""))</f>
        <v/>
      </c>
      <c r="S389" s="16" t="str">
        <f aca="false">IF(A389="","",IF(N389="","Yeni personel",IF(P389&lt;0,"Kontrol et","")))</f>
        <v/>
      </c>
      <c r="T389" s="14" t="str">
        <f aca="false">IF(A389="","",IF(AND(G389=1,M389&gt;=Ayarlar!$B$6,OR(Ayarlar!$B$11="Tümü",C389=Ayarlar!$B$11)),M389+ROW()/100000,""))</f>
        <v/>
      </c>
    </row>
    <row r="390" customFormat="false" ht="15" hidden="false" customHeight="false" outlineLevel="0" collapsed="false">
      <c r="A390" s="18" t="str">
        <f aca="false">IF(Veri_Guncel!A390="","",Veri_Guncel!A390)</f>
        <v/>
      </c>
      <c r="B390" s="18" t="str">
        <f aca="false">IF($A390="","",Veri_Guncel!B390)</f>
        <v/>
      </c>
      <c r="C390" s="18" t="str">
        <f aca="false">IF($A390="","",Veri_Guncel!C390)</f>
        <v/>
      </c>
      <c r="D390" s="18" t="str">
        <f aca="false">IF($A390="","",Veri_Guncel!D390)</f>
        <v/>
      </c>
      <c r="E390" s="19" t="str">
        <f aca="false">IF($A390="","",Veri_Guncel!E390)</f>
        <v/>
      </c>
      <c r="F390" s="19" t="str">
        <f aca="false">IF($A390="","",Veri_Guncel!F390)</f>
        <v/>
      </c>
      <c r="G390" s="14" t="str">
        <f aca="false">IF(A390="","",IF(COUNTIF(Ayarlar!$A$15:$A$20,C390)&gt;0,1,0))</f>
        <v/>
      </c>
      <c r="H390" s="14" t="str">
        <f aca="false">IF(A390="","",DATEDIF(E390,Ayarlar!$B$3,"y"))</f>
        <v/>
      </c>
      <c r="I390" s="14" t="str">
        <f aca="false">IF(OR(A390="",F390=""),"",DATEDIF(F390,Ayarlar!$B$3,"y"))</f>
        <v/>
      </c>
      <c r="J390" s="14" t="str">
        <f aca="false">IF(A390="","",IF(H390&lt;1,0,MAX(IF(H390&lt;5,14,IF(H390&lt;15,20,26)),IF(AND(I390&lt;&gt;"",OR(I390&lt;=18,I390&gt;=50)),20,0))))</f>
        <v/>
      </c>
      <c r="K390" s="17" t="str">
        <f aca="false">IF(A390="","",EDATE(E390,12*(H390+1)))</f>
        <v/>
      </c>
      <c r="L390" s="14" t="str">
        <f aca="false">IF(A390="","",K390-Ayarlar!$B$3)</f>
        <v/>
      </c>
      <c r="M390" s="18" t="str">
        <f aca="false">IF(A390="","",Veri_Guncel!H390)</f>
        <v/>
      </c>
      <c r="N390" s="18" t="str">
        <f aca="false">IF(A390="","",IFERROR(INDEX(Veri_Onceki!$H:$H,MATCH(A390,Veri_Onceki!$A:$A,0)),""))</f>
        <v/>
      </c>
      <c r="O390" s="14" t="str">
        <f aca="false">IF(A390="","",IF(AND(H390&gt;=1,EDATE(E390,12*H390)&gt;Ayarlar!$B$4,EDATE(E390,12*H390)&lt;=Ayarlar!$B$3),J390,0))</f>
        <v/>
      </c>
      <c r="P390" s="14" t="str">
        <f aca="false">IF(OR(A390="",N390=""),"",N390+O390-M390)</f>
        <v/>
      </c>
      <c r="Q390" s="16" t="str">
        <f aca="false">IF(A390="","",IF(M390&gt;=Ayarlar!$B$7,"ALARM",IF(M390&gt;=Ayarlar!$B$6,"Planla","")))</f>
        <v/>
      </c>
      <c r="R390" s="14" t="str">
        <f aca="false">IF(A390="","",IF(AND(L390&gt;=0,L390&lt;=Ayarlar!$B$9),"Evet",""))</f>
        <v/>
      </c>
      <c r="S390" s="16" t="str">
        <f aca="false">IF(A390="","",IF(N390="","Yeni personel",IF(P390&lt;0,"Kontrol et","")))</f>
        <v/>
      </c>
      <c r="T390" s="14" t="str">
        <f aca="false">IF(A390="","",IF(AND(G390=1,M390&gt;=Ayarlar!$B$6,OR(Ayarlar!$B$11="Tümü",C390=Ayarlar!$B$11)),M390+ROW()/100000,""))</f>
        <v/>
      </c>
    </row>
    <row r="391" customFormat="false" ht="15" hidden="false" customHeight="false" outlineLevel="0" collapsed="false">
      <c r="A391" s="18" t="str">
        <f aca="false">IF(Veri_Guncel!A391="","",Veri_Guncel!A391)</f>
        <v/>
      </c>
      <c r="B391" s="18" t="str">
        <f aca="false">IF($A391="","",Veri_Guncel!B391)</f>
        <v/>
      </c>
      <c r="C391" s="18" t="str">
        <f aca="false">IF($A391="","",Veri_Guncel!C391)</f>
        <v/>
      </c>
      <c r="D391" s="18" t="str">
        <f aca="false">IF($A391="","",Veri_Guncel!D391)</f>
        <v/>
      </c>
      <c r="E391" s="19" t="str">
        <f aca="false">IF($A391="","",Veri_Guncel!E391)</f>
        <v/>
      </c>
      <c r="F391" s="19" t="str">
        <f aca="false">IF($A391="","",Veri_Guncel!F391)</f>
        <v/>
      </c>
      <c r="G391" s="14" t="str">
        <f aca="false">IF(A391="","",IF(COUNTIF(Ayarlar!$A$15:$A$20,C391)&gt;0,1,0))</f>
        <v/>
      </c>
      <c r="H391" s="14" t="str">
        <f aca="false">IF(A391="","",DATEDIF(E391,Ayarlar!$B$3,"y"))</f>
        <v/>
      </c>
      <c r="I391" s="14" t="str">
        <f aca="false">IF(OR(A391="",F391=""),"",DATEDIF(F391,Ayarlar!$B$3,"y"))</f>
        <v/>
      </c>
      <c r="J391" s="14" t="str">
        <f aca="false">IF(A391="","",IF(H391&lt;1,0,MAX(IF(H391&lt;5,14,IF(H391&lt;15,20,26)),IF(AND(I391&lt;&gt;"",OR(I391&lt;=18,I391&gt;=50)),20,0))))</f>
        <v/>
      </c>
      <c r="K391" s="17" t="str">
        <f aca="false">IF(A391="","",EDATE(E391,12*(H391+1)))</f>
        <v/>
      </c>
      <c r="L391" s="14" t="str">
        <f aca="false">IF(A391="","",K391-Ayarlar!$B$3)</f>
        <v/>
      </c>
      <c r="M391" s="18" t="str">
        <f aca="false">IF(A391="","",Veri_Guncel!H391)</f>
        <v/>
      </c>
      <c r="N391" s="18" t="str">
        <f aca="false">IF(A391="","",IFERROR(INDEX(Veri_Onceki!$H:$H,MATCH(A391,Veri_Onceki!$A:$A,0)),""))</f>
        <v/>
      </c>
      <c r="O391" s="14" t="str">
        <f aca="false">IF(A391="","",IF(AND(H391&gt;=1,EDATE(E391,12*H391)&gt;Ayarlar!$B$4,EDATE(E391,12*H391)&lt;=Ayarlar!$B$3),J391,0))</f>
        <v/>
      </c>
      <c r="P391" s="14" t="str">
        <f aca="false">IF(OR(A391="",N391=""),"",N391+O391-M391)</f>
        <v/>
      </c>
      <c r="Q391" s="16" t="str">
        <f aca="false">IF(A391="","",IF(M391&gt;=Ayarlar!$B$7,"ALARM",IF(M391&gt;=Ayarlar!$B$6,"Planla","")))</f>
        <v/>
      </c>
      <c r="R391" s="14" t="str">
        <f aca="false">IF(A391="","",IF(AND(L391&gt;=0,L391&lt;=Ayarlar!$B$9),"Evet",""))</f>
        <v/>
      </c>
      <c r="S391" s="16" t="str">
        <f aca="false">IF(A391="","",IF(N391="","Yeni personel",IF(P391&lt;0,"Kontrol et","")))</f>
        <v/>
      </c>
      <c r="T391" s="14" t="str">
        <f aca="false">IF(A391="","",IF(AND(G391=1,M391&gt;=Ayarlar!$B$6,OR(Ayarlar!$B$11="Tümü",C391=Ayarlar!$B$11)),M391+ROW()/100000,""))</f>
        <v/>
      </c>
    </row>
    <row r="392" customFormat="false" ht="15" hidden="false" customHeight="false" outlineLevel="0" collapsed="false">
      <c r="A392" s="18" t="str">
        <f aca="false">IF(Veri_Guncel!A392="","",Veri_Guncel!A392)</f>
        <v/>
      </c>
      <c r="B392" s="18" t="str">
        <f aca="false">IF($A392="","",Veri_Guncel!B392)</f>
        <v/>
      </c>
      <c r="C392" s="18" t="str">
        <f aca="false">IF($A392="","",Veri_Guncel!C392)</f>
        <v/>
      </c>
      <c r="D392" s="18" t="str">
        <f aca="false">IF($A392="","",Veri_Guncel!D392)</f>
        <v/>
      </c>
      <c r="E392" s="19" t="str">
        <f aca="false">IF($A392="","",Veri_Guncel!E392)</f>
        <v/>
      </c>
      <c r="F392" s="19" t="str">
        <f aca="false">IF($A392="","",Veri_Guncel!F392)</f>
        <v/>
      </c>
      <c r="G392" s="14" t="str">
        <f aca="false">IF(A392="","",IF(COUNTIF(Ayarlar!$A$15:$A$20,C392)&gt;0,1,0))</f>
        <v/>
      </c>
      <c r="H392" s="14" t="str">
        <f aca="false">IF(A392="","",DATEDIF(E392,Ayarlar!$B$3,"y"))</f>
        <v/>
      </c>
      <c r="I392" s="14" t="str">
        <f aca="false">IF(OR(A392="",F392=""),"",DATEDIF(F392,Ayarlar!$B$3,"y"))</f>
        <v/>
      </c>
      <c r="J392" s="14" t="str">
        <f aca="false">IF(A392="","",IF(H392&lt;1,0,MAX(IF(H392&lt;5,14,IF(H392&lt;15,20,26)),IF(AND(I392&lt;&gt;"",OR(I392&lt;=18,I392&gt;=50)),20,0))))</f>
        <v/>
      </c>
      <c r="K392" s="17" t="str">
        <f aca="false">IF(A392="","",EDATE(E392,12*(H392+1)))</f>
        <v/>
      </c>
      <c r="L392" s="14" t="str">
        <f aca="false">IF(A392="","",K392-Ayarlar!$B$3)</f>
        <v/>
      </c>
      <c r="M392" s="18" t="str">
        <f aca="false">IF(A392="","",Veri_Guncel!H392)</f>
        <v/>
      </c>
      <c r="N392" s="18" t="str">
        <f aca="false">IF(A392="","",IFERROR(INDEX(Veri_Onceki!$H:$H,MATCH(A392,Veri_Onceki!$A:$A,0)),""))</f>
        <v/>
      </c>
      <c r="O392" s="14" t="str">
        <f aca="false">IF(A392="","",IF(AND(H392&gt;=1,EDATE(E392,12*H392)&gt;Ayarlar!$B$4,EDATE(E392,12*H392)&lt;=Ayarlar!$B$3),J392,0))</f>
        <v/>
      </c>
      <c r="P392" s="14" t="str">
        <f aca="false">IF(OR(A392="",N392=""),"",N392+O392-M392)</f>
        <v/>
      </c>
      <c r="Q392" s="16" t="str">
        <f aca="false">IF(A392="","",IF(M392&gt;=Ayarlar!$B$7,"ALARM",IF(M392&gt;=Ayarlar!$B$6,"Planla","")))</f>
        <v/>
      </c>
      <c r="R392" s="14" t="str">
        <f aca="false">IF(A392="","",IF(AND(L392&gt;=0,L392&lt;=Ayarlar!$B$9),"Evet",""))</f>
        <v/>
      </c>
      <c r="S392" s="16" t="str">
        <f aca="false">IF(A392="","",IF(N392="","Yeni personel",IF(P392&lt;0,"Kontrol et","")))</f>
        <v/>
      </c>
      <c r="T392" s="14" t="str">
        <f aca="false">IF(A392="","",IF(AND(G392=1,M392&gt;=Ayarlar!$B$6,OR(Ayarlar!$B$11="Tümü",C392=Ayarlar!$B$11)),M392+ROW()/100000,""))</f>
        <v/>
      </c>
    </row>
    <row r="393" customFormat="false" ht="15" hidden="false" customHeight="false" outlineLevel="0" collapsed="false">
      <c r="A393" s="18" t="str">
        <f aca="false">IF(Veri_Guncel!A393="","",Veri_Guncel!A393)</f>
        <v/>
      </c>
      <c r="B393" s="18" t="str">
        <f aca="false">IF($A393="","",Veri_Guncel!B393)</f>
        <v/>
      </c>
      <c r="C393" s="18" t="str">
        <f aca="false">IF($A393="","",Veri_Guncel!C393)</f>
        <v/>
      </c>
      <c r="D393" s="18" t="str">
        <f aca="false">IF($A393="","",Veri_Guncel!D393)</f>
        <v/>
      </c>
      <c r="E393" s="19" t="str">
        <f aca="false">IF($A393="","",Veri_Guncel!E393)</f>
        <v/>
      </c>
      <c r="F393" s="19" t="str">
        <f aca="false">IF($A393="","",Veri_Guncel!F393)</f>
        <v/>
      </c>
      <c r="G393" s="14" t="str">
        <f aca="false">IF(A393="","",IF(COUNTIF(Ayarlar!$A$15:$A$20,C393)&gt;0,1,0))</f>
        <v/>
      </c>
      <c r="H393" s="14" t="str">
        <f aca="false">IF(A393="","",DATEDIF(E393,Ayarlar!$B$3,"y"))</f>
        <v/>
      </c>
      <c r="I393" s="14" t="str">
        <f aca="false">IF(OR(A393="",F393=""),"",DATEDIF(F393,Ayarlar!$B$3,"y"))</f>
        <v/>
      </c>
      <c r="J393" s="14" t="str">
        <f aca="false">IF(A393="","",IF(H393&lt;1,0,MAX(IF(H393&lt;5,14,IF(H393&lt;15,20,26)),IF(AND(I393&lt;&gt;"",OR(I393&lt;=18,I393&gt;=50)),20,0))))</f>
        <v/>
      </c>
      <c r="K393" s="17" t="str">
        <f aca="false">IF(A393="","",EDATE(E393,12*(H393+1)))</f>
        <v/>
      </c>
      <c r="L393" s="14" t="str">
        <f aca="false">IF(A393="","",K393-Ayarlar!$B$3)</f>
        <v/>
      </c>
      <c r="M393" s="18" t="str">
        <f aca="false">IF(A393="","",Veri_Guncel!H393)</f>
        <v/>
      </c>
      <c r="N393" s="18" t="str">
        <f aca="false">IF(A393="","",IFERROR(INDEX(Veri_Onceki!$H:$H,MATCH(A393,Veri_Onceki!$A:$A,0)),""))</f>
        <v/>
      </c>
      <c r="O393" s="14" t="str">
        <f aca="false">IF(A393="","",IF(AND(H393&gt;=1,EDATE(E393,12*H393)&gt;Ayarlar!$B$4,EDATE(E393,12*H393)&lt;=Ayarlar!$B$3),J393,0))</f>
        <v/>
      </c>
      <c r="P393" s="14" t="str">
        <f aca="false">IF(OR(A393="",N393=""),"",N393+O393-M393)</f>
        <v/>
      </c>
      <c r="Q393" s="16" t="str">
        <f aca="false">IF(A393="","",IF(M393&gt;=Ayarlar!$B$7,"ALARM",IF(M393&gt;=Ayarlar!$B$6,"Planla","")))</f>
        <v/>
      </c>
      <c r="R393" s="14" t="str">
        <f aca="false">IF(A393="","",IF(AND(L393&gt;=0,L393&lt;=Ayarlar!$B$9),"Evet",""))</f>
        <v/>
      </c>
      <c r="S393" s="16" t="str">
        <f aca="false">IF(A393="","",IF(N393="","Yeni personel",IF(P393&lt;0,"Kontrol et","")))</f>
        <v/>
      </c>
      <c r="T393" s="14" t="str">
        <f aca="false">IF(A393="","",IF(AND(G393=1,M393&gt;=Ayarlar!$B$6,OR(Ayarlar!$B$11="Tümü",C393=Ayarlar!$B$11)),M393+ROW()/100000,""))</f>
        <v/>
      </c>
    </row>
    <row r="394" customFormat="false" ht="15" hidden="false" customHeight="false" outlineLevel="0" collapsed="false">
      <c r="A394" s="18" t="str">
        <f aca="false">IF(Veri_Guncel!A394="","",Veri_Guncel!A394)</f>
        <v/>
      </c>
      <c r="B394" s="18" t="str">
        <f aca="false">IF($A394="","",Veri_Guncel!B394)</f>
        <v/>
      </c>
      <c r="C394" s="18" t="str">
        <f aca="false">IF($A394="","",Veri_Guncel!C394)</f>
        <v/>
      </c>
      <c r="D394" s="18" t="str">
        <f aca="false">IF($A394="","",Veri_Guncel!D394)</f>
        <v/>
      </c>
      <c r="E394" s="19" t="str">
        <f aca="false">IF($A394="","",Veri_Guncel!E394)</f>
        <v/>
      </c>
      <c r="F394" s="19" t="str">
        <f aca="false">IF($A394="","",Veri_Guncel!F394)</f>
        <v/>
      </c>
      <c r="G394" s="14" t="str">
        <f aca="false">IF(A394="","",IF(COUNTIF(Ayarlar!$A$15:$A$20,C394)&gt;0,1,0))</f>
        <v/>
      </c>
      <c r="H394" s="14" t="str">
        <f aca="false">IF(A394="","",DATEDIF(E394,Ayarlar!$B$3,"y"))</f>
        <v/>
      </c>
      <c r="I394" s="14" t="str">
        <f aca="false">IF(OR(A394="",F394=""),"",DATEDIF(F394,Ayarlar!$B$3,"y"))</f>
        <v/>
      </c>
      <c r="J394" s="14" t="str">
        <f aca="false">IF(A394="","",IF(H394&lt;1,0,MAX(IF(H394&lt;5,14,IF(H394&lt;15,20,26)),IF(AND(I394&lt;&gt;"",OR(I394&lt;=18,I394&gt;=50)),20,0))))</f>
        <v/>
      </c>
      <c r="K394" s="17" t="str">
        <f aca="false">IF(A394="","",EDATE(E394,12*(H394+1)))</f>
        <v/>
      </c>
      <c r="L394" s="14" t="str">
        <f aca="false">IF(A394="","",K394-Ayarlar!$B$3)</f>
        <v/>
      </c>
      <c r="M394" s="18" t="str">
        <f aca="false">IF(A394="","",Veri_Guncel!H394)</f>
        <v/>
      </c>
      <c r="N394" s="18" t="str">
        <f aca="false">IF(A394="","",IFERROR(INDEX(Veri_Onceki!$H:$H,MATCH(A394,Veri_Onceki!$A:$A,0)),""))</f>
        <v/>
      </c>
      <c r="O394" s="14" t="str">
        <f aca="false">IF(A394="","",IF(AND(H394&gt;=1,EDATE(E394,12*H394)&gt;Ayarlar!$B$4,EDATE(E394,12*H394)&lt;=Ayarlar!$B$3),J394,0))</f>
        <v/>
      </c>
      <c r="P394" s="14" t="str">
        <f aca="false">IF(OR(A394="",N394=""),"",N394+O394-M394)</f>
        <v/>
      </c>
      <c r="Q394" s="16" t="str">
        <f aca="false">IF(A394="","",IF(M394&gt;=Ayarlar!$B$7,"ALARM",IF(M394&gt;=Ayarlar!$B$6,"Planla","")))</f>
        <v/>
      </c>
      <c r="R394" s="14" t="str">
        <f aca="false">IF(A394="","",IF(AND(L394&gt;=0,L394&lt;=Ayarlar!$B$9),"Evet",""))</f>
        <v/>
      </c>
      <c r="S394" s="16" t="str">
        <f aca="false">IF(A394="","",IF(N394="","Yeni personel",IF(P394&lt;0,"Kontrol et","")))</f>
        <v/>
      </c>
      <c r="T394" s="14" t="str">
        <f aca="false">IF(A394="","",IF(AND(G394=1,M394&gt;=Ayarlar!$B$6,OR(Ayarlar!$B$11="Tümü",C394=Ayarlar!$B$11)),M394+ROW()/100000,""))</f>
        <v/>
      </c>
    </row>
    <row r="395" customFormat="false" ht="15" hidden="false" customHeight="false" outlineLevel="0" collapsed="false">
      <c r="A395" s="18" t="str">
        <f aca="false">IF(Veri_Guncel!A395="","",Veri_Guncel!A395)</f>
        <v/>
      </c>
      <c r="B395" s="18" t="str">
        <f aca="false">IF($A395="","",Veri_Guncel!B395)</f>
        <v/>
      </c>
      <c r="C395" s="18" t="str">
        <f aca="false">IF($A395="","",Veri_Guncel!C395)</f>
        <v/>
      </c>
      <c r="D395" s="18" t="str">
        <f aca="false">IF($A395="","",Veri_Guncel!D395)</f>
        <v/>
      </c>
      <c r="E395" s="19" t="str">
        <f aca="false">IF($A395="","",Veri_Guncel!E395)</f>
        <v/>
      </c>
      <c r="F395" s="19" t="str">
        <f aca="false">IF($A395="","",Veri_Guncel!F395)</f>
        <v/>
      </c>
      <c r="G395" s="14" t="str">
        <f aca="false">IF(A395="","",IF(COUNTIF(Ayarlar!$A$15:$A$20,C395)&gt;0,1,0))</f>
        <v/>
      </c>
      <c r="H395" s="14" t="str">
        <f aca="false">IF(A395="","",DATEDIF(E395,Ayarlar!$B$3,"y"))</f>
        <v/>
      </c>
      <c r="I395" s="14" t="str">
        <f aca="false">IF(OR(A395="",F395=""),"",DATEDIF(F395,Ayarlar!$B$3,"y"))</f>
        <v/>
      </c>
      <c r="J395" s="14" t="str">
        <f aca="false">IF(A395="","",IF(H395&lt;1,0,MAX(IF(H395&lt;5,14,IF(H395&lt;15,20,26)),IF(AND(I395&lt;&gt;"",OR(I395&lt;=18,I395&gt;=50)),20,0))))</f>
        <v/>
      </c>
      <c r="K395" s="17" t="str">
        <f aca="false">IF(A395="","",EDATE(E395,12*(H395+1)))</f>
        <v/>
      </c>
      <c r="L395" s="14" t="str">
        <f aca="false">IF(A395="","",K395-Ayarlar!$B$3)</f>
        <v/>
      </c>
      <c r="M395" s="18" t="str">
        <f aca="false">IF(A395="","",Veri_Guncel!H395)</f>
        <v/>
      </c>
      <c r="N395" s="18" t="str">
        <f aca="false">IF(A395="","",IFERROR(INDEX(Veri_Onceki!$H:$H,MATCH(A395,Veri_Onceki!$A:$A,0)),""))</f>
        <v/>
      </c>
      <c r="O395" s="14" t="str">
        <f aca="false">IF(A395="","",IF(AND(H395&gt;=1,EDATE(E395,12*H395)&gt;Ayarlar!$B$4,EDATE(E395,12*H395)&lt;=Ayarlar!$B$3),J395,0))</f>
        <v/>
      </c>
      <c r="P395" s="14" t="str">
        <f aca="false">IF(OR(A395="",N395=""),"",N395+O395-M395)</f>
        <v/>
      </c>
      <c r="Q395" s="16" t="str">
        <f aca="false">IF(A395="","",IF(M395&gt;=Ayarlar!$B$7,"ALARM",IF(M395&gt;=Ayarlar!$B$6,"Planla","")))</f>
        <v/>
      </c>
      <c r="R395" s="14" t="str">
        <f aca="false">IF(A395="","",IF(AND(L395&gt;=0,L395&lt;=Ayarlar!$B$9),"Evet",""))</f>
        <v/>
      </c>
      <c r="S395" s="16" t="str">
        <f aca="false">IF(A395="","",IF(N395="","Yeni personel",IF(P395&lt;0,"Kontrol et","")))</f>
        <v/>
      </c>
      <c r="T395" s="14" t="str">
        <f aca="false">IF(A395="","",IF(AND(G395=1,M395&gt;=Ayarlar!$B$6,OR(Ayarlar!$B$11="Tümü",C395=Ayarlar!$B$11)),M395+ROW()/100000,""))</f>
        <v/>
      </c>
    </row>
    <row r="396" customFormat="false" ht="15" hidden="false" customHeight="false" outlineLevel="0" collapsed="false">
      <c r="A396" s="18" t="str">
        <f aca="false">IF(Veri_Guncel!A396="","",Veri_Guncel!A396)</f>
        <v/>
      </c>
      <c r="B396" s="18" t="str">
        <f aca="false">IF($A396="","",Veri_Guncel!B396)</f>
        <v/>
      </c>
      <c r="C396" s="18" t="str">
        <f aca="false">IF($A396="","",Veri_Guncel!C396)</f>
        <v/>
      </c>
      <c r="D396" s="18" t="str">
        <f aca="false">IF($A396="","",Veri_Guncel!D396)</f>
        <v/>
      </c>
      <c r="E396" s="19" t="str">
        <f aca="false">IF($A396="","",Veri_Guncel!E396)</f>
        <v/>
      </c>
      <c r="F396" s="19" t="str">
        <f aca="false">IF($A396="","",Veri_Guncel!F396)</f>
        <v/>
      </c>
      <c r="G396" s="14" t="str">
        <f aca="false">IF(A396="","",IF(COUNTIF(Ayarlar!$A$15:$A$20,C396)&gt;0,1,0))</f>
        <v/>
      </c>
      <c r="H396" s="14" t="str">
        <f aca="false">IF(A396="","",DATEDIF(E396,Ayarlar!$B$3,"y"))</f>
        <v/>
      </c>
      <c r="I396" s="14" t="str">
        <f aca="false">IF(OR(A396="",F396=""),"",DATEDIF(F396,Ayarlar!$B$3,"y"))</f>
        <v/>
      </c>
      <c r="J396" s="14" t="str">
        <f aca="false">IF(A396="","",IF(H396&lt;1,0,MAX(IF(H396&lt;5,14,IF(H396&lt;15,20,26)),IF(AND(I396&lt;&gt;"",OR(I396&lt;=18,I396&gt;=50)),20,0))))</f>
        <v/>
      </c>
      <c r="K396" s="17" t="str">
        <f aca="false">IF(A396="","",EDATE(E396,12*(H396+1)))</f>
        <v/>
      </c>
      <c r="L396" s="14" t="str">
        <f aca="false">IF(A396="","",K396-Ayarlar!$B$3)</f>
        <v/>
      </c>
      <c r="M396" s="18" t="str">
        <f aca="false">IF(A396="","",Veri_Guncel!H396)</f>
        <v/>
      </c>
      <c r="N396" s="18" t="str">
        <f aca="false">IF(A396="","",IFERROR(INDEX(Veri_Onceki!$H:$H,MATCH(A396,Veri_Onceki!$A:$A,0)),""))</f>
        <v/>
      </c>
      <c r="O396" s="14" t="str">
        <f aca="false">IF(A396="","",IF(AND(H396&gt;=1,EDATE(E396,12*H396)&gt;Ayarlar!$B$4,EDATE(E396,12*H396)&lt;=Ayarlar!$B$3),J396,0))</f>
        <v/>
      </c>
      <c r="P396" s="14" t="str">
        <f aca="false">IF(OR(A396="",N396=""),"",N396+O396-M396)</f>
        <v/>
      </c>
      <c r="Q396" s="16" t="str">
        <f aca="false">IF(A396="","",IF(M396&gt;=Ayarlar!$B$7,"ALARM",IF(M396&gt;=Ayarlar!$B$6,"Planla","")))</f>
        <v/>
      </c>
      <c r="R396" s="14" t="str">
        <f aca="false">IF(A396="","",IF(AND(L396&gt;=0,L396&lt;=Ayarlar!$B$9),"Evet",""))</f>
        <v/>
      </c>
      <c r="S396" s="16" t="str">
        <f aca="false">IF(A396="","",IF(N396="","Yeni personel",IF(P396&lt;0,"Kontrol et","")))</f>
        <v/>
      </c>
      <c r="T396" s="14" t="str">
        <f aca="false">IF(A396="","",IF(AND(G396=1,M396&gt;=Ayarlar!$B$6,OR(Ayarlar!$B$11="Tümü",C396=Ayarlar!$B$11)),M396+ROW()/100000,""))</f>
        <v/>
      </c>
    </row>
    <row r="397" customFormat="false" ht="15" hidden="false" customHeight="false" outlineLevel="0" collapsed="false">
      <c r="A397" s="18" t="str">
        <f aca="false">IF(Veri_Guncel!A397="","",Veri_Guncel!A397)</f>
        <v/>
      </c>
      <c r="B397" s="18" t="str">
        <f aca="false">IF($A397="","",Veri_Guncel!B397)</f>
        <v/>
      </c>
      <c r="C397" s="18" t="str">
        <f aca="false">IF($A397="","",Veri_Guncel!C397)</f>
        <v/>
      </c>
      <c r="D397" s="18" t="str">
        <f aca="false">IF($A397="","",Veri_Guncel!D397)</f>
        <v/>
      </c>
      <c r="E397" s="19" t="str">
        <f aca="false">IF($A397="","",Veri_Guncel!E397)</f>
        <v/>
      </c>
      <c r="F397" s="19" t="str">
        <f aca="false">IF($A397="","",Veri_Guncel!F397)</f>
        <v/>
      </c>
      <c r="G397" s="14" t="str">
        <f aca="false">IF(A397="","",IF(COUNTIF(Ayarlar!$A$15:$A$20,C397)&gt;0,1,0))</f>
        <v/>
      </c>
      <c r="H397" s="14" t="str">
        <f aca="false">IF(A397="","",DATEDIF(E397,Ayarlar!$B$3,"y"))</f>
        <v/>
      </c>
      <c r="I397" s="14" t="str">
        <f aca="false">IF(OR(A397="",F397=""),"",DATEDIF(F397,Ayarlar!$B$3,"y"))</f>
        <v/>
      </c>
      <c r="J397" s="14" t="str">
        <f aca="false">IF(A397="","",IF(H397&lt;1,0,MAX(IF(H397&lt;5,14,IF(H397&lt;15,20,26)),IF(AND(I397&lt;&gt;"",OR(I397&lt;=18,I397&gt;=50)),20,0))))</f>
        <v/>
      </c>
      <c r="K397" s="17" t="str">
        <f aca="false">IF(A397="","",EDATE(E397,12*(H397+1)))</f>
        <v/>
      </c>
      <c r="L397" s="14" t="str">
        <f aca="false">IF(A397="","",K397-Ayarlar!$B$3)</f>
        <v/>
      </c>
      <c r="M397" s="18" t="str">
        <f aca="false">IF(A397="","",Veri_Guncel!H397)</f>
        <v/>
      </c>
      <c r="N397" s="18" t="str">
        <f aca="false">IF(A397="","",IFERROR(INDEX(Veri_Onceki!$H:$H,MATCH(A397,Veri_Onceki!$A:$A,0)),""))</f>
        <v/>
      </c>
      <c r="O397" s="14" t="str">
        <f aca="false">IF(A397="","",IF(AND(H397&gt;=1,EDATE(E397,12*H397)&gt;Ayarlar!$B$4,EDATE(E397,12*H397)&lt;=Ayarlar!$B$3),J397,0))</f>
        <v/>
      </c>
      <c r="P397" s="14" t="str">
        <f aca="false">IF(OR(A397="",N397=""),"",N397+O397-M397)</f>
        <v/>
      </c>
      <c r="Q397" s="16" t="str">
        <f aca="false">IF(A397="","",IF(M397&gt;=Ayarlar!$B$7,"ALARM",IF(M397&gt;=Ayarlar!$B$6,"Planla","")))</f>
        <v/>
      </c>
      <c r="R397" s="14" t="str">
        <f aca="false">IF(A397="","",IF(AND(L397&gt;=0,L397&lt;=Ayarlar!$B$9),"Evet",""))</f>
        <v/>
      </c>
      <c r="S397" s="16" t="str">
        <f aca="false">IF(A397="","",IF(N397="","Yeni personel",IF(P397&lt;0,"Kontrol et","")))</f>
        <v/>
      </c>
      <c r="T397" s="14" t="str">
        <f aca="false">IF(A397="","",IF(AND(G397=1,M397&gt;=Ayarlar!$B$6,OR(Ayarlar!$B$11="Tümü",C397=Ayarlar!$B$11)),M397+ROW()/100000,""))</f>
        <v/>
      </c>
    </row>
    <row r="398" customFormat="false" ht="15" hidden="false" customHeight="false" outlineLevel="0" collapsed="false">
      <c r="A398" s="18" t="str">
        <f aca="false">IF(Veri_Guncel!A398="","",Veri_Guncel!A398)</f>
        <v/>
      </c>
      <c r="B398" s="18" t="str">
        <f aca="false">IF($A398="","",Veri_Guncel!B398)</f>
        <v/>
      </c>
      <c r="C398" s="18" t="str">
        <f aca="false">IF($A398="","",Veri_Guncel!C398)</f>
        <v/>
      </c>
      <c r="D398" s="18" t="str">
        <f aca="false">IF($A398="","",Veri_Guncel!D398)</f>
        <v/>
      </c>
      <c r="E398" s="19" t="str">
        <f aca="false">IF($A398="","",Veri_Guncel!E398)</f>
        <v/>
      </c>
      <c r="F398" s="19" t="str">
        <f aca="false">IF($A398="","",Veri_Guncel!F398)</f>
        <v/>
      </c>
      <c r="G398" s="14" t="str">
        <f aca="false">IF(A398="","",IF(COUNTIF(Ayarlar!$A$15:$A$20,C398)&gt;0,1,0))</f>
        <v/>
      </c>
      <c r="H398" s="14" t="str">
        <f aca="false">IF(A398="","",DATEDIF(E398,Ayarlar!$B$3,"y"))</f>
        <v/>
      </c>
      <c r="I398" s="14" t="str">
        <f aca="false">IF(OR(A398="",F398=""),"",DATEDIF(F398,Ayarlar!$B$3,"y"))</f>
        <v/>
      </c>
      <c r="J398" s="14" t="str">
        <f aca="false">IF(A398="","",IF(H398&lt;1,0,MAX(IF(H398&lt;5,14,IF(H398&lt;15,20,26)),IF(AND(I398&lt;&gt;"",OR(I398&lt;=18,I398&gt;=50)),20,0))))</f>
        <v/>
      </c>
      <c r="K398" s="17" t="str">
        <f aca="false">IF(A398="","",EDATE(E398,12*(H398+1)))</f>
        <v/>
      </c>
      <c r="L398" s="14" t="str">
        <f aca="false">IF(A398="","",K398-Ayarlar!$B$3)</f>
        <v/>
      </c>
      <c r="M398" s="18" t="str">
        <f aca="false">IF(A398="","",Veri_Guncel!H398)</f>
        <v/>
      </c>
      <c r="N398" s="18" t="str">
        <f aca="false">IF(A398="","",IFERROR(INDEX(Veri_Onceki!$H:$H,MATCH(A398,Veri_Onceki!$A:$A,0)),""))</f>
        <v/>
      </c>
      <c r="O398" s="14" t="str">
        <f aca="false">IF(A398="","",IF(AND(H398&gt;=1,EDATE(E398,12*H398)&gt;Ayarlar!$B$4,EDATE(E398,12*H398)&lt;=Ayarlar!$B$3),J398,0))</f>
        <v/>
      </c>
      <c r="P398" s="14" t="str">
        <f aca="false">IF(OR(A398="",N398=""),"",N398+O398-M398)</f>
        <v/>
      </c>
      <c r="Q398" s="16" t="str">
        <f aca="false">IF(A398="","",IF(M398&gt;=Ayarlar!$B$7,"ALARM",IF(M398&gt;=Ayarlar!$B$6,"Planla","")))</f>
        <v/>
      </c>
      <c r="R398" s="14" t="str">
        <f aca="false">IF(A398="","",IF(AND(L398&gt;=0,L398&lt;=Ayarlar!$B$9),"Evet",""))</f>
        <v/>
      </c>
      <c r="S398" s="16" t="str">
        <f aca="false">IF(A398="","",IF(N398="","Yeni personel",IF(P398&lt;0,"Kontrol et","")))</f>
        <v/>
      </c>
      <c r="T398" s="14" t="str">
        <f aca="false">IF(A398="","",IF(AND(G398=1,M398&gt;=Ayarlar!$B$6,OR(Ayarlar!$B$11="Tümü",C398=Ayarlar!$B$11)),M398+ROW()/100000,""))</f>
        <v/>
      </c>
    </row>
    <row r="399" customFormat="false" ht="15" hidden="false" customHeight="false" outlineLevel="0" collapsed="false">
      <c r="A399" s="18" t="str">
        <f aca="false">IF(Veri_Guncel!A399="","",Veri_Guncel!A399)</f>
        <v/>
      </c>
      <c r="B399" s="18" t="str">
        <f aca="false">IF($A399="","",Veri_Guncel!B399)</f>
        <v/>
      </c>
      <c r="C399" s="18" t="str">
        <f aca="false">IF($A399="","",Veri_Guncel!C399)</f>
        <v/>
      </c>
      <c r="D399" s="18" t="str">
        <f aca="false">IF($A399="","",Veri_Guncel!D399)</f>
        <v/>
      </c>
      <c r="E399" s="19" t="str">
        <f aca="false">IF($A399="","",Veri_Guncel!E399)</f>
        <v/>
      </c>
      <c r="F399" s="19" t="str">
        <f aca="false">IF($A399="","",Veri_Guncel!F399)</f>
        <v/>
      </c>
      <c r="G399" s="14" t="str">
        <f aca="false">IF(A399="","",IF(COUNTIF(Ayarlar!$A$15:$A$20,C399)&gt;0,1,0))</f>
        <v/>
      </c>
      <c r="H399" s="14" t="str">
        <f aca="false">IF(A399="","",DATEDIF(E399,Ayarlar!$B$3,"y"))</f>
        <v/>
      </c>
      <c r="I399" s="14" t="str">
        <f aca="false">IF(OR(A399="",F399=""),"",DATEDIF(F399,Ayarlar!$B$3,"y"))</f>
        <v/>
      </c>
      <c r="J399" s="14" t="str">
        <f aca="false">IF(A399="","",IF(H399&lt;1,0,MAX(IF(H399&lt;5,14,IF(H399&lt;15,20,26)),IF(AND(I399&lt;&gt;"",OR(I399&lt;=18,I399&gt;=50)),20,0))))</f>
        <v/>
      </c>
      <c r="K399" s="17" t="str">
        <f aca="false">IF(A399="","",EDATE(E399,12*(H399+1)))</f>
        <v/>
      </c>
      <c r="L399" s="14" t="str">
        <f aca="false">IF(A399="","",K399-Ayarlar!$B$3)</f>
        <v/>
      </c>
      <c r="M399" s="18" t="str">
        <f aca="false">IF(A399="","",Veri_Guncel!H399)</f>
        <v/>
      </c>
      <c r="N399" s="18" t="str">
        <f aca="false">IF(A399="","",IFERROR(INDEX(Veri_Onceki!$H:$H,MATCH(A399,Veri_Onceki!$A:$A,0)),""))</f>
        <v/>
      </c>
      <c r="O399" s="14" t="str">
        <f aca="false">IF(A399="","",IF(AND(H399&gt;=1,EDATE(E399,12*H399)&gt;Ayarlar!$B$4,EDATE(E399,12*H399)&lt;=Ayarlar!$B$3),J399,0))</f>
        <v/>
      </c>
      <c r="P399" s="14" t="str">
        <f aca="false">IF(OR(A399="",N399=""),"",N399+O399-M399)</f>
        <v/>
      </c>
      <c r="Q399" s="16" t="str">
        <f aca="false">IF(A399="","",IF(M399&gt;=Ayarlar!$B$7,"ALARM",IF(M399&gt;=Ayarlar!$B$6,"Planla","")))</f>
        <v/>
      </c>
      <c r="R399" s="14" t="str">
        <f aca="false">IF(A399="","",IF(AND(L399&gt;=0,L399&lt;=Ayarlar!$B$9),"Evet",""))</f>
        <v/>
      </c>
      <c r="S399" s="16" t="str">
        <f aca="false">IF(A399="","",IF(N399="","Yeni personel",IF(P399&lt;0,"Kontrol et","")))</f>
        <v/>
      </c>
      <c r="T399" s="14" t="str">
        <f aca="false">IF(A399="","",IF(AND(G399=1,M399&gt;=Ayarlar!$B$6,OR(Ayarlar!$B$11="Tümü",C399=Ayarlar!$B$11)),M399+ROW()/100000,""))</f>
        <v/>
      </c>
    </row>
    <row r="400" customFormat="false" ht="15" hidden="false" customHeight="false" outlineLevel="0" collapsed="false">
      <c r="A400" s="18" t="str">
        <f aca="false">IF(Veri_Guncel!A400="","",Veri_Guncel!A400)</f>
        <v/>
      </c>
      <c r="B400" s="18" t="str">
        <f aca="false">IF($A400="","",Veri_Guncel!B400)</f>
        <v/>
      </c>
      <c r="C400" s="18" t="str">
        <f aca="false">IF($A400="","",Veri_Guncel!C400)</f>
        <v/>
      </c>
      <c r="D400" s="18" t="str">
        <f aca="false">IF($A400="","",Veri_Guncel!D400)</f>
        <v/>
      </c>
      <c r="E400" s="19" t="str">
        <f aca="false">IF($A400="","",Veri_Guncel!E400)</f>
        <v/>
      </c>
      <c r="F400" s="19" t="str">
        <f aca="false">IF($A400="","",Veri_Guncel!F400)</f>
        <v/>
      </c>
      <c r="G400" s="14" t="str">
        <f aca="false">IF(A400="","",IF(COUNTIF(Ayarlar!$A$15:$A$20,C400)&gt;0,1,0))</f>
        <v/>
      </c>
      <c r="H400" s="14" t="str">
        <f aca="false">IF(A400="","",DATEDIF(E400,Ayarlar!$B$3,"y"))</f>
        <v/>
      </c>
      <c r="I400" s="14" t="str">
        <f aca="false">IF(OR(A400="",F400=""),"",DATEDIF(F400,Ayarlar!$B$3,"y"))</f>
        <v/>
      </c>
      <c r="J400" s="14" t="str">
        <f aca="false">IF(A400="","",IF(H400&lt;1,0,MAX(IF(H400&lt;5,14,IF(H400&lt;15,20,26)),IF(AND(I400&lt;&gt;"",OR(I400&lt;=18,I400&gt;=50)),20,0))))</f>
        <v/>
      </c>
      <c r="K400" s="17" t="str">
        <f aca="false">IF(A400="","",EDATE(E400,12*(H400+1)))</f>
        <v/>
      </c>
      <c r="L400" s="14" t="str">
        <f aca="false">IF(A400="","",K400-Ayarlar!$B$3)</f>
        <v/>
      </c>
      <c r="M400" s="18" t="str">
        <f aca="false">IF(A400="","",Veri_Guncel!H400)</f>
        <v/>
      </c>
      <c r="N400" s="18" t="str">
        <f aca="false">IF(A400="","",IFERROR(INDEX(Veri_Onceki!$H:$H,MATCH(A400,Veri_Onceki!$A:$A,0)),""))</f>
        <v/>
      </c>
      <c r="O400" s="14" t="str">
        <f aca="false">IF(A400="","",IF(AND(H400&gt;=1,EDATE(E400,12*H400)&gt;Ayarlar!$B$4,EDATE(E400,12*H400)&lt;=Ayarlar!$B$3),J400,0))</f>
        <v/>
      </c>
      <c r="P400" s="14" t="str">
        <f aca="false">IF(OR(A400="",N400=""),"",N400+O400-M400)</f>
        <v/>
      </c>
      <c r="Q400" s="16" t="str">
        <f aca="false">IF(A400="","",IF(M400&gt;=Ayarlar!$B$7,"ALARM",IF(M400&gt;=Ayarlar!$B$6,"Planla","")))</f>
        <v/>
      </c>
      <c r="R400" s="14" t="str">
        <f aca="false">IF(A400="","",IF(AND(L400&gt;=0,L400&lt;=Ayarlar!$B$9),"Evet",""))</f>
        <v/>
      </c>
      <c r="S400" s="16" t="str">
        <f aca="false">IF(A400="","",IF(N400="","Yeni personel",IF(P400&lt;0,"Kontrol et","")))</f>
        <v/>
      </c>
      <c r="T400" s="14" t="str">
        <f aca="false">IF(A400="","",IF(AND(G400=1,M400&gt;=Ayarlar!$B$6,OR(Ayarlar!$B$11="Tümü",C400=Ayarlar!$B$11)),M400+ROW()/100000,""))</f>
        <v/>
      </c>
    </row>
    <row r="401" customFormat="false" ht="15" hidden="false" customHeight="false" outlineLevel="0" collapsed="false">
      <c r="A401" s="18" t="str">
        <f aca="false">IF(Veri_Guncel!A401="","",Veri_Guncel!A401)</f>
        <v/>
      </c>
      <c r="B401" s="18" t="str">
        <f aca="false">IF($A401="","",Veri_Guncel!B401)</f>
        <v/>
      </c>
      <c r="C401" s="18" t="str">
        <f aca="false">IF($A401="","",Veri_Guncel!C401)</f>
        <v/>
      </c>
      <c r="D401" s="18" t="str">
        <f aca="false">IF($A401="","",Veri_Guncel!D401)</f>
        <v/>
      </c>
      <c r="E401" s="19" t="str">
        <f aca="false">IF($A401="","",Veri_Guncel!E401)</f>
        <v/>
      </c>
      <c r="F401" s="19" t="str">
        <f aca="false">IF($A401="","",Veri_Guncel!F401)</f>
        <v/>
      </c>
      <c r="G401" s="14" t="str">
        <f aca="false">IF(A401="","",IF(COUNTIF(Ayarlar!$A$15:$A$20,C401)&gt;0,1,0))</f>
        <v/>
      </c>
      <c r="H401" s="14" t="str">
        <f aca="false">IF(A401="","",DATEDIF(E401,Ayarlar!$B$3,"y"))</f>
        <v/>
      </c>
      <c r="I401" s="14" t="str">
        <f aca="false">IF(OR(A401="",F401=""),"",DATEDIF(F401,Ayarlar!$B$3,"y"))</f>
        <v/>
      </c>
      <c r="J401" s="14" t="str">
        <f aca="false">IF(A401="","",IF(H401&lt;1,0,MAX(IF(H401&lt;5,14,IF(H401&lt;15,20,26)),IF(AND(I401&lt;&gt;"",OR(I401&lt;=18,I401&gt;=50)),20,0))))</f>
        <v/>
      </c>
      <c r="K401" s="17" t="str">
        <f aca="false">IF(A401="","",EDATE(E401,12*(H401+1)))</f>
        <v/>
      </c>
      <c r="L401" s="14" t="str">
        <f aca="false">IF(A401="","",K401-Ayarlar!$B$3)</f>
        <v/>
      </c>
      <c r="M401" s="18" t="str">
        <f aca="false">IF(A401="","",Veri_Guncel!H401)</f>
        <v/>
      </c>
      <c r="N401" s="18" t="str">
        <f aca="false">IF(A401="","",IFERROR(INDEX(Veri_Onceki!$H:$H,MATCH(A401,Veri_Onceki!$A:$A,0)),""))</f>
        <v/>
      </c>
      <c r="O401" s="14" t="str">
        <f aca="false">IF(A401="","",IF(AND(H401&gt;=1,EDATE(E401,12*H401)&gt;Ayarlar!$B$4,EDATE(E401,12*H401)&lt;=Ayarlar!$B$3),J401,0))</f>
        <v/>
      </c>
      <c r="P401" s="14" t="str">
        <f aca="false">IF(OR(A401="",N401=""),"",N401+O401-M401)</f>
        <v/>
      </c>
      <c r="Q401" s="16" t="str">
        <f aca="false">IF(A401="","",IF(M401&gt;=Ayarlar!$B$7,"ALARM",IF(M401&gt;=Ayarlar!$B$6,"Planla","")))</f>
        <v/>
      </c>
      <c r="R401" s="14" t="str">
        <f aca="false">IF(A401="","",IF(AND(L401&gt;=0,L401&lt;=Ayarlar!$B$9),"Evet",""))</f>
        <v/>
      </c>
      <c r="S401" s="16" t="str">
        <f aca="false">IF(A401="","",IF(N401="","Yeni personel",IF(P401&lt;0,"Kontrol et","")))</f>
        <v/>
      </c>
      <c r="T401" s="14" t="str">
        <f aca="false">IF(A401="","",IF(AND(G401=1,M401&gt;=Ayarlar!$B$6,OR(Ayarlar!$B$11="Tümü",C401=Ayarlar!$B$11)),M401+ROW()/100000,""))</f>
        <v/>
      </c>
    </row>
    <row r="402" customFormat="false" ht="15" hidden="false" customHeight="false" outlineLevel="0" collapsed="false">
      <c r="A402" s="18" t="str">
        <f aca="false">IF(Veri_Guncel!A402="","",Veri_Guncel!A402)</f>
        <v/>
      </c>
      <c r="B402" s="18" t="str">
        <f aca="false">IF($A402="","",Veri_Guncel!B402)</f>
        <v/>
      </c>
      <c r="C402" s="18" t="str">
        <f aca="false">IF($A402="","",Veri_Guncel!C402)</f>
        <v/>
      </c>
      <c r="D402" s="18" t="str">
        <f aca="false">IF($A402="","",Veri_Guncel!D402)</f>
        <v/>
      </c>
      <c r="E402" s="19" t="str">
        <f aca="false">IF($A402="","",Veri_Guncel!E402)</f>
        <v/>
      </c>
      <c r="F402" s="19" t="str">
        <f aca="false">IF($A402="","",Veri_Guncel!F402)</f>
        <v/>
      </c>
      <c r="G402" s="14" t="str">
        <f aca="false">IF(A402="","",IF(COUNTIF(Ayarlar!$A$15:$A$20,C402)&gt;0,1,0))</f>
        <v/>
      </c>
      <c r="H402" s="14" t="str">
        <f aca="false">IF(A402="","",DATEDIF(E402,Ayarlar!$B$3,"y"))</f>
        <v/>
      </c>
      <c r="I402" s="14" t="str">
        <f aca="false">IF(OR(A402="",F402=""),"",DATEDIF(F402,Ayarlar!$B$3,"y"))</f>
        <v/>
      </c>
      <c r="J402" s="14" t="str">
        <f aca="false">IF(A402="","",IF(H402&lt;1,0,MAX(IF(H402&lt;5,14,IF(H402&lt;15,20,26)),IF(AND(I402&lt;&gt;"",OR(I402&lt;=18,I402&gt;=50)),20,0))))</f>
        <v/>
      </c>
      <c r="K402" s="17" t="str">
        <f aca="false">IF(A402="","",EDATE(E402,12*(H402+1)))</f>
        <v/>
      </c>
      <c r="L402" s="14" t="str">
        <f aca="false">IF(A402="","",K402-Ayarlar!$B$3)</f>
        <v/>
      </c>
      <c r="M402" s="18" t="str">
        <f aca="false">IF(A402="","",Veri_Guncel!H402)</f>
        <v/>
      </c>
      <c r="N402" s="18" t="str">
        <f aca="false">IF(A402="","",IFERROR(INDEX(Veri_Onceki!$H:$H,MATCH(A402,Veri_Onceki!$A:$A,0)),""))</f>
        <v/>
      </c>
      <c r="O402" s="14" t="str">
        <f aca="false">IF(A402="","",IF(AND(H402&gt;=1,EDATE(E402,12*H402)&gt;Ayarlar!$B$4,EDATE(E402,12*H402)&lt;=Ayarlar!$B$3),J402,0))</f>
        <v/>
      </c>
      <c r="P402" s="14" t="str">
        <f aca="false">IF(OR(A402="",N402=""),"",N402+O402-M402)</f>
        <v/>
      </c>
      <c r="Q402" s="16" t="str">
        <f aca="false">IF(A402="","",IF(M402&gt;=Ayarlar!$B$7,"ALARM",IF(M402&gt;=Ayarlar!$B$6,"Planla","")))</f>
        <v/>
      </c>
      <c r="R402" s="14" t="str">
        <f aca="false">IF(A402="","",IF(AND(L402&gt;=0,L402&lt;=Ayarlar!$B$9),"Evet",""))</f>
        <v/>
      </c>
      <c r="S402" s="16" t="str">
        <f aca="false">IF(A402="","",IF(N402="","Yeni personel",IF(P402&lt;0,"Kontrol et","")))</f>
        <v/>
      </c>
      <c r="T402" s="14" t="str">
        <f aca="false">IF(A402="","",IF(AND(G402=1,M402&gt;=Ayarlar!$B$6,OR(Ayarlar!$B$11="Tümü",C402=Ayarlar!$B$11)),M402+ROW()/100000,""))</f>
        <v/>
      </c>
    </row>
    <row r="403" customFormat="false" ht="15" hidden="false" customHeight="false" outlineLevel="0" collapsed="false">
      <c r="A403" s="18" t="str">
        <f aca="false">IF(Veri_Guncel!A403="","",Veri_Guncel!A403)</f>
        <v/>
      </c>
      <c r="B403" s="18" t="str">
        <f aca="false">IF($A403="","",Veri_Guncel!B403)</f>
        <v/>
      </c>
      <c r="C403" s="18" t="str">
        <f aca="false">IF($A403="","",Veri_Guncel!C403)</f>
        <v/>
      </c>
      <c r="D403" s="18" t="str">
        <f aca="false">IF($A403="","",Veri_Guncel!D403)</f>
        <v/>
      </c>
      <c r="E403" s="19" t="str">
        <f aca="false">IF($A403="","",Veri_Guncel!E403)</f>
        <v/>
      </c>
      <c r="F403" s="19" t="str">
        <f aca="false">IF($A403="","",Veri_Guncel!F403)</f>
        <v/>
      </c>
      <c r="G403" s="14" t="str">
        <f aca="false">IF(A403="","",IF(COUNTIF(Ayarlar!$A$15:$A$20,C403)&gt;0,1,0))</f>
        <v/>
      </c>
      <c r="H403" s="14" t="str">
        <f aca="false">IF(A403="","",DATEDIF(E403,Ayarlar!$B$3,"y"))</f>
        <v/>
      </c>
      <c r="I403" s="14" t="str">
        <f aca="false">IF(OR(A403="",F403=""),"",DATEDIF(F403,Ayarlar!$B$3,"y"))</f>
        <v/>
      </c>
      <c r="J403" s="14" t="str">
        <f aca="false">IF(A403="","",IF(H403&lt;1,0,MAX(IF(H403&lt;5,14,IF(H403&lt;15,20,26)),IF(AND(I403&lt;&gt;"",OR(I403&lt;=18,I403&gt;=50)),20,0))))</f>
        <v/>
      </c>
      <c r="K403" s="17" t="str">
        <f aca="false">IF(A403="","",EDATE(E403,12*(H403+1)))</f>
        <v/>
      </c>
      <c r="L403" s="14" t="str">
        <f aca="false">IF(A403="","",K403-Ayarlar!$B$3)</f>
        <v/>
      </c>
      <c r="M403" s="18" t="str">
        <f aca="false">IF(A403="","",Veri_Guncel!H403)</f>
        <v/>
      </c>
      <c r="N403" s="18" t="str">
        <f aca="false">IF(A403="","",IFERROR(INDEX(Veri_Onceki!$H:$H,MATCH(A403,Veri_Onceki!$A:$A,0)),""))</f>
        <v/>
      </c>
      <c r="O403" s="14" t="str">
        <f aca="false">IF(A403="","",IF(AND(H403&gt;=1,EDATE(E403,12*H403)&gt;Ayarlar!$B$4,EDATE(E403,12*H403)&lt;=Ayarlar!$B$3),J403,0))</f>
        <v/>
      </c>
      <c r="P403" s="14" t="str">
        <f aca="false">IF(OR(A403="",N403=""),"",N403+O403-M403)</f>
        <v/>
      </c>
      <c r="Q403" s="16" t="str">
        <f aca="false">IF(A403="","",IF(M403&gt;=Ayarlar!$B$7,"ALARM",IF(M403&gt;=Ayarlar!$B$6,"Planla","")))</f>
        <v/>
      </c>
      <c r="R403" s="14" t="str">
        <f aca="false">IF(A403="","",IF(AND(L403&gt;=0,L403&lt;=Ayarlar!$B$9),"Evet",""))</f>
        <v/>
      </c>
      <c r="S403" s="16" t="str">
        <f aca="false">IF(A403="","",IF(N403="","Yeni personel",IF(P403&lt;0,"Kontrol et","")))</f>
        <v/>
      </c>
      <c r="T403" s="14" t="str">
        <f aca="false">IF(A403="","",IF(AND(G403=1,M403&gt;=Ayarlar!$B$6,OR(Ayarlar!$B$11="Tümü",C403=Ayarlar!$B$11)),M403+ROW()/100000,""))</f>
        <v/>
      </c>
    </row>
    <row r="404" customFormat="false" ht="15" hidden="false" customHeight="false" outlineLevel="0" collapsed="false">
      <c r="A404" s="18" t="str">
        <f aca="false">IF(Veri_Guncel!A404="","",Veri_Guncel!A404)</f>
        <v/>
      </c>
      <c r="B404" s="18" t="str">
        <f aca="false">IF($A404="","",Veri_Guncel!B404)</f>
        <v/>
      </c>
      <c r="C404" s="18" t="str">
        <f aca="false">IF($A404="","",Veri_Guncel!C404)</f>
        <v/>
      </c>
      <c r="D404" s="18" t="str">
        <f aca="false">IF($A404="","",Veri_Guncel!D404)</f>
        <v/>
      </c>
      <c r="E404" s="19" t="str">
        <f aca="false">IF($A404="","",Veri_Guncel!E404)</f>
        <v/>
      </c>
      <c r="F404" s="19" t="str">
        <f aca="false">IF($A404="","",Veri_Guncel!F404)</f>
        <v/>
      </c>
      <c r="G404" s="14" t="str">
        <f aca="false">IF(A404="","",IF(COUNTIF(Ayarlar!$A$15:$A$20,C404)&gt;0,1,0))</f>
        <v/>
      </c>
      <c r="H404" s="14" t="str">
        <f aca="false">IF(A404="","",DATEDIF(E404,Ayarlar!$B$3,"y"))</f>
        <v/>
      </c>
      <c r="I404" s="14" t="str">
        <f aca="false">IF(OR(A404="",F404=""),"",DATEDIF(F404,Ayarlar!$B$3,"y"))</f>
        <v/>
      </c>
      <c r="J404" s="14" t="str">
        <f aca="false">IF(A404="","",IF(H404&lt;1,0,MAX(IF(H404&lt;5,14,IF(H404&lt;15,20,26)),IF(AND(I404&lt;&gt;"",OR(I404&lt;=18,I404&gt;=50)),20,0))))</f>
        <v/>
      </c>
      <c r="K404" s="17" t="str">
        <f aca="false">IF(A404="","",EDATE(E404,12*(H404+1)))</f>
        <v/>
      </c>
      <c r="L404" s="14" t="str">
        <f aca="false">IF(A404="","",K404-Ayarlar!$B$3)</f>
        <v/>
      </c>
      <c r="M404" s="18" t="str">
        <f aca="false">IF(A404="","",Veri_Guncel!H404)</f>
        <v/>
      </c>
      <c r="N404" s="18" t="str">
        <f aca="false">IF(A404="","",IFERROR(INDEX(Veri_Onceki!$H:$H,MATCH(A404,Veri_Onceki!$A:$A,0)),""))</f>
        <v/>
      </c>
      <c r="O404" s="14" t="str">
        <f aca="false">IF(A404="","",IF(AND(H404&gt;=1,EDATE(E404,12*H404)&gt;Ayarlar!$B$4,EDATE(E404,12*H404)&lt;=Ayarlar!$B$3),J404,0))</f>
        <v/>
      </c>
      <c r="P404" s="14" t="str">
        <f aca="false">IF(OR(A404="",N404=""),"",N404+O404-M404)</f>
        <v/>
      </c>
      <c r="Q404" s="16" t="str">
        <f aca="false">IF(A404="","",IF(M404&gt;=Ayarlar!$B$7,"ALARM",IF(M404&gt;=Ayarlar!$B$6,"Planla","")))</f>
        <v/>
      </c>
      <c r="R404" s="14" t="str">
        <f aca="false">IF(A404="","",IF(AND(L404&gt;=0,L404&lt;=Ayarlar!$B$9),"Evet",""))</f>
        <v/>
      </c>
      <c r="S404" s="16" t="str">
        <f aca="false">IF(A404="","",IF(N404="","Yeni personel",IF(P404&lt;0,"Kontrol et","")))</f>
        <v/>
      </c>
      <c r="T404" s="14" t="str">
        <f aca="false">IF(A404="","",IF(AND(G404=1,M404&gt;=Ayarlar!$B$6,OR(Ayarlar!$B$11="Tümü",C404=Ayarlar!$B$11)),M404+ROW()/100000,""))</f>
        <v/>
      </c>
    </row>
    <row r="405" customFormat="false" ht="15" hidden="false" customHeight="false" outlineLevel="0" collapsed="false">
      <c r="A405" s="18" t="str">
        <f aca="false">IF(Veri_Guncel!A405="","",Veri_Guncel!A405)</f>
        <v/>
      </c>
      <c r="B405" s="18" t="str">
        <f aca="false">IF($A405="","",Veri_Guncel!B405)</f>
        <v/>
      </c>
      <c r="C405" s="18" t="str">
        <f aca="false">IF($A405="","",Veri_Guncel!C405)</f>
        <v/>
      </c>
      <c r="D405" s="18" t="str">
        <f aca="false">IF($A405="","",Veri_Guncel!D405)</f>
        <v/>
      </c>
      <c r="E405" s="19" t="str">
        <f aca="false">IF($A405="","",Veri_Guncel!E405)</f>
        <v/>
      </c>
      <c r="F405" s="19" t="str">
        <f aca="false">IF($A405="","",Veri_Guncel!F405)</f>
        <v/>
      </c>
      <c r="G405" s="14" t="str">
        <f aca="false">IF(A405="","",IF(COUNTIF(Ayarlar!$A$15:$A$20,C405)&gt;0,1,0))</f>
        <v/>
      </c>
      <c r="H405" s="14" t="str">
        <f aca="false">IF(A405="","",DATEDIF(E405,Ayarlar!$B$3,"y"))</f>
        <v/>
      </c>
      <c r="I405" s="14" t="str">
        <f aca="false">IF(OR(A405="",F405=""),"",DATEDIF(F405,Ayarlar!$B$3,"y"))</f>
        <v/>
      </c>
      <c r="J405" s="14" t="str">
        <f aca="false">IF(A405="","",IF(H405&lt;1,0,MAX(IF(H405&lt;5,14,IF(H405&lt;15,20,26)),IF(AND(I405&lt;&gt;"",OR(I405&lt;=18,I405&gt;=50)),20,0))))</f>
        <v/>
      </c>
      <c r="K405" s="17" t="str">
        <f aca="false">IF(A405="","",EDATE(E405,12*(H405+1)))</f>
        <v/>
      </c>
      <c r="L405" s="14" t="str">
        <f aca="false">IF(A405="","",K405-Ayarlar!$B$3)</f>
        <v/>
      </c>
      <c r="M405" s="18" t="str">
        <f aca="false">IF(A405="","",Veri_Guncel!H405)</f>
        <v/>
      </c>
      <c r="N405" s="18" t="str">
        <f aca="false">IF(A405="","",IFERROR(INDEX(Veri_Onceki!$H:$H,MATCH(A405,Veri_Onceki!$A:$A,0)),""))</f>
        <v/>
      </c>
      <c r="O405" s="14" t="str">
        <f aca="false">IF(A405="","",IF(AND(H405&gt;=1,EDATE(E405,12*H405)&gt;Ayarlar!$B$4,EDATE(E405,12*H405)&lt;=Ayarlar!$B$3),J405,0))</f>
        <v/>
      </c>
      <c r="P405" s="14" t="str">
        <f aca="false">IF(OR(A405="",N405=""),"",N405+O405-M405)</f>
        <v/>
      </c>
      <c r="Q405" s="16" t="str">
        <f aca="false">IF(A405="","",IF(M405&gt;=Ayarlar!$B$7,"ALARM",IF(M405&gt;=Ayarlar!$B$6,"Planla","")))</f>
        <v/>
      </c>
      <c r="R405" s="14" t="str">
        <f aca="false">IF(A405="","",IF(AND(L405&gt;=0,L405&lt;=Ayarlar!$B$9),"Evet",""))</f>
        <v/>
      </c>
      <c r="S405" s="16" t="str">
        <f aca="false">IF(A405="","",IF(N405="","Yeni personel",IF(P405&lt;0,"Kontrol et","")))</f>
        <v/>
      </c>
      <c r="T405" s="14" t="str">
        <f aca="false">IF(A405="","",IF(AND(G405=1,M405&gt;=Ayarlar!$B$6,OR(Ayarlar!$B$11="Tümü",C405=Ayarlar!$B$11)),M405+ROW()/100000,""))</f>
        <v/>
      </c>
    </row>
    <row r="406" customFormat="false" ht="15" hidden="false" customHeight="false" outlineLevel="0" collapsed="false">
      <c r="A406" s="18" t="str">
        <f aca="false">IF(Veri_Guncel!A406="","",Veri_Guncel!A406)</f>
        <v/>
      </c>
      <c r="B406" s="18" t="str">
        <f aca="false">IF($A406="","",Veri_Guncel!B406)</f>
        <v/>
      </c>
      <c r="C406" s="18" t="str">
        <f aca="false">IF($A406="","",Veri_Guncel!C406)</f>
        <v/>
      </c>
      <c r="D406" s="18" t="str">
        <f aca="false">IF($A406="","",Veri_Guncel!D406)</f>
        <v/>
      </c>
      <c r="E406" s="19" t="str">
        <f aca="false">IF($A406="","",Veri_Guncel!E406)</f>
        <v/>
      </c>
      <c r="F406" s="19" t="str">
        <f aca="false">IF($A406="","",Veri_Guncel!F406)</f>
        <v/>
      </c>
      <c r="G406" s="14" t="str">
        <f aca="false">IF(A406="","",IF(COUNTIF(Ayarlar!$A$15:$A$20,C406)&gt;0,1,0))</f>
        <v/>
      </c>
      <c r="H406" s="14" t="str">
        <f aca="false">IF(A406="","",DATEDIF(E406,Ayarlar!$B$3,"y"))</f>
        <v/>
      </c>
      <c r="I406" s="14" t="str">
        <f aca="false">IF(OR(A406="",F406=""),"",DATEDIF(F406,Ayarlar!$B$3,"y"))</f>
        <v/>
      </c>
      <c r="J406" s="14" t="str">
        <f aca="false">IF(A406="","",IF(H406&lt;1,0,MAX(IF(H406&lt;5,14,IF(H406&lt;15,20,26)),IF(AND(I406&lt;&gt;"",OR(I406&lt;=18,I406&gt;=50)),20,0))))</f>
        <v/>
      </c>
      <c r="K406" s="17" t="str">
        <f aca="false">IF(A406="","",EDATE(E406,12*(H406+1)))</f>
        <v/>
      </c>
      <c r="L406" s="14" t="str">
        <f aca="false">IF(A406="","",K406-Ayarlar!$B$3)</f>
        <v/>
      </c>
      <c r="M406" s="18" t="str">
        <f aca="false">IF(A406="","",Veri_Guncel!H406)</f>
        <v/>
      </c>
      <c r="N406" s="18" t="str">
        <f aca="false">IF(A406="","",IFERROR(INDEX(Veri_Onceki!$H:$H,MATCH(A406,Veri_Onceki!$A:$A,0)),""))</f>
        <v/>
      </c>
      <c r="O406" s="14" t="str">
        <f aca="false">IF(A406="","",IF(AND(H406&gt;=1,EDATE(E406,12*H406)&gt;Ayarlar!$B$4,EDATE(E406,12*H406)&lt;=Ayarlar!$B$3),J406,0))</f>
        <v/>
      </c>
      <c r="P406" s="14" t="str">
        <f aca="false">IF(OR(A406="",N406=""),"",N406+O406-M406)</f>
        <v/>
      </c>
      <c r="Q406" s="16" t="str">
        <f aca="false">IF(A406="","",IF(M406&gt;=Ayarlar!$B$7,"ALARM",IF(M406&gt;=Ayarlar!$B$6,"Planla","")))</f>
        <v/>
      </c>
      <c r="R406" s="14" t="str">
        <f aca="false">IF(A406="","",IF(AND(L406&gt;=0,L406&lt;=Ayarlar!$B$9),"Evet",""))</f>
        <v/>
      </c>
      <c r="S406" s="16" t="str">
        <f aca="false">IF(A406="","",IF(N406="","Yeni personel",IF(P406&lt;0,"Kontrol et","")))</f>
        <v/>
      </c>
      <c r="T406" s="14" t="str">
        <f aca="false">IF(A406="","",IF(AND(G406=1,M406&gt;=Ayarlar!$B$6,OR(Ayarlar!$B$11="Tümü",C406=Ayarlar!$B$11)),M406+ROW()/100000,""))</f>
        <v/>
      </c>
    </row>
    <row r="407" customFormat="false" ht="15" hidden="false" customHeight="false" outlineLevel="0" collapsed="false">
      <c r="A407" s="18" t="str">
        <f aca="false">IF(Veri_Guncel!A407="","",Veri_Guncel!A407)</f>
        <v/>
      </c>
      <c r="B407" s="18" t="str">
        <f aca="false">IF($A407="","",Veri_Guncel!B407)</f>
        <v/>
      </c>
      <c r="C407" s="18" t="str">
        <f aca="false">IF($A407="","",Veri_Guncel!C407)</f>
        <v/>
      </c>
      <c r="D407" s="18" t="str">
        <f aca="false">IF($A407="","",Veri_Guncel!D407)</f>
        <v/>
      </c>
      <c r="E407" s="19" t="str">
        <f aca="false">IF($A407="","",Veri_Guncel!E407)</f>
        <v/>
      </c>
      <c r="F407" s="19" t="str">
        <f aca="false">IF($A407="","",Veri_Guncel!F407)</f>
        <v/>
      </c>
      <c r="G407" s="14" t="str">
        <f aca="false">IF(A407="","",IF(COUNTIF(Ayarlar!$A$15:$A$20,C407)&gt;0,1,0))</f>
        <v/>
      </c>
      <c r="H407" s="14" t="str">
        <f aca="false">IF(A407="","",DATEDIF(E407,Ayarlar!$B$3,"y"))</f>
        <v/>
      </c>
      <c r="I407" s="14" t="str">
        <f aca="false">IF(OR(A407="",F407=""),"",DATEDIF(F407,Ayarlar!$B$3,"y"))</f>
        <v/>
      </c>
      <c r="J407" s="14" t="str">
        <f aca="false">IF(A407="","",IF(H407&lt;1,0,MAX(IF(H407&lt;5,14,IF(H407&lt;15,20,26)),IF(AND(I407&lt;&gt;"",OR(I407&lt;=18,I407&gt;=50)),20,0))))</f>
        <v/>
      </c>
      <c r="K407" s="17" t="str">
        <f aca="false">IF(A407="","",EDATE(E407,12*(H407+1)))</f>
        <v/>
      </c>
      <c r="L407" s="14" t="str">
        <f aca="false">IF(A407="","",K407-Ayarlar!$B$3)</f>
        <v/>
      </c>
      <c r="M407" s="18" t="str">
        <f aca="false">IF(A407="","",Veri_Guncel!H407)</f>
        <v/>
      </c>
      <c r="N407" s="18" t="str">
        <f aca="false">IF(A407="","",IFERROR(INDEX(Veri_Onceki!$H:$H,MATCH(A407,Veri_Onceki!$A:$A,0)),""))</f>
        <v/>
      </c>
      <c r="O407" s="14" t="str">
        <f aca="false">IF(A407="","",IF(AND(H407&gt;=1,EDATE(E407,12*H407)&gt;Ayarlar!$B$4,EDATE(E407,12*H407)&lt;=Ayarlar!$B$3),J407,0))</f>
        <v/>
      </c>
      <c r="P407" s="14" t="str">
        <f aca="false">IF(OR(A407="",N407=""),"",N407+O407-M407)</f>
        <v/>
      </c>
      <c r="Q407" s="16" t="str">
        <f aca="false">IF(A407="","",IF(M407&gt;=Ayarlar!$B$7,"ALARM",IF(M407&gt;=Ayarlar!$B$6,"Planla","")))</f>
        <v/>
      </c>
      <c r="R407" s="14" t="str">
        <f aca="false">IF(A407="","",IF(AND(L407&gt;=0,L407&lt;=Ayarlar!$B$9),"Evet",""))</f>
        <v/>
      </c>
      <c r="S407" s="16" t="str">
        <f aca="false">IF(A407="","",IF(N407="","Yeni personel",IF(P407&lt;0,"Kontrol et","")))</f>
        <v/>
      </c>
      <c r="T407" s="14" t="str">
        <f aca="false">IF(A407="","",IF(AND(G407=1,M407&gt;=Ayarlar!$B$6,OR(Ayarlar!$B$11="Tümü",C407=Ayarlar!$B$11)),M407+ROW()/100000,""))</f>
        <v/>
      </c>
    </row>
    <row r="408" customFormat="false" ht="15" hidden="false" customHeight="false" outlineLevel="0" collapsed="false">
      <c r="A408" s="18" t="str">
        <f aca="false">IF(Veri_Guncel!A408="","",Veri_Guncel!A408)</f>
        <v/>
      </c>
      <c r="B408" s="18" t="str">
        <f aca="false">IF($A408="","",Veri_Guncel!B408)</f>
        <v/>
      </c>
      <c r="C408" s="18" t="str">
        <f aca="false">IF($A408="","",Veri_Guncel!C408)</f>
        <v/>
      </c>
      <c r="D408" s="18" t="str">
        <f aca="false">IF($A408="","",Veri_Guncel!D408)</f>
        <v/>
      </c>
      <c r="E408" s="19" t="str">
        <f aca="false">IF($A408="","",Veri_Guncel!E408)</f>
        <v/>
      </c>
      <c r="F408" s="19" t="str">
        <f aca="false">IF($A408="","",Veri_Guncel!F408)</f>
        <v/>
      </c>
      <c r="G408" s="14" t="str">
        <f aca="false">IF(A408="","",IF(COUNTIF(Ayarlar!$A$15:$A$20,C408)&gt;0,1,0))</f>
        <v/>
      </c>
      <c r="H408" s="14" t="str">
        <f aca="false">IF(A408="","",DATEDIF(E408,Ayarlar!$B$3,"y"))</f>
        <v/>
      </c>
      <c r="I408" s="14" t="str">
        <f aca="false">IF(OR(A408="",F408=""),"",DATEDIF(F408,Ayarlar!$B$3,"y"))</f>
        <v/>
      </c>
      <c r="J408" s="14" t="str">
        <f aca="false">IF(A408="","",IF(H408&lt;1,0,MAX(IF(H408&lt;5,14,IF(H408&lt;15,20,26)),IF(AND(I408&lt;&gt;"",OR(I408&lt;=18,I408&gt;=50)),20,0))))</f>
        <v/>
      </c>
      <c r="K408" s="17" t="str">
        <f aca="false">IF(A408="","",EDATE(E408,12*(H408+1)))</f>
        <v/>
      </c>
      <c r="L408" s="14" t="str">
        <f aca="false">IF(A408="","",K408-Ayarlar!$B$3)</f>
        <v/>
      </c>
      <c r="M408" s="18" t="str">
        <f aca="false">IF(A408="","",Veri_Guncel!H408)</f>
        <v/>
      </c>
      <c r="N408" s="18" t="str">
        <f aca="false">IF(A408="","",IFERROR(INDEX(Veri_Onceki!$H:$H,MATCH(A408,Veri_Onceki!$A:$A,0)),""))</f>
        <v/>
      </c>
      <c r="O408" s="14" t="str">
        <f aca="false">IF(A408="","",IF(AND(H408&gt;=1,EDATE(E408,12*H408)&gt;Ayarlar!$B$4,EDATE(E408,12*H408)&lt;=Ayarlar!$B$3),J408,0))</f>
        <v/>
      </c>
      <c r="P408" s="14" t="str">
        <f aca="false">IF(OR(A408="",N408=""),"",N408+O408-M408)</f>
        <v/>
      </c>
      <c r="Q408" s="16" t="str">
        <f aca="false">IF(A408="","",IF(M408&gt;=Ayarlar!$B$7,"ALARM",IF(M408&gt;=Ayarlar!$B$6,"Planla","")))</f>
        <v/>
      </c>
      <c r="R408" s="14" t="str">
        <f aca="false">IF(A408="","",IF(AND(L408&gt;=0,L408&lt;=Ayarlar!$B$9),"Evet",""))</f>
        <v/>
      </c>
      <c r="S408" s="16" t="str">
        <f aca="false">IF(A408="","",IF(N408="","Yeni personel",IF(P408&lt;0,"Kontrol et","")))</f>
        <v/>
      </c>
      <c r="T408" s="14" t="str">
        <f aca="false">IF(A408="","",IF(AND(G408=1,M408&gt;=Ayarlar!$B$6,OR(Ayarlar!$B$11="Tümü",C408=Ayarlar!$B$11)),M408+ROW()/100000,""))</f>
        <v/>
      </c>
    </row>
    <row r="409" customFormat="false" ht="15" hidden="false" customHeight="false" outlineLevel="0" collapsed="false">
      <c r="A409" s="18" t="str">
        <f aca="false">IF(Veri_Guncel!A409="","",Veri_Guncel!A409)</f>
        <v/>
      </c>
      <c r="B409" s="18" t="str">
        <f aca="false">IF($A409="","",Veri_Guncel!B409)</f>
        <v/>
      </c>
      <c r="C409" s="18" t="str">
        <f aca="false">IF($A409="","",Veri_Guncel!C409)</f>
        <v/>
      </c>
      <c r="D409" s="18" t="str">
        <f aca="false">IF($A409="","",Veri_Guncel!D409)</f>
        <v/>
      </c>
      <c r="E409" s="19" t="str">
        <f aca="false">IF($A409="","",Veri_Guncel!E409)</f>
        <v/>
      </c>
      <c r="F409" s="19" t="str">
        <f aca="false">IF($A409="","",Veri_Guncel!F409)</f>
        <v/>
      </c>
      <c r="G409" s="14" t="str">
        <f aca="false">IF(A409="","",IF(COUNTIF(Ayarlar!$A$15:$A$20,C409)&gt;0,1,0))</f>
        <v/>
      </c>
      <c r="H409" s="14" t="str">
        <f aca="false">IF(A409="","",DATEDIF(E409,Ayarlar!$B$3,"y"))</f>
        <v/>
      </c>
      <c r="I409" s="14" t="str">
        <f aca="false">IF(OR(A409="",F409=""),"",DATEDIF(F409,Ayarlar!$B$3,"y"))</f>
        <v/>
      </c>
      <c r="J409" s="14" t="str">
        <f aca="false">IF(A409="","",IF(H409&lt;1,0,MAX(IF(H409&lt;5,14,IF(H409&lt;15,20,26)),IF(AND(I409&lt;&gt;"",OR(I409&lt;=18,I409&gt;=50)),20,0))))</f>
        <v/>
      </c>
      <c r="K409" s="17" t="str">
        <f aca="false">IF(A409="","",EDATE(E409,12*(H409+1)))</f>
        <v/>
      </c>
      <c r="L409" s="14" t="str">
        <f aca="false">IF(A409="","",K409-Ayarlar!$B$3)</f>
        <v/>
      </c>
      <c r="M409" s="18" t="str">
        <f aca="false">IF(A409="","",Veri_Guncel!H409)</f>
        <v/>
      </c>
      <c r="N409" s="18" t="str">
        <f aca="false">IF(A409="","",IFERROR(INDEX(Veri_Onceki!$H:$H,MATCH(A409,Veri_Onceki!$A:$A,0)),""))</f>
        <v/>
      </c>
      <c r="O409" s="14" t="str">
        <f aca="false">IF(A409="","",IF(AND(H409&gt;=1,EDATE(E409,12*H409)&gt;Ayarlar!$B$4,EDATE(E409,12*H409)&lt;=Ayarlar!$B$3),J409,0))</f>
        <v/>
      </c>
      <c r="P409" s="14" t="str">
        <f aca="false">IF(OR(A409="",N409=""),"",N409+O409-M409)</f>
        <v/>
      </c>
      <c r="Q409" s="16" t="str">
        <f aca="false">IF(A409="","",IF(M409&gt;=Ayarlar!$B$7,"ALARM",IF(M409&gt;=Ayarlar!$B$6,"Planla","")))</f>
        <v/>
      </c>
      <c r="R409" s="14" t="str">
        <f aca="false">IF(A409="","",IF(AND(L409&gt;=0,L409&lt;=Ayarlar!$B$9),"Evet",""))</f>
        <v/>
      </c>
      <c r="S409" s="16" t="str">
        <f aca="false">IF(A409="","",IF(N409="","Yeni personel",IF(P409&lt;0,"Kontrol et","")))</f>
        <v/>
      </c>
      <c r="T409" s="14" t="str">
        <f aca="false">IF(A409="","",IF(AND(G409=1,M409&gt;=Ayarlar!$B$6,OR(Ayarlar!$B$11="Tümü",C409=Ayarlar!$B$11)),M409+ROW()/100000,""))</f>
        <v/>
      </c>
    </row>
    <row r="410" customFormat="false" ht="15" hidden="false" customHeight="false" outlineLevel="0" collapsed="false">
      <c r="A410" s="18" t="str">
        <f aca="false">IF(Veri_Guncel!A410="","",Veri_Guncel!A410)</f>
        <v/>
      </c>
      <c r="B410" s="18" t="str">
        <f aca="false">IF($A410="","",Veri_Guncel!B410)</f>
        <v/>
      </c>
      <c r="C410" s="18" t="str">
        <f aca="false">IF($A410="","",Veri_Guncel!C410)</f>
        <v/>
      </c>
      <c r="D410" s="18" t="str">
        <f aca="false">IF($A410="","",Veri_Guncel!D410)</f>
        <v/>
      </c>
      <c r="E410" s="19" t="str">
        <f aca="false">IF($A410="","",Veri_Guncel!E410)</f>
        <v/>
      </c>
      <c r="F410" s="19" t="str">
        <f aca="false">IF($A410="","",Veri_Guncel!F410)</f>
        <v/>
      </c>
      <c r="G410" s="14" t="str">
        <f aca="false">IF(A410="","",IF(COUNTIF(Ayarlar!$A$15:$A$20,C410)&gt;0,1,0))</f>
        <v/>
      </c>
      <c r="H410" s="14" t="str">
        <f aca="false">IF(A410="","",DATEDIF(E410,Ayarlar!$B$3,"y"))</f>
        <v/>
      </c>
      <c r="I410" s="14" t="str">
        <f aca="false">IF(OR(A410="",F410=""),"",DATEDIF(F410,Ayarlar!$B$3,"y"))</f>
        <v/>
      </c>
      <c r="J410" s="14" t="str">
        <f aca="false">IF(A410="","",IF(H410&lt;1,0,MAX(IF(H410&lt;5,14,IF(H410&lt;15,20,26)),IF(AND(I410&lt;&gt;"",OR(I410&lt;=18,I410&gt;=50)),20,0))))</f>
        <v/>
      </c>
      <c r="K410" s="17" t="str">
        <f aca="false">IF(A410="","",EDATE(E410,12*(H410+1)))</f>
        <v/>
      </c>
      <c r="L410" s="14" t="str">
        <f aca="false">IF(A410="","",K410-Ayarlar!$B$3)</f>
        <v/>
      </c>
      <c r="M410" s="18" t="str">
        <f aca="false">IF(A410="","",Veri_Guncel!H410)</f>
        <v/>
      </c>
      <c r="N410" s="18" t="str">
        <f aca="false">IF(A410="","",IFERROR(INDEX(Veri_Onceki!$H:$H,MATCH(A410,Veri_Onceki!$A:$A,0)),""))</f>
        <v/>
      </c>
      <c r="O410" s="14" t="str">
        <f aca="false">IF(A410="","",IF(AND(H410&gt;=1,EDATE(E410,12*H410)&gt;Ayarlar!$B$4,EDATE(E410,12*H410)&lt;=Ayarlar!$B$3),J410,0))</f>
        <v/>
      </c>
      <c r="P410" s="14" t="str">
        <f aca="false">IF(OR(A410="",N410=""),"",N410+O410-M410)</f>
        <v/>
      </c>
      <c r="Q410" s="16" t="str">
        <f aca="false">IF(A410="","",IF(M410&gt;=Ayarlar!$B$7,"ALARM",IF(M410&gt;=Ayarlar!$B$6,"Planla","")))</f>
        <v/>
      </c>
      <c r="R410" s="14" t="str">
        <f aca="false">IF(A410="","",IF(AND(L410&gt;=0,L410&lt;=Ayarlar!$B$9),"Evet",""))</f>
        <v/>
      </c>
      <c r="S410" s="16" t="str">
        <f aca="false">IF(A410="","",IF(N410="","Yeni personel",IF(P410&lt;0,"Kontrol et","")))</f>
        <v/>
      </c>
      <c r="T410" s="14" t="str">
        <f aca="false">IF(A410="","",IF(AND(G410=1,M410&gt;=Ayarlar!$B$6,OR(Ayarlar!$B$11="Tümü",C410=Ayarlar!$B$11)),M410+ROW()/100000,""))</f>
        <v/>
      </c>
    </row>
    <row r="411" customFormat="false" ht="15" hidden="false" customHeight="false" outlineLevel="0" collapsed="false">
      <c r="A411" s="18" t="str">
        <f aca="false">IF(Veri_Guncel!A411="","",Veri_Guncel!A411)</f>
        <v/>
      </c>
      <c r="B411" s="18" t="str">
        <f aca="false">IF($A411="","",Veri_Guncel!B411)</f>
        <v/>
      </c>
      <c r="C411" s="18" t="str">
        <f aca="false">IF($A411="","",Veri_Guncel!C411)</f>
        <v/>
      </c>
      <c r="D411" s="18" t="str">
        <f aca="false">IF($A411="","",Veri_Guncel!D411)</f>
        <v/>
      </c>
      <c r="E411" s="19" t="str">
        <f aca="false">IF($A411="","",Veri_Guncel!E411)</f>
        <v/>
      </c>
      <c r="F411" s="19" t="str">
        <f aca="false">IF($A411="","",Veri_Guncel!F411)</f>
        <v/>
      </c>
      <c r="G411" s="14" t="str">
        <f aca="false">IF(A411="","",IF(COUNTIF(Ayarlar!$A$15:$A$20,C411)&gt;0,1,0))</f>
        <v/>
      </c>
      <c r="H411" s="14" t="str">
        <f aca="false">IF(A411="","",DATEDIF(E411,Ayarlar!$B$3,"y"))</f>
        <v/>
      </c>
      <c r="I411" s="14" t="str">
        <f aca="false">IF(OR(A411="",F411=""),"",DATEDIF(F411,Ayarlar!$B$3,"y"))</f>
        <v/>
      </c>
      <c r="J411" s="14" t="str">
        <f aca="false">IF(A411="","",IF(H411&lt;1,0,MAX(IF(H411&lt;5,14,IF(H411&lt;15,20,26)),IF(AND(I411&lt;&gt;"",OR(I411&lt;=18,I411&gt;=50)),20,0))))</f>
        <v/>
      </c>
      <c r="K411" s="17" t="str">
        <f aca="false">IF(A411="","",EDATE(E411,12*(H411+1)))</f>
        <v/>
      </c>
      <c r="L411" s="14" t="str">
        <f aca="false">IF(A411="","",K411-Ayarlar!$B$3)</f>
        <v/>
      </c>
      <c r="M411" s="18" t="str">
        <f aca="false">IF(A411="","",Veri_Guncel!H411)</f>
        <v/>
      </c>
      <c r="N411" s="18" t="str">
        <f aca="false">IF(A411="","",IFERROR(INDEX(Veri_Onceki!$H:$H,MATCH(A411,Veri_Onceki!$A:$A,0)),""))</f>
        <v/>
      </c>
      <c r="O411" s="14" t="str">
        <f aca="false">IF(A411="","",IF(AND(H411&gt;=1,EDATE(E411,12*H411)&gt;Ayarlar!$B$4,EDATE(E411,12*H411)&lt;=Ayarlar!$B$3),J411,0))</f>
        <v/>
      </c>
      <c r="P411" s="14" t="str">
        <f aca="false">IF(OR(A411="",N411=""),"",N411+O411-M411)</f>
        <v/>
      </c>
      <c r="Q411" s="16" t="str">
        <f aca="false">IF(A411="","",IF(M411&gt;=Ayarlar!$B$7,"ALARM",IF(M411&gt;=Ayarlar!$B$6,"Planla","")))</f>
        <v/>
      </c>
      <c r="R411" s="14" t="str">
        <f aca="false">IF(A411="","",IF(AND(L411&gt;=0,L411&lt;=Ayarlar!$B$9),"Evet",""))</f>
        <v/>
      </c>
      <c r="S411" s="16" t="str">
        <f aca="false">IF(A411="","",IF(N411="","Yeni personel",IF(P411&lt;0,"Kontrol et","")))</f>
        <v/>
      </c>
      <c r="T411" s="14" t="str">
        <f aca="false">IF(A411="","",IF(AND(G411=1,M411&gt;=Ayarlar!$B$6,OR(Ayarlar!$B$11="Tümü",C411=Ayarlar!$B$11)),M411+ROW()/100000,""))</f>
        <v/>
      </c>
    </row>
    <row r="412" customFormat="false" ht="15" hidden="false" customHeight="false" outlineLevel="0" collapsed="false">
      <c r="A412" s="18" t="str">
        <f aca="false">IF(Veri_Guncel!A412="","",Veri_Guncel!A412)</f>
        <v/>
      </c>
      <c r="B412" s="18" t="str">
        <f aca="false">IF($A412="","",Veri_Guncel!B412)</f>
        <v/>
      </c>
      <c r="C412" s="18" t="str">
        <f aca="false">IF($A412="","",Veri_Guncel!C412)</f>
        <v/>
      </c>
      <c r="D412" s="18" t="str">
        <f aca="false">IF($A412="","",Veri_Guncel!D412)</f>
        <v/>
      </c>
      <c r="E412" s="19" t="str">
        <f aca="false">IF($A412="","",Veri_Guncel!E412)</f>
        <v/>
      </c>
      <c r="F412" s="19" t="str">
        <f aca="false">IF($A412="","",Veri_Guncel!F412)</f>
        <v/>
      </c>
      <c r="G412" s="14" t="str">
        <f aca="false">IF(A412="","",IF(COUNTIF(Ayarlar!$A$15:$A$20,C412)&gt;0,1,0))</f>
        <v/>
      </c>
      <c r="H412" s="14" t="str">
        <f aca="false">IF(A412="","",DATEDIF(E412,Ayarlar!$B$3,"y"))</f>
        <v/>
      </c>
      <c r="I412" s="14" t="str">
        <f aca="false">IF(OR(A412="",F412=""),"",DATEDIF(F412,Ayarlar!$B$3,"y"))</f>
        <v/>
      </c>
      <c r="J412" s="14" t="str">
        <f aca="false">IF(A412="","",IF(H412&lt;1,0,MAX(IF(H412&lt;5,14,IF(H412&lt;15,20,26)),IF(AND(I412&lt;&gt;"",OR(I412&lt;=18,I412&gt;=50)),20,0))))</f>
        <v/>
      </c>
      <c r="K412" s="17" t="str">
        <f aca="false">IF(A412="","",EDATE(E412,12*(H412+1)))</f>
        <v/>
      </c>
      <c r="L412" s="14" t="str">
        <f aca="false">IF(A412="","",K412-Ayarlar!$B$3)</f>
        <v/>
      </c>
      <c r="M412" s="18" t="str">
        <f aca="false">IF(A412="","",Veri_Guncel!H412)</f>
        <v/>
      </c>
      <c r="N412" s="18" t="str">
        <f aca="false">IF(A412="","",IFERROR(INDEX(Veri_Onceki!$H:$H,MATCH(A412,Veri_Onceki!$A:$A,0)),""))</f>
        <v/>
      </c>
      <c r="O412" s="14" t="str">
        <f aca="false">IF(A412="","",IF(AND(H412&gt;=1,EDATE(E412,12*H412)&gt;Ayarlar!$B$4,EDATE(E412,12*H412)&lt;=Ayarlar!$B$3),J412,0))</f>
        <v/>
      </c>
      <c r="P412" s="14" t="str">
        <f aca="false">IF(OR(A412="",N412=""),"",N412+O412-M412)</f>
        <v/>
      </c>
      <c r="Q412" s="16" t="str">
        <f aca="false">IF(A412="","",IF(M412&gt;=Ayarlar!$B$7,"ALARM",IF(M412&gt;=Ayarlar!$B$6,"Planla","")))</f>
        <v/>
      </c>
      <c r="R412" s="14" t="str">
        <f aca="false">IF(A412="","",IF(AND(L412&gt;=0,L412&lt;=Ayarlar!$B$9),"Evet",""))</f>
        <v/>
      </c>
      <c r="S412" s="16" t="str">
        <f aca="false">IF(A412="","",IF(N412="","Yeni personel",IF(P412&lt;0,"Kontrol et","")))</f>
        <v/>
      </c>
      <c r="T412" s="14" t="str">
        <f aca="false">IF(A412="","",IF(AND(G412=1,M412&gt;=Ayarlar!$B$6,OR(Ayarlar!$B$11="Tümü",C412=Ayarlar!$B$11)),M412+ROW()/100000,""))</f>
        <v/>
      </c>
    </row>
    <row r="413" customFormat="false" ht="15" hidden="false" customHeight="false" outlineLevel="0" collapsed="false">
      <c r="A413" s="18" t="str">
        <f aca="false">IF(Veri_Guncel!A413="","",Veri_Guncel!A413)</f>
        <v/>
      </c>
      <c r="B413" s="18" t="str">
        <f aca="false">IF($A413="","",Veri_Guncel!B413)</f>
        <v/>
      </c>
      <c r="C413" s="18" t="str">
        <f aca="false">IF($A413="","",Veri_Guncel!C413)</f>
        <v/>
      </c>
      <c r="D413" s="18" t="str">
        <f aca="false">IF($A413="","",Veri_Guncel!D413)</f>
        <v/>
      </c>
      <c r="E413" s="19" t="str">
        <f aca="false">IF($A413="","",Veri_Guncel!E413)</f>
        <v/>
      </c>
      <c r="F413" s="19" t="str">
        <f aca="false">IF($A413="","",Veri_Guncel!F413)</f>
        <v/>
      </c>
      <c r="G413" s="14" t="str">
        <f aca="false">IF(A413="","",IF(COUNTIF(Ayarlar!$A$15:$A$20,C413)&gt;0,1,0))</f>
        <v/>
      </c>
      <c r="H413" s="14" t="str">
        <f aca="false">IF(A413="","",DATEDIF(E413,Ayarlar!$B$3,"y"))</f>
        <v/>
      </c>
      <c r="I413" s="14" t="str">
        <f aca="false">IF(OR(A413="",F413=""),"",DATEDIF(F413,Ayarlar!$B$3,"y"))</f>
        <v/>
      </c>
      <c r="J413" s="14" t="str">
        <f aca="false">IF(A413="","",IF(H413&lt;1,0,MAX(IF(H413&lt;5,14,IF(H413&lt;15,20,26)),IF(AND(I413&lt;&gt;"",OR(I413&lt;=18,I413&gt;=50)),20,0))))</f>
        <v/>
      </c>
      <c r="K413" s="17" t="str">
        <f aca="false">IF(A413="","",EDATE(E413,12*(H413+1)))</f>
        <v/>
      </c>
      <c r="L413" s="14" t="str">
        <f aca="false">IF(A413="","",K413-Ayarlar!$B$3)</f>
        <v/>
      </c>
      <c r="M413" s="18" t="str">
        <f aca="false">IF(A413="","",Veri_Guncel!H413)</f>
        <v/>
      </c>
      <c r="N413" s="18" t="str">
        <f aca="false">IF(A413="","",IFERROR(INDEX(Veri_Onceki!$H:$H,MATCH(A413,Veri_Onceki!$A:$A,0)),""))</f>
        <v/>
      </c>
      <c r="O413" s="14" t="str">
        <f aca="false">IF(A413="","",IF(AND(H413&gt;=1,EDATE(E413,12*H413)&gt;Ayarlar!$B$4,EDATE(E413,12*H413)&lt;=Ayarlar!$B$3),J413,0))</f>
        <v/>
      </c>
      <c r="P413" s="14" t="str">
        <f aca="false">IF(OR(A413="",N413=""),"",N413+O413-M413)</f>
        <v/>
      </c>
      <c r="Q413" s="16" t="str">
        <f aca="false">IF(A413="","",IF(M413&gt;=Ayarlar!$B$7,"ALARM",IF(M413&gt;=Ayarlar!$B$6,"Planla","")))</f>
        <v/>
      </c>
      <c r="R413" s="14" t="str">
        <f aca="false">IF(A413="","",IF(AND(L413&gt;=0,L413&lt;=Ayarlar!$B$9),"Evet",""))</f>
        <v/>
      </c>
      <c r="S413" s="16" t="str">
        <f aca="false">IF(A413="","",IF(N413="","Yeni personel",IF(P413&lt;0,"Kontrol et","")))</f>
        <v/>
      </c>
      <c r="T413" s="14" t="str">
        <f aca="false">IF(A413="","",IF(AND(G413=1,M413&gt;=Ayarlar!$B$6,OR(Ayarlar!$B$11="Tümü",C413=Ayarlar!$B$11)),M413+ROW()/100000,""))</f>
        <v/>
      </c>
    </row>
    <row r="414" customFormat="false" ht="15" hidden="false" customHeight="false" outlineLevel="0" collapsed="false">
      <c r="A414" s="18" t="str">
        <f aca="false">IF(Veri_Guncel!A414="","",Veri_Guncel!A414)</f>
        <v/>
      </c>
      <c r="B414" s="18" t="str">
        <f aca="false">IF($A414="","",Veri_Guncel!B414)</f>
        <v/>
      </c>
      <c r="C414" s="18" t="str">
        <f aca="false">IF($A414="","",Veri_Guncel!C414)</f>
        <v/>
      </c>
      <c r="D414" s="18" t="str">
        <f aca="false">IF($A414="","",Veri_Guncel!D414)</f>
        <v/>
      </c>
      <c r="E414" s="19" t="str">
        <f aca="false">IF($A414="","",Veri_Guncel!E414)</f>
        <v/>
      </c>
      <c r="F414" s="19" t="str">
        <f aca="false">IF($A414="","",Veri_Guncel!F414)</f>
        <v/>
      </c>
      <c r="G414" s="14" t="str">
        <f aca="false">IF(A414="","",IF(COUNTIF(Ayarlar!$A$15:$A$20,C414)&gt;0,1,0))</f>
        <v/>
      </c>
      <c r="H414" s="14" t="str">
        <f aca="false">IF(A414="","",DATEDIF(E414,Ayarlar!$B$3,"y"))</f>
        <v/>
      </c>
      <c r="I414" s="14" t="str">
        <f aca="false">IF(OR(A414="",F414=""),"",DATEDIF(F414,Ayarlar!$B$3,"y"))</f>
        <v/>
      </c>
      <c r="J414" s="14" t="str">
        <f aca="false">IF(A414="","",IF(H414&lt;1,0,MAX(IF(H414&lt;5,14,IF(H414&lt;15,20,26)),IF(AND(I414&lt;&gt;"",OR(I414&lt;=18,I414&gt;=50)),20,0))))</f>
        <v/>
      </c>
      <c r="K414" s="17" t="str">
        <f aca="false">IF(A414="","",EDATE(E414,12*(H414+1)))</f>
        <v/>
      </c>
      <c r="L414" s="14" t="str">
        <f aca="false">IF(A414="","",K414-Ayarlar!$B$3)</f>
        <v/>
      </c>
      <c r="M414" s="18" t="str">
        <f aca="false">IF(A414="","",Veri_Guncel!H414)</f>
        <v/>
      </c>
      <c r="N414" s="18" t="str">
        <f aca="false">IF(A414="","",IFERROR(INDEX(Veri_Onceki!$H:$H,MATCH(A414,Veri_Onceki!$A:$A,0)),""))</f>
        <v/>
      </c>
      <c r="O414" s="14" t="str">
        <f aca="false">IF(A414="","",IF(AND(H414&gt;=1,EDATE(E414,12*H414)&gt;Ayarlar!$B$4,EDATE(E414,12*H414)&lt;=Ayarlar!$B$3),J414,0))</f>
        <v/>
      </c>
      <c r="P414" s="14" t="str">
        <f aca="false">IF(OR(A414="",N414=""),"",N414+O414-M414)</f>
        <v/>
      </c>
      <c r="Q414" s="16" t="str">
        <f aca="false">IF(A414="","",IF(M414&gt;=Ayarlar!$B$7,"ALARM",IF(M414&gt;=Ayarlar!$B$6,"Planla","")))</f>
        <v/>
      </c>
      <c r="R414" s="14" t="str">
        <f aca="false">IF(A414="","",IF(AND(L414&gt;=0,L414&lt;=Ayarlar!$B$9),"Evet",""))</f>
        <v/>
      </c>
      <c r="S414" s="16" t="str">
        <f aca="false">IF(A414="","",IF(N414="","Yeni personel",IF(P414&lt;0,"Kontrol et","")))</f>
        <v/>
      </c>
      <c r="T414" s="14" t="str">
        <f aca="false">IF(A414="","",IF(AND(G414=1,M414&gt;=Ayarlar!$B$6,OR(Ayarlar!$B$11="Tümü",C414=Ayarlar!$B$11)),M414+ROW()/100000,""))</f>
        <v/>
      </c>
    </row>
    <row r="415" customFormat="false" ht="15" hidden="false" customHeight="false" outlineLevel="0" collapsed="false">
      <c r="A415" s="18" t="str">
        <f aca="false">IF(Veri_Guncel!A415="","",Veri_Guncel!A415)</f>
        <v/>
      </c>
      <c r="B415" s="18" t="str">
        <f aca="false">IF($A415="","",Veri_Guncel!B415)</f>
        <v/>
      </c>
      <c r="C415" s="18" t="str">
        <f aca="false">IF($A415="","",Veri_Guncel!C415)</f>
        <v/>
      </c>
      <c r="D415" s="18" t="str">
        <f aca="false">IF($A415="","",Veri_Guncel!D415)</f>
        <v/>
      </c>
      <c r="E415" s="19" t="str">
        <f aca="false">IF($A415="","",Veri_Guncel!E415)</f>
        <v/>
      </c>
      <c r="F415" s="19" t="str">
        <f aca="false">IF($A415="","",Veri_Guncel!F415)</f>
        <v/>
      </c>
      <c r="G415" s="14" t="str">
        <f aca="false">IF(A415="","",IF(COUNTIF(Ayarlar!$A$15:$A$20,C415)&gt;0,1,0))</f>
        <v/>
      </c>
      <c r="H415" s="14" t="str">
        <f aca="false">IF(A415="","",DATEDIF(E415,Ayarlar!$B$3,"y"))</f>
        <v/>
      </c>
      <c r="I415" s="14" t="str">
        <f aca="false">IF(OR(A415="",F415=""),"",DATEDIF(F415,Ayarlar!$B$3,"y"))</f>
        <v/>
      </c>
      <c r="J415" s="14" t="str">
        <f aca="false">IF(A415="","",IF(H415&lt;1,0,MAX(IF(H415&lt;5,14,IF(H415&lt;15,20,26)),IF(AND(I415&lt;&gt;"",OR(I415&lt;=18,I415&gt;=50)),20,0))))</f>
        <v/>
      </c>
      <c r="K415" s="17" t="str">
        <f aca="false">IF(A415="","",EDATE(E415,12*(H415+1)))</f>
        <v/>
      </c>
      <c r="L415" s="14" t="str">
        <f aca="false">IF(A415="","",K415-Ayarlar!$B$3)</f>
        <v/>
      </c>
      <c r="M415" s="18" t="str">
        <f aca="false">IF(A415="","",Veri_Guncel!H415)</f>
        <v/>
      </c>
      <c r="N415" s="18" t="str">
        <f aca="false">IF(A415="","",IFERROR(INDEX(Veri_Onceki!$H:$H,MATCH(A415,Veri_Onceki!$A:$A,0)),""))</f>
        <v/>
      </c>
      <c r="O415" s="14" t="str">
        <f aca="false">IF(A415="","",IF(AND(H415&gt;=1,EDATE(E415,12*H415)&gt;Ayarlar!$B$4,EDATE(E415,12*H415)&lt;=Ayarlar!$B$3),J415,0))</f>
        <v/>
      </c>
      <c r="P415" s="14" t="str">
        <f aca="false">IF(OR(A415="",N415=""),"",N415+O415-M415)</f>
        <v/>
      </c>
      <c r="Q415" s="16" t="str">
        <f aca="false">IF(A415="","",IF(M415&gt;=Ayarlar!$B$7,"ALARM",IF(M415&gt;=Ayarlar!$B$6,"Planla","")))</f>
        <v/>
      </c>
      <c r="R415" s="14" t="str">
        <f aca="false">IF(A415="","",IF(AND(L415&gt;=0,L415&lt;=Ayarlar!$B$9),"Evet",""))</f>
        <v/>
      </c>
      <c r="S415" s="16" t="str">
        <f aca="false">IF(A415="","",IF(N415="","Yeni personel",IF(P415&lt;0,"Kontrol et","")))</f>
        <v/>
      </c>
      <c r="T415" s="14" t="str">
        <f aca="false">IF(A415="","",IF(AND(G415=1,M415&gt;=Ayarlar!$B$6,OR(Ayarlar!$B$11="Tümü",C415=Ayarlar!$B$11)),M415+ROW()/100000,""))</f>
        <v/>
      </c>
    </row>
    <row r="416" customFormat="false" ht="15" hidden="false" customHeight="false" outlineLevel="0" collapsed="false">
      <c r="A416" s="18" t="str">
        <f aca="false">IF(Veri_Guncel!A416="","",Veri_Guncel!A416)</f>
        <v/>
      </c>
      <c r="B416" s="18" t="str">
        <f aca="false">IF($A416="","",Veri_Guncel!B416)</f>
        <v/>
      </c>
      <c r="C416" s="18" t="str">
        <f aca="false">IF($A416="","",Veri_Guncel!C416)</f>
        <v/>
      </c>
      <c r="D416" s="18" t="str">
        <f aca="false">IF($A416="","",Veri_Guncel!D416)</f>
        <v/>
      </c>
      <c r="E416" s="19" t="str">
        <f aca="false">IF($A416="","",Veri_Guncel!E416)</f>
        <v/>
      </c>
      <c r="F416" s="19" t="str">
        <f aca="false">IF($A416="","",Veri_Guncel!F416)</f>
        <v/>
      </c>
      <c r="G416" s="14" t="str">
        <f aca="false">IF(A416="","",IF(COUNTIF(Ayarlar!$A$15:$A$20,C416)&gt;0,1,0))</f>
        <v/>
      </c>
      <c r="H416" s="14" t="str">
        <f aca="false">IF(A416="","",DATEDIF(E416,Ayarlar!$B$3,"y"))</f>
        <v/>
      </c>
      <c r="I416" s="14" t="str">
        <f aca="false">IF(OR(A416="",F416=""),"",DATEDIF(F416,Ayarlar!$B$3,"y"))</f>
        <v/>
      </c>
      <c r="J416" s="14" t="str">
        <f aca="false">IF(A416="","",IF(H416&lt;1,0,MAX(IF(H416&lt;5,14,IF(H416&lt;15,20,26)),IF(AND(I416&lt;&gt;"",OR(I416&lt;=18,I416&gt;=50)),20,0))))</f>
        <v/>
      </c>
      <c r="K416" s="17" t="str">
        <f aca="false">IF(A416="","",EDATE(E416,12*(H416+1)))</f>
        <v/>
      </c>
      <c r="L416" s="14" t="str">
        <f aca="false">IF(A416="","",K416-Ayarlar!$B$3)</f>
        <v/>
      </c>
      <c r="M416" s="18" t="str">
        <f aca="false">IF(A416="","",Veri_Guncel!H416)</f>
        <v/>
      </c>
      <c r="N416" s="18" t="str">
        <f aca="false">IF(A416="","",IFERROR(INDEX(Veri_Onceki!$H:$H,MATCH(A416,Veri_Onceki!$A:$A,0)),""))</f>
        <v/>
      </c>
      <c r="O416" s="14" t="str">
        <f aca="false">IF(A416="","",IF(AND(H416&gt;=1,EDATE(E416,12*H416)&gt;Ayarlar!$B$4,EDATE(E416,12*H416)&lt;=Ayarlar!$B$3),J416,0))</f>
        <v/>
      </c>
      <c r="P416" s="14" t="str">
        <f aca="false">IF(OR(A416="",N416=""),"",N416+O416-M416)</f>
        <v/>
      </c>
      <c r="Q416" s="16" t="str">
        <f aca="false">IF(A416="","",IF(M416&gt;=Ayarlar!$B$7,"ALARM",IF(M416&gt;=Ayarlar!$B$6,"Planla","")))</f>
        <v/>
      </c>
      <c r="R416" s="14" t="str">
        <f aca="false">IF(A416="","",IF(AND(L416&gt;=0,L416&lt;=Ayarlar!$B$9),"Evet",""))</f>
        <v/>
      </c>
      <c r="S416" s="16" t="str">
        <f aca="false">IF(A416="","",IF(N416="","Yeni personel",IF(P416&lt;0,"Kontrol et","")))</f>
        <v/>
      </c>
      <c r="T416" s="14" t="str">
        <f aca="false">IF(A416="","",IF(AND(G416=1,M416&gt;=Ayarlar!$B$6,OR(Ayarlar!$B$11="Tümü",C416=Ayarlar!$B$11)),M416+ROW()/100000,""))</f>
        <v/>
      </c>
    </row>
    <row r="417" customFormat="false" ht="15" hidden="false" customHeight="false" outlineLevel="0" collapsed="false">
      <c r="A417" s="18" t="str">
        <f aca="false">IF(Veri_Guncel!A417="","",Veri_Guncel!A417)</f>
        <v/>
      </c>
      <c r="B417" s="18" t="str">
        <f aca="false">IF($A417="","",Veri_Guncel!B417)</f>
        <v/>
      </c>
      <c r="C417" s="18" t="str">
        <f aca="false">IF($A417="","",Veri_Guncel!C417)</f>
        <v/>
      </c>
      <c r="D417" s="18" t="str">
        <f aca="false">IF($A417="","",Veri_Guncel!D417)</f>
        <v/>
      </c>
      <c r="E417" s="19" t="str">
        <f aca="false">IF($A417="","",Veri_Guncel!E417)</f>
        <v/>
      </c>
      <c r="F417" s="19" t="str">
        <f aca="false">IF($A417="","",Veri_Guncel!F417)</f>
        <v/>
      </c>
      <c r="G417" s="14" t="str">
        <f aca="false">IF(A417="","",IF(COUNTIF(Ayarlar!$A$15:$A$20,C417)&gt;0,1,0))</f>
        <v/>
      </c>
      <c r="H417" s="14" t="str">
        <f aca="false">IF(A417="","",DATEDIF(E417,Ayarlar!$B$3,"y"))</f>
        <v/>
      </c>
      <c r="I417" s="14" t="str">
        <f aca="false">IF(OR(A417="",F417=""),"",DATEDIF(F417,Ayarlar!$B$3,"y"))</f>
        <v/>
      </c>
      <c r="J417" s="14" t="str">
        <f aca="false">IF(A417="","",IF(H417&lt;1,0,MAX(IF(H417&lt;5,14,IF(H417&lt;15,20,26)),IF(AND(I417&lt;&gt;"",OR(I417&lt;=18,I417&gt;=50)),20,0))))</f>
        <v/>
      </c>
      <c r="K417" s="17" t="str">
        <f aca="false">IF(A417="","",EDATE(E417,12*(H417+1)))</f>
        <v/>
      </c>
      <c r="L417" s="14" t="str">
        <f aca="false">IF(A417="","",K417-Ayarlar!$B$3)</f>
        <v/>
      </c>
      <c r="M417" s="18" t="str">
        <f aca="false">IF(A417="","",Veri_Guncel!H417)</f>
        <v/>
      </c>
      <c r="N417" s="18" t="str">
        <f aca="false">IF(A417="","",IFERROR(INDEX(Veri_Onceki!$H:$H,MATCH(A417,Veri_Onceki!$A:$A,0)),""))</f>
        <v/>
      </c>
      <c r="O417" s="14" t="str">
        <f aca="false">IF(A417="","",IF(AND(H417&gt;=1,EDATE(E417,12*H417)&gt;Ayarlar!$B$4,EDATE(E417,12*H417)&lt;=Ayarlar!$B$3),J417,0))</f>
        <v/>
      </c>
      <c r="P417" s="14" t="str">
        <f aca="false">IF(OR(A417="",N417=""),"",N417+O417-M417)</f>
        <v/>
      </c>
      <c r="Q417" s="16" t="str">
        <f aca="false">IF(A417="","",IF(M417&gt;=Ayarlar!$B$7,"ALARM",IF(M417&gt;=Ayarlar!$B$6,"Planla","")))</f>
        <v/>
      </c>
      <c r="R417" s="14" t="str">
        <f aca="false">IF(A417="","",IF(AND(L417&gt;=0,L417&lt;=Ayarlar!$B$9),"Evet",""))</f>
        <v/>
      </c>
      <c r="S417" s="16" t="str">
        <f aca="false">IF(A417="","",IF(N417="","Yeni personel",IF(P417&lt;0,"Kontrol et","")))</f>
        <v/>
      </c>
      <c r="T417" s="14" t="str">
        <f aca="false">IF(A417="","",IF(AND(G417=1,M417&gt;=Ayarlar!$B$6,OR(Ayarlar!$B$11="Tümü",C417=Ayarlar!$B$11)),M417+ROW()/100000,""))</f>
        <v/>
      </c>
    </row>
    <row r="418" customFormat="false" ht="15" hidden="false" customHeight="false" outlineLevel="0" collapsed="false">
      <c r="A418" s="18" t="str">
        <f aca="false">IF(Veri_Guncel!A418="","",Veri_Guncel!A418)</f>
        <v/>
      </c>
      <c r="B418" s="18" t="str">
        <f aca="false">IF($A418="","",Veri_Guncel!B418)</f>
        <v/>
      </c>
      <c r="C418" s="18" t="str">
        <f aca="false">IF($A418="","",Veri_Guncel!C418)</f>
        <v/>
      </c>
      <c r="D418" s="18" t="str">
        <f aca="false">IF($A418="","",Veri_Guncel!D418)</f>
        <v/>
      </c>
      <c r="E418" s="19" t="str">
        <f aca="false">IF($A418="","",Veri_Guncel!E418)</f>
        <v/>
      </c>
      <c r="F418" s="19" t="str">
        <f aca="false">IF($A418="","",Veri_Guncel!F418)</f>
        <v/>
      </c>
      <c r="G418" s="14" t="str">
        <f aca="false">IF(A418="","",IF(COUNTIF(Ayarlar!$A$15:$A$20,C418)&gt;0,1,0))</f>
        <v/>
      </c>
      <c r="H418" s="14" t="str">
        <f aca="false">IF(A418="","",DATEDIF(E418,Ayarlar!$B$3,"y"))</f>
        <v/>
      </c>
      <c r="I418" s="14" t="str">
        <f aca="false">IF(OR(A418="",F418=""),"",DATEDIF(F418,Ayarlar!$B$3,"y"))</f>
        <v/>
      </c>
      <c r="J418" s="14" t="str">
        <f aca="false">IF(A418="","",IF(H418&lt;1,0,MAX(IF(H418&lt;5,14,IF(H418&lt;15,20,26)),IF(AND(I418&lt;&gt;"",OR(I418&lt;=18,I418&gt;=50)),20,0))))</f>
        <v/>
      </c>
      <c r="K418" s="17" t="str">
        <f aca="false">IF(A418="","",EDATE(E418,12*(H418+1)))</f>
        <v/>
      </c>
      <c r="L418" s="14" t="str">
        <f aca="false">IF(A418="","",K418-Ayarlar!$B$3)</f>
        <v/>
      </c>
      <c r="M418" s="18" t="str">
        <f aca="false">IF(A418="","",Veri_Guncel!H418)</f>
        <v/>
      </c>
      <c r="N418" s="18" t="str">
        <f aca="false">IF(A418="","",IFERROR(INDEX(Veri_Onceki!$H:$H,MATCH(A418,Veri_Onceki!$A:$A,0)),""))</f>
        <v/>
      </c>
      <c r="O418" s="14" t="str">
        <f aca="false">IF(A418="","",IF(AND(H418&gt;=1,EDATE(E418,12*H418)&gt;Ayarlar!$B$4,EDATE(E418,12*H418)&lt;=Ayarlar!$B$3),J418,0))</f>
        <v/>
      </c>
      <c r="P418" s="14" t="str">
        <f aca="false">IF(OR(A418="",N418=""),"",N418+O418-M418)</f>
        <v/>
      </c>
      <c r="Q418" s="16" t="str">
        <f aca="false">IF(A418="","",IF(M418&gt;=Ayarlar!$B$7,"ALARM",IF(M418&gt;=Ayarlar!$B$6,"Planla","")))</f>
        <v/>
      </c>
      <c r="R418" s="14" t="str">
        <f aca="false">IF(A418="","",IF(AND(L418&gt;=0,L418&lt;=Ayarlar!$B$9),"Evet",""))</f>
        <v/>
      </c>
      <c r="S418" s="16" t="str">
        <f aca="false">IF(A418="","",IF(N418="","Yeni personel",IF(P418&lt;0,"Kontrol et","")))</f>
        <v/>
      </c>
      <c r="T418" s="14" t="str">
        <f aca="false">IF(A418="","",IF(AND(G418=1,M418&gt;=Ayarlar!$B$6,OR(Ayarlar!$B$11="Tümü",C418=Ayarlar!$B$11)),M418+ROW()/100000,""))</f>
        <v/>
      </c>
    </row>
    <row r="419" customFormat="false" ht="15" hidden="false" customHeight="false" outlineLevel="0" collapsed="false">
      <c r="A419" s="18" t="str">
        <f aca="false">IF(Veri_Guncel!A419="","",Veri_Guncel!A419)</f>
        <v/>
      </c>
      <c r="B419" s="18" t="str">
        <f aca="false">IF($A419="","",Veri_Guncel!B419)</f>
        <v/>
      </c>
      <c r="C419" s="18" t="str">
        <f aca="false">IF($A419="","",Veri_Guncel!C419)</f>
        <v/>
      </c>
      <c r="D419" s="18" t="str">
        <f aca="false">IF($A419="","",Veri_Guncel!D419)</f>
        <v/>
      </c>
      <c r="E419" s="19" t="str">
        <f aca="false">IF($A419="","",Veri_Guncel!E419)</f>
        <v/>
      </c>
      <c r="F419" s="19" t="str">
        <f aca="false">IF($A419="","",Veri_Guncel!F419)</f>
        <v/>
      </c>
      <c r="G419" s="14" t="str">
        <f aca="false">IF(A419="","",IF(COUNTIF(Ayarlar!$A$15:$A$20,C419)&gt;0,1,0))</f>
        <v/>
      </c>
      <c r="H419" s="14" t="str">
        <f aca="false">IF(A419="","",DATEDIF(E419,Ayarlar!$B$3,"y"))</f>
        <v/>
      </c>
      <c r="I419" s="14" t="str">
        <f aca="false">IF(OR(A419="",F419=""),"",DATEDIF(F419,Ayarlar!$B$3,"y"))</f>
        <v/>
      </c>
      <c r="J419" s="14" t="str">
        <f aca="false">IF(A419="","",IF(H419&lt;1,0,MAX(IF(H419&lt;5,14,IF(H419&lt;15,20,26)),IF(AND(I419&lt;&gt;"",OR(I419&lt;=18,I419&gt;=50)),20,0))))</f>
        <v/>
      </c>
      <c r="K419" s="17" t="str">
        <f aca="false">IF(A419="","",EDATE(E419,12*(H419+1)))</f>
        <v/>
      </c>
      <c r="L419" s="14" t="str">
        <f aca="false">IF(A419="","",K419-Ayarlar!$B$3)</f>
        <v/>
      </c>
      <c r="M419" s="18" t="str">
        <f aca="false">IF(A419="","",Veri_Guncel!H419)</f>
        <v/>
      </c>
      <c r="N419" s="18" t="str">
        <f aca="false">IF(A419="","",IFERROR(INDEX(Veri_Onceki!$H:$H,MATCH(A419,Veri_Onceki!$A:$A,0)),""))</f>
        <v/>
      </c>
      <c r="O419" s="14" t="str">
        <f aca="false">IF(A419="","",IF(AND(H419&gt;=1,EDATE(E419,12*H419)&gt;Ayarlar!$B$4,EDATE(E419,12*H419)&lt;=Ayarlar!$B$3),J419,0))</f>
        <v/>
      </c>
      <c r="P419" s="14" t="str">
        <f aca="false">IF(OR(A419="",N419=""),"",N419+O419-M419)</f>
        <v/>
      </c>
      <c r="Q419" s="16" t="str">
        <f aca="false">IF(A419="","",IF(M419&gt;=Ayarlar!$B$7,"ALARM",IF(M419&gt;=Ayarlar!$B$6,"Planla","")))</f>
        <v/>
      </c>
      <c r="R419" s="14" t="str">
        <f aca="false">IF(A419="","",IF(AND(L419&gt;=0,L419&lt;=Ayarlar!$B$9),"Evet",""))</f>
        <v/>
      </c>
      <c r="S419" s="16" t="str">
        <f aca="false">IF(A419="","",IF(N419="","Yeni personel",IF(P419&lt;0,"Kontrol et","")))</f>
        <v/>
      </c>
      <c r="T419" s="14" t="str">
        <f aca="false">IF(A419="","",IF(AND(G419=1,M419&gt;=Ayarlar!$B$6,OR(Ayarlar!$B$11="Tümü",C419=Ayarlar!$B$11)),M419+ROW()/100000,""))</f>
        <v/>
      </c>
    </row>
    <row r="420" customFormat="false" ht="15" hidden="false" customHeight="false" outlineLevel="0" collapsed="false">
      <c r="A420" s="18" t="str">
        <f aca="false">IF(Veri_Guncel!A420="","",Veri_Guncel!A420)</f>
        <v/>
      </c>
      <c r="B420" s="18" t="str">
        <f aca="false">IF($A420="","",Veri_Guncel!B420)</f>
        <v/>
      </c>
      <c r="C420" s="18" t="str">
        <f aca="false">IF($A420="","",Veri_Guncel!C420)</f>
        <v/>
      </c>
      <c r="D420" s="18" t="str">
        <f aca="false">IF($A420="","",Veri_Guncel!D420)</f>
        <v/>
      </c>
      <c r="E420" s="19" t="str">
        <f aca="false">IF($A420="","",Veri_Guncel!E420)</f>
        <v/>
      </c>
      <c r="F420" s="19" t="str">
        <f aca="false">IF($A420="","",Veri_Guncel!F420)</f>
        <v/>
      </c>
      <c r="G420" s="14" t="str">
        <f aca="false">IF(A420="","",IF(COUNTIF(Ayarlar!$A$15:$A$20,C420)&gt;0,1,0))</f>
        <v/>
      </c>
      <c r="H420" s="14" t="str">
        <f aca="false">IF(A420="","",DATEDIF(E420,Ayarlar!$B$3,"y"))</f>
        <v/>
      </c>
      <c r="I420" s="14" t="str">
        <f aca="false">IF(OR(A420="",F420=""),"",DATEDIF(F420,Ayarlar!$B$3,"y"))</f>
        <v/>
      </c>
      <c r="J420" s="14" t="str">
        <f aca="false">IF(A420="","",IF(H420&lt;1,0,MAX(IF(H420&lt;5,14,IF(H420&lt;15,20,26)),IF(AND(I420&lt;&gt;"",OR(I420&lt;=18,I420&gt;=50)),20,0))))</f>
        <v/>
      </c>
      <c r="K420" s="17" t="str">
        <f aca="false">IF(A420="","",EDATE(E420,12*(H420+1)))</f>
        <v/>
      </c>
      <c r="L420" s="14" t="str">
        <f aca="false">IF(A420="","",K420-Ayarlar!$B$3)</f>
        <v/>
      </c>
      <c r="M420" s="18" t="str">
        <f aca="false">IF(A420="","",Veri_Guncel!H420)</f>
        <v/>
      </c>
      <c r="N420" s="18" t="str">
        <f aca="false">IF(A420="","",IFERROR(INDEX(Veri_Onceki!$H:$H,MATCH(A420,Veri_Onceki!$A:$A,0)),""))</f>
        <v/>
      </c>
      <c r="O420" s="14" t="str">
        <f aca="false">IF(A420="","",IF(AND(H420&gt;=1,EDATE(E420,12*H420)&gt;Ayarlar!$B$4,EDATE(E420,12*H420)&lt;=Ayarlar!$B$3),J420,0))</f>
        <v/>
      </c>
      <c r="P420" s="14" t="str">
        <f aca="false">IF(OR(A420="",N420=""),"",N420+O420-M420)</f>
        <v/>
      </c>
      <c r="Q420" s="16" t="str">
        <f aca="false">IF(A420="","",IF(M420&gt;=Ayarlar!$B$7,"ALARM",IF(M420&gt;=Ayarlar!$B$6,"Planla","")))</f>
        <v/>
      </c>
      <c r="R420" s="14" t="str">
        <f aca="false">IF(A420="","",IF(AND(L420&gt;=0,L420&lt;=Ayarlar!$B$9),"Evet",""))</f>
        <v/>
      </c>
      <c r="S420" s="16" t="str">
        <f aca="false">IF(A420="","",IF(N420="","Yeni personel",IF(P420&lt;0,"Kontrol et","")))</f>
        <v/>
      </c>
      <c r="T420" s="14" t="str">
        <f aca="false">IF(A420="","",IF(AND(G420=1,M420&gt;=Ayarlar!$B$6,OR(Ayarlar!$B$11="Tümü",C420=Ayarlar!$B$11)),M420+ROW()/100000,""))</f>
        <v/>
      </c>
    </row>
    <row r="421" customFormat="false" ht="15" hidden="false" customHeight="false" outlineLevel="0" collapsed="false">
      <c r="A421" s="18" t="str">
        <f aca="false">IF(Veri_Guncel!A421="","",Veri_Guncel!A421)</f>
        <v/>
      </c>
      <c r="B421" s="18" t="str">
        <f aca="false">IF($A421="","",Veri_Guncel!B421)</f>
        <v/>
      </c>
      <c r="C421" s="18" t="str">
        <f aca="false">IF($A421="","",Veri_Guncel!C421)</f>
        <v/>
      </c>
      <c r="D421" s="18" t="str">
        <f aca="false">IF($A421="","",Veri_Guncel!D421)</f>
        <v/>
      </c>
      <c r="E421" s="19" t="str">
        <f aca="false">IF($A421="","",Veri_Guncel!E421)</f>
        <v/>
      </c>
      <c r="F421" s="19" t="str">
        <f aca="false">IF($A421="","",Veri_Guncel!F421)</f>
        <v/>
      </c>
      <c r="G421" s="14" t="str">
        <f aca="false">IF(A421="","",IF(COUNTIF(Ayarlar!$A$15:$A$20,C421)&gt;0,1,0))</f>
        <v/>
      </c>
      <c r="H421" s="14" t="str">
        <f aca="false">IF(A421="","",DATEDIF(E421,Ayarlar!$B$3,"y"))</f>
        <v/>
      </c>
      <c r="I421" s="14" t="str">
        <f aca="false">IF(OR(A421="",F421=""),"",DATEDIF(F421,Ayarlar!$B$3,"y"))</f>
        <v/>
      </c>
      <c r="J421" s="14" t="str">
        <f aca="false">IF(A421="","",IF(H421&lt;1,0,MAX(IF(H421&lt;5,14,IF(H421&lt;15,20,26)),IF(AND(I421&lt;&gt;"",OR(I421&lt;=18,I421&gt;=50)),20,0))))</f>
        <v/>
      </c>
      <c r="K421" s="17" t="str">
        <f aca="false">IF(A421="","",EDATE(E421,12*(H421+1)))</f>
        <v/>
      </c>
      <c r="L421" s="14" t="str">
        <f aca="false">IF(A421="","",K421-Ayarlar!$B$3)</f>
        <v/>
      </c>
      <c r="M421" s="18" t="str">
        <f aca="false">IF(A421="","",Veri_Guncel!H421)</f>
        <v/>
      </c>
      <c r="N421" s="18" t="str">
        <f aca="false">IF(A421="","",IFERROR(INDEX(Veri_Onceki!$H:$H,MATCH(A421,Veri_Onceki!$A:$A,0)),""))</f>
        <v/>
      </c>
      <c r="O421" s="14" t="str">
        <f aca="false">IF(A421="","",IF(AND(H421&gt;=1,EDATE(E421,12*H421)&gt;Ayarlar!$B$4,EDATE(E421,12*H421)&lt;=Ayarlar!$B$3),J421,0))</f>
        <v/>
      </c>
      <c r="P421" s="14" t="str">
        <f aca="false">IF(OR(A421="",N421=""),"",N421+O421-M421)</f>
        <v/>
      </c>
      <c r="Q421" s="16" t="str">
        <f aca="false">IF(A421="","",IF(M421&gt;=Ayarlar!$B$7,"ALARM",IF(M421&gt;=Ayarlar!$B$6,"Planla","")))</f>
        <v/>
      </c>
      <c r="R421" s="14" t="str">
        <f aca="false">IF(A421="","",IF(AND(L421&gt;=0,L421&lt;=Ayarlar!$B$9),"Evet",""))</f>
        <v/>
      </c>
      <c r="S421" s="16" t="str">
        <f aca="false">IF(A421="","",IF(N421="","Yeni personel",IF(P421&lt;0,"Kontrol et","")))</f>
        <v/>
      </c>
      <c r="T421" s="14" t="str">
        <f aca="false">IF(A421="","",IF(AND(G421=1,M421&gt;=Ayarlar!$B$6,OR(Ayarlar!$B$11="Tümü",C421=Ayarlar!$B$11)),M421+ROW()/100000,""))</f>
        <v/>
      </c>
    </row>
    <row r="422" customFormat="false" ht="15" hidden="false" customHeight="false" outlineLevel="0" collapsed="false">
      <c r="A422" s="18" t="str">
        <f aca="false">IF(Veri_Guncel!A422="","",Veri_Guncel!A422)</f>
        <v/>
      </c>
      <c r="B422" s="18" t="str">
        <f aca="false">IF($A422="","",Veri_Guncel!B422)</f>
        <v/>
      </c>
      <c r="C422" s="18" t="str">
        <f aca="false">IF($A422="","",Veri_Guncel!C422)</f>
        <v/>
      </c>
      <c r="D422" s="18" t="str">
        <f aca="false">IF($A422="","",Veri_Guncel!D422)</f>
        <v/>
      </c>
      <c r="E422" s="19" t="str">
        <f aca="false">IF($A422="","",Veri_Guncel!E422)</f>
        <v/>
      </c>
      <c r="F422" s="19" t="str">
        <f aca="false">IF($A422="","",Veri_Guncel!F422)</f>
        <v/>
      </c>
      <c r="G422" s="14" t="str">
        <f aca="false">IF(A422="","",IF(COUNTIF(Ayarlar!$A$15:$A$20,C422)&gt;0,1,0))</f>
        <v/>
      </c>
      <c r="H422" s="14" t="str">
        <f aca="false">IF(A422="","",DATEDIF(E422,Ayarlar!$B$3,"y"))</f>
        <v/>
      </c>
      <c r="I422" s="14" t="str">
        <f aca="false">IF(OR(A422="",F422=""),"",DATEDIF(F422,Ayarlar!$B$3,"y"))</f>
        <v/>
      </c>
      <c r="J422" s="14" t="str">
        <f aca="false">IF(A422="","",IF(H422&lt;1,0,MAX(IF(H422&lt;5,14,IF(H422&lt;15,20,26)),IF(AND(I422&lt;&gt;"",OR(I422&lt;=18,I422&gt;=50)),20,0))))</f>
        <v/>
      </c>
      <c r="K422" s="17" t="str">
        <f aca="false">IF(A422="","",EDATE(E422,12*(H422+1)))</f>
        <v/>
      </c>
      <c r="L422" s="14" t="str">
        <f aca="false">IF(A422="","",K422-Ayarlar!$B$3)</f>
        <v/>
      </c>
      <c r="M422" s="18" t="str">
        <f aca="false">IF(A422="","",Veri_Guncel!H422)</f>
        <v/>
      </c>
      <c r="N422" s="18" t="str">
        <f aca="false">IF(A422="","",IFERROR(INDEX(Veri_Onceki!$H:$H,MATCH(A422,Veri_Onceki!$A:$A,0)),""))</f>
        <v/>
      </c>
      <c r="O422" s="14" t="str">
        <f aca="false">IF(A422="","",IF(AND(H422&gt;=1,EDATE(E422,12*H422)&gt;Ayarlar!$B$4,EDATE(E422,12*H422)&lt;=Ayarlar!$B$3),J422,0))</f>
        <v/>
      </c>
      <c r="P422" s="14" t="str">
        <f aca="false">IF(OR(A422="",N422=""),"",N422+O422-M422)</f>
        <v/>
      </c>
      <c r="Q422" s="16" t="str">
        <f aca="false">IF(A422="","",IF(M422&gt;=Ayarlar!$B$7,"ALARM",IF(M422&gt;=Ayarlar!$B$6,"Planla","")))</f>
        <v/>
      </c>
      <c r="R422" s="14" t="str">
        <f aca="false">IF(A422="","",IF(AND(L422&gt;=0,L422&lt;=Ayarlar!$B$9),"Evet",""))</f>
        <v/>
      </c>
      <c r="S422" s="16" t="str">
        <f aca="false">IF(A422="","",IF(N422="","Yeni personel",IF(P422&lt;0,"Kontrol et","")))</f>
        <v/>
      </c>
      <c r="T422" s="14" t="str">
        <f aca="false">IF(A422="","",IF(AND(G422=1,M422&gt;=Ayarlar!$B$6,OR(Ayarlar!$B$11="Tümü",C422=Ayarlar!$B$11)),M422+ROW()/100000,""))</f>
        <v/>
      </c>
    </row>
    <row r="423" customFormat="false" ht="15" hidden="false" customHeight="false" outlineLevel="0" collapsed="false">
      <c r="A423" s="18" t="str">
        <f aca="false">IF(Veri_Guncel!A423="","",Veri_Guncel!A423)</f>
        <v/>
      </c>
      <c r="B423" s="18" t="str">
        <f aca="false">IF($A423="","",Veri_Guncel!B423)</f>
        <v/>
      </c>
      <c r="C423" s="18" t="str">
        <f aca="false">IF($A423="","",Veri_Guncel!C423)</f>
        <v/>
      </c>
      <c r="D423" s="18" t="str">
        <f aca="false">IF($A423="","",Veri_Guncel!D423)</f>
        <v/>
      </c>
      <c r="E423" s="19" t="str">
        <f aca="false">IF($A423="","",Veri_Guncel!E423)</f>
        <v/>
      </c>
      <c r="F423" s="19" t="str">
        <f aca="false">IF($A423="","",Veri_Guncel!F423)</f>
        <v/>
      </c>
      <c r="G423" s="14" t="str">
        <f aca="false">IF(A423="","",IF(COUNTIF(Ayarlar!$A$15:$A$20,C423)&gt;0,1,0))</f>
        <v/>
      </c>
      <c r="H423" s="14" t="str">
        <f aca="false">IF(A423="","",DATEDIF(E423,Ayarlar!$B$3,"y"))</f>
        <v/>
      </c>
      <c r="I423" s="14" t="str">
        <f aca="false">IF(OR(A423="",F423=""),"",DATEDIF(F423,Ayarlar!$B$3,"y"))</f>
        <v/>
      </c>
      <c r="J423" s="14" t="str">
        <f aca="false">IF(A423="","",IF(H423&lt;1,0,MAX(IF(H423&lt;5,14,IF(H423&lt;15,20,26)),IF(AND(I423&lt;&gt;"",OR(I423&lt;=18,I423&gt;=50)),20,0))))</f>
        <v/>
      </c>
      <c r="K423" s="17" t="str">
        <f aca="false">IF(A423="","",EDATE(E423,12*(H423+1)))</f>
        <v/>
      </c>
      <c r="L423" s="14" t="str">
        <f aca="false">IF(A423="","",K423-Ayarlar!$B$3)</f>
        <v/>
      </c>
      <c r="M423" s="18" t="str">
        <f aca="false">IF(A423="","",Veri_Guncel!H423)</f>
        <v/>
      </c>
      <c r="N423" s="18" t="str">
        <f aca="false">IF(A423="","",IFERROR(INDEX(Veri_Onceki!$H:$H,MATCH(A423,Veri_Onceki!$A:$A,0)),""))</f>
        <v/>
      </c>
      <c r="O423" s="14" t="str">
        <f aca="false">IF(A423="","",IF(AND(H423&gt;=1,EDATE(E423,12*H423)&gt;Ayarlar!$B$4,EDATE(E423,12*H423)&lt;=Ayarlar!$B$3),J423,0))</f>
        <v/>
      </c>
      <c r="P423" s="14" t="str">
        <f aca="false">IF(OR(A423="",N423=""),"",N423+O423-M423)</f>
        <v/>
      </c>
      <c r="Q423" s="16" t="str">
        <f aca="false">IF(A423="","",IF(M423&gt;=Ayarlar!$B$7,"ALARM",IF(M423&gt;=Ayarlar!$B$6,"Planla","")))</f>
        <v/>
      </c>
      <c r="R423" s="14" t="str">
        <f aca="false">IF(A423="","",IF(AND(L423&gt;=0,L423&lt;=Ayarlar!$B$9),"Evet",""))</f>
        <v/>
      </c>
      <c r="S423" s="16" t="str">
        <f aca="false">IF(A423="","",IF(N423="","Yeni personel",IF(P423&lt;0,"Kontrol et","")))</f>
        <v/>
      </c>
      <c r="T423" s="14" t="str">
        <f aca="false">IF(A423="","",IF(AND(G423=1,M423&gt;=Ayarlar!$B$6,OR(Ayarlar!$B$11="Tümü",C423=Ayarlar!$B$11)),M423+ROW()/100000,""))</f>
        <v/>
      </c>
    </row>
    <row r="424" customFormat="false" ht="15" hidden="false" customHeight="false" outlineLevel="0" collapsed="false">
      <c r="A424" s="18" t="str">
        <f aca="false">IF(Veri_Guncel!A424="","",Veri_Guncel!A424)</f>
        <v/>
      </c>
      <c r="B424" s="18" t="str">
        <f aca="false">IF($A424="","",Veri_Guncel!B424)</f>
        <v/>
      </c>
      <c r="C424" s="18" t="str">
        <f aca="false">IF($A424="","",Veri_Guncel!C424)</f>
        <v/>
      </c>
      <c r="D424" s="18" t="str">
        <f aca="false">IF($A424="","",Veri_Guncel!D424)</f>
        <v/>
      </c>
      <c r="E424" s="19" t="str">
        <f aca="false">IF($A424="","",Veri_Guncel!E424)</f>
        <v/>
      </c>
      <c r="F424" s="19" t="str">
        <f aca="false">IF($A424="","",Veri_Guncel!F424)</f>
        <v/>
      </c>
      <c r="G424" s="14" t="str">
        <f aca="false">IF(A424="","",IF(COUNTIF(Ayarlar!$A$15:$A$20,C424)&gt;0,1,0))</f>
        <v/>
      </c>
      <c r="H424" s="14" t="str">
        <f aca="false">IF(A424="","",DATEDIF(E424,Ayarlar!$B$3,"y"))</f>
        <v/>
      </c>
      <c r="I424" s="14" t="str">
        <f aca="false">IF(OR(A424="",F424=""),"",DATEDIF(F424,Ayarlar!$B$3,"y"))</f>
        <v/>
      </c>
      <c r="J424" s="14" t="str">
        <f aca="false">IF(A424="","",IF(H424&lt;1,0,MAX(IF(H424&lt;5,14,IF(H424&lt;15,20,26)),IF(AND(I424&lt;&gt;"",OR(I424&lt;=18,I424&gt;=50)),20,0))))</f>
        <v/>
      </c>
      <c r="K424" s="17" t="str">
        <f aca="false">IF(A424="","",EDATE(E424,12*(H424+1)))</f>
        <v/>
      </c>
      <c r="L424" s="14" t="str">
        <f aca="false">IF(A424="","",K424-Ayarlar!$B$3)</f>
        <v/>
      </c>
      <c r="M424" s="18" t="str">
        <f aca="false">IF(A424="","",Veri_Guncel!H424)</f>
        <v/>
      </c>
      <c r="N424" s="18" t="str">
        <f aca="false">IF(A424="","",IFERROR(INDEX(Veri_Onceki!$H:$H,MATCH(A424,Veri_Onceki!$A:$A,0)),""))</f>
        <v/>
      </c>
      <c r="O424" s="14" t="str">
        <f aca="false">IF(A424="","",IF(AND(H424&gt;=1,EDATE(E424,12*H424)&gt;Ayarlar!$B$4,EDATE(E424,12*H424)&lt;=Ayarlar!$B$3),J424,0))</f>
        <v/>
      </c>
      <c r="P424" s="14" t="str">
        <f aca="false">IF(OR(A424="",N424=""),"",N424+O424-M424)</f>
        <v/>
      </c>
      <c r="Q424" s="16" t="str">
        <f aca="false">IF(A424="","",IF(M424&gt;=Ayarlar!$B$7,"ALARM",IF(M424&gt;=Ayarlar!$B$6,"Planla","")))</f>
        <v/>
      </c>
      <c r="R424" s="14" t="str">
        <f aca="false">IF(A424="","",IF(AND(L424&gt;=0,L424&lt;=Ayarlar!$B$9),"Evet",""))</f>
        <v/>
      </c>
      <c r="S424" s="16" t="str">
        <f aca="false">IF(A424="","",IF(N424="","Yeni personel",IF(P424&lt;0,"Kontrol et","")))</f>
        <v/>
      </c>
      <c r="T424" s="14" t="str">
        <f aca="false">IF(A424="","",IF(AND(G424=1,M424&gt;=Ayarlar!$B$6,OR(Ayarlar!$B$11="Tümü",C424=Ayarlar!$B$11)),M424+ROW()/100000,""))</f>
        <v/>
      </c>
    </row>
    <row r="425" customFormat="false" ht="15" hidden="false" customHeight="false" outlineLevel="0" collapsed="false">
      <c r="A425" s="18" t="str">
        <f aca="false">IF(Veri_Guncel!A425="","",Veri_Guncel!A425)</f>
        <v/>
      </c>
      <c r="B425" s="18" t="str">
        <f aca="false">IF($A425="","",Veri_Guncel!B425)</f>
        <v/>
      </c>
      <c r="C425" s="18" t="str">
        <f aca="false">IF($A425="","",Veri_Guncel!C425)</f>
        <v/>
      </c>
      <c r="D425" s="18" t="str">
        <f aca="false">IF($A425="","",Veri_Guncel!D425)</f>
        <v/>
      </c>
      <c r="E425" s="19" t="str">
        <f aca="false">IF($A425="","",Veri_Guncel!E425)</f>
        <v/>
      </c>
      <c r="F425" s="19" t="str">
        <f aca="false">IF($A425="","",Veri_Guncel!F425)</f>
        <v/>
      </c>
      <c r="G425" s="14" t="str">
        <f aca="false">IF(A425="","",IF(COUNTIF(Ayarlar!$A$15:$A$20,C425)&gt;0,1,0))</f>
        <v/>
      </c>
      <c r="H425" s="14" t="str">
        <f aca="false">IF(A425="","",DATEDIF(E425,Ayarlar!$B$3,"y"))</f>
        <v/>
      </c>
      <c r="I425" s="14" t="str">
        <f aca="false">IF(OR(A425="",F425=""),"",DATEDIF(F425,Ayarlar!$B$3,"y"))</f>
        <v/>
      </c>
      <c r="J425" s="14" t="str">
        <f aca="false">IF(A425="","",IF(H425&lt;1,0,MAX(IF(H425&lt;5,14,IF(H425&lt;15,20,26)),IF(AND(I425&lt;&gt;"",OR(I425&lt;=18,I425&gt;=50)),20,0))))</f>
        <v/>
      </c>
      <c r="K425" s="17" t="str">
        <f aca="false">IF(A425="","",EDATE(E425,12*(H425+1)))</f>
        <v/>
      </c>
      <c r="L425" s="14" t="str">
        <f aca="false">IF(A425="","",K425-Ayarlar!$B$3)</f>
        <v/>
      </c>
      <c r="M425" s="18" t="str">
        <f aca="false">IF(A425="","",Veri_Guncel!H425)</f>
        <v/>
      </c>
      <c r="N425" s="18" t="str">
        <f aca="false">IF(A425="","",IFERROR(INDEX(Veri_Onceki!$H:$H,MATCH(A425,Veri_Onceki!$A:$A,0)),""))</f>
        <v/>
      </c>
      <c r="O425" s="14" t="str">
        <f aca="false">IF(A425="","",IF(AND(H425&gt;=1,EDATE(E425,12*H425)&gt;Ayarlar!$B$4,EDATE(E425,12*H425)&lt;=Ayarlar!$B$3),J425,0))</f>
        <v/>
      </c>
      <c r="P425" s="14" t="str">
        <f aca="false">IF(OR(A425="",N425=""),"",N425+O425-M425)</f>
        <v/>
      </c>
      <c r="Q425" s="16" t="str">
        <f aca="false">IF(A425="","",IF(M425&gt;=Ayarlar!$B$7,"ALARM",IF(M425&gt;=Ayarlar!$B$6,"Planla","")))</f>
        <v/>
      </c>
      <c r="R425" s="14" t="str">
        <f aca="false">IF(A425="","",IF(AND(L425&gt;=0,L425&lt;=Ayarlar!$B$9),"Evet",""))</f>
        <v/>
      </c>
      <c r="S425" s="16" t="str">
        <f aca="false">IF(A425="","",IF(N425="","Yeni personel",IF(P425&lt;0,"Kontrol et","")))</f>
        <v/>
      </c>
      <c r="T425" s="14" t="str">
        <f aca="false">IF(A425="","",IF(AND(G425=1,M425&gt;=Ayarlar!$B$6,OR(Ayarlar!$B$11="Tümü",C425=Ayarlar!$B$11)),M425+ROW()/100000,""))</f>
        <v/>
      </c>
    </row>
    <row r="426" customFormat="false" ht="15" hidden="false" customHeight="false" outlineLevel="0" collapsed="false">
      <c r="A426" s="18" t="str">
        <f aca="false">IF(Veri_Guncel!A426="","",Veri_Guncel!A426)</f>
        <v/>
      </c>
      <c r="B426" s="18" t="str">
        <f aca="false">IF($A426="","",Veri_Guncel!B426)</f>
        <v/>
      </c>
      <c r="C426" s="18" t="str">
        <f aca="false">IF($A426="","",Veri_Guncel!C426)</f>
        <v/>
      </c>
      <c r="D426" s="18" t="str">
        <f aca="false">IF($A426="","",Veri_Guncel!D426)</f>
        <v/>
      </c>
      <c r="E426" s="19" t="str">
        <f aca="false">IF($A426="","",Veri_Guncel!E426)</f>
        <v/>
      </c>
      <c r="F426" s="19" t="str">
        <f aca="false">IF($A426="","",Veri_Guncel!F426)</f>
        <v/>
      </c>
      <c r="G426" s="14" t="str">
        <f aca="false">IF(A426="","",IF(COUNTIF(Ayarlar!$A$15:$A$20,C426)&gt;0,1,0))</f>
        <v/>
      </c>
      <c r="H426" s="14" t="str">
        <f aca="false">IF(A426="","",DATEDIF(E426,Ayarlar!$B$3,"y"))</f>
        <v/>
      </c>
      <c r="I426" s="14" t="str">
        <f aca="false">IF(OR(A426="",F426=""),"",DATEDIF(F426,Ayarlar!$B$3,"y"))</f>
        <v/>
      </c>
      <c r="J426" s="14" t="str">
        <f aca="false">IF(A426="","",IF(H426&lt;1,0,MAX(IF(H426&lt;5,14,IF(H426&lt;15,20,26)),IF(AND(I426&lt;&gt;"",OR(I426&lt;=18,I426&gt;=50)),20,0))))</f>
        <v/>
      </c>
      <c r="K426" s="17" t="str">
        <f aca="false">IF(A426="","",EDATE(E426,12*(H426+1)))</f>
        <v/>
      </c>
      <c r="L426" s="14" t="str">
        <f aca="false">IF(A426="","",K426-Ayarlar!$B$3)</f>
        <v/>
      </c>
      <c r="M426" s="18" t="str">
        <f aca="false">IF(A426="","",Veri_Guncel!H426)</f>
        <v/>
      </c>
      <c r="N426" s="18" t="str">
        <f aca="false">IF(A426="","",IFERROR(INDEX(Veri_Onceki!$H:$H,MATCH(A426,Veri_Onceki!$A:$A,0)),""))</f>
        <v/>
      </c>
      <c r="O426" s="14" t="str">
        <f aca="false">IF(A426="","",IF(AND(H426&gt;=1,EDATE(E426,12*H426)&gt;Ayarlar!$B$4,EDATE(E426,12*H426)&lt;=Ayarlar!$B$3),J426,0))</f>
        <v/>
      </c>
      <c r="P426" s="14" t="str">
        <f aca="false">IF(OR(A426="",N426=""),"",N426+O426-M426)</f>
        <v/>
      </c>
      <c r="Q426" s="16" t="str">
        <f aca="false">IF(A426="","",IF(M426&gt;=Ayarlar!$B$7,"ALARM",IF(M426&gt;=Ayarlar!$B$6,"Planla","")))</f>
        <v/>
      </c>
      <c r="R426" s="14" t="str">
        <f aca="false">IF(A426="","",IF(AND(L426&gt;=0,L426&lt;=Ayarlar!$B$9),"Evet",""))</f>
        <v/>
      </c>
      <c r="S426" s="16" t="str">
        <f aca="false">IF(A426="","",IF(N426="","Yeni personel",IF(P426&lt;0,"Kontrol et","")))</f>
        <v/>
      </c>
      <c r="T426" s="14" t="str">
        <f aca="false">IF(A426="","",IF(AND(G426=1,M426&gt;=Ayarlar!$B$6,OR(Ayarlar!$B$11="Tümü",C426=Ayarlar!$B$11)),M426+ROW()/100000,""))</f>
        <v/>
      </c>
    </row>
    <row r="427" customFormat="false" ht="15" hidden="false" customHeight="false" outlineLevel="0" collapsed="false">
      <c r="A427" s="18" t="str">
        <f aca="false">IF(Veri_Guncel!A427="","",Veri_Guncel!A427)</f>
        <v/>
      </c>
      <c r="B427" s="18" t="str">
        <f aca="false">IF($A427="","",Veri_Guncel!B427)</f>
        <v/>
      </c>
      <c r="C427" s="18" t="str">
        <f aca="false">IF($A427="","",Veri_Guncel!C427)</f>
        <v/>
      </c>
      <c r="D427" s="18" t="str">
        <f aca="false">IF($A427="","",Veri_Guncel!D427)</f>
        <v/>
      </c>
      <c r="E427" s="19" t="str">
        <f aca="false">IF($A427="","",Veri_Guncel!E427)</f>
        <v/>
      </c>
      <c r="F427" s="19" t="str">
        <f aca="false">IF($A427="","",Veri_Guncel!F427)</f>
        <v/>
      </c>
      <c r="G427" s="14" t="str">
        <f aca="false">IF(A427="","",IF(COUNTIF(Ayarlar!$A$15:$A$20,C427)&gt;0,1,0))</f>
        <v/>
      </c>
      <c r="H427" s="14" t="str">
        <f aca="false">IF(A427="","",DATEDIF(E427,Ayarlar!$B$3,"y"))</f>
        <v/>
      </c>
      <c r="I427" s="14" t="str">
        <f aca="false">IF(OR(A427="",F427=""),"",DATEDIF(F427,Ayarlar!$B$3,"y"))</f>
        <v/>
      </c>
      <c r="J427" s="14" t="str">
        <f aca="false">IF(A427="","",IF(H427&lt;1,0,MAX(IF(H427&lt;5,14,IF(H427&lt;15,20,26)),IF(AND(I427&lt;&gt;"",OR(I427&lt;=18,I427&gt;=50)),20,0))))</f>
        <v/>
      </c>
      <c r="K427" s="17" t="str">
        <f aca="false">IF(A427="","",EDATE(E427,12*(H427+1)))</f>
        <v/>
      </c>
      <c r="L427" s="14" t="str">
        <f aca="false">IF(A427="","",K427-Ayarlar!$B$3)</f>
        <v/>
      </c>
      <c r="M427" s="18" t="str">
        <f aca="false">IF(A427="","",Veri_Guncel!H427)</f>
        <v/>
      </c>
      <c r="N427" s="18" t="str">
        <f aca="false">IF(A427="","",IFERROR(INDEX(Veri_Onceki!$H:$H,MATCH(A427,Veri_Onceki!$A:$A,0)),""))</f>
        <v/>
      </c>
      <c r="O427" s="14" t="str">
        <f aca="false">IF(A427="","",IF(AND(H427&gt;=1,EDATE(E427,12*H427)&gt;Ayarlar!$B$4,EDATE(E427,12*H427)&lt;=Ayarlar!$B$3),J427,0))</f>
        <v/>
      </c>
      <c r="P427" s="14" t="str">
        <f aca="false">IF(OR(A427="",N427=""),"",N427+O427-M427)</f>
        <v/>
      </c>
      <c r="Q427" s="16" t="str">
        <f aca="false">IF(A427="","",IF(M427&gt;=Ayarlar!$B$7,"ALARM",IF(M427&gt;=Ayarlar!$B$6,"Planla","")))</f>
        <v/>
      </c>
      <c r="R427" s="14" t="str">
        <f aca="false">IF(A427="","",IF(AND(L427&gt;=0,L427&lt;=Ayarlar!$B$9),"Evet",""))</f>
        <v/>
      </c>
      <c r="S427" s="16" t="str">
        <f aca="false">IF(A427="","",IF(N427="","Yeni personel",IF(P427&lt;0,"Kontrol et","")))</f>
        <v/>
      </c>
      <c r="T427" s="14" t="str">
        <f aca="false">IF(A427="","",IF(AND(G427=1,M427&gt;=Ayarlar!$B$6,OR(Ayarlar!$B$11="Tümü",C427=Ayarlar!$B$11)),M427+ROW()/100000,""))</f>
        <v/>
      </c>
    </row>
    <row r="428" customFormat="false" ht="15" hidden="false" customHeight="false" outlineLevel="0" collapsed="false">
      <c r="A428" s="18" t="str">
        <f aca="false">IF(Veri_Guncel!A428="","",Veri_Guncel!A428)</f>
        <v/>
      </c>
      <c r="B428" s="18" t="str">
        <f aca="false">IF($A428="","",Veri_Guncel!B428)</f>
        <v/>
      </c>
      <c r="C428" s="18" t="str">
        <f aca="false">IF($A428="","",Veri_Guncel!C428)</f>
        <v/>
      </c>
      <c r="D428" s="18" t="str">
        <f aca="false">IF($A428="","",Veri_Guncel!D428)</f>
        <v/>
      </c>
      <c r="E428" s="19" t="str">
        <f aca="false">IF($A428="","",Veri_Guncel!E428)</f>
        <v/>
      </c>
      <c r="F428" s="19" t="str">
        <f aca="false">IF($A428="","",Veri_Guncel!F428)</f>
        <v/>
      </c>
      <c r="G428" s="14" t="str">
        <f aca="false">IF(A428="","",IF(COUNTIF(Ayarlar!$A$15:$A$20,C428)&gt;0,1,0))</f>
        <v/>
      </c>
      <c r="H428" s="14" t="str">
        <f aca="false">IF(A428="","",DATEDIF(E428,Ayarlar!$B$3,"y"))</f>
        <v/>
      </c>
      <c r="I428" s="14" t="str">
        <f aca="false">IF(OR(A428="",F428=""),"",DATEDIF(F428,Ayarlar!$B$3,"y"))</f>
        <v/>
      </c>
      <c r="J428" s="14" t="str">
        <f aca="false">IF(A428="","",IF(H428&lt;1,0,MAX(IF(H428&lt;5,14,IF(H428&lt;15,20,26)),IF(AND(I428&lt;&gt;"",OR(I428&lt;=18,I428&gt;=50)),20,0))))</f>
        <v/>
      </c>
      <c r="K428" s="17" t="str">
        <f aca="false">IF(A428="","",EDATE(E428,12*(H428+1)))</f>
        <v/>
      </c>
      <c r="L428" s="14" t="str">
        <f aca="false">IF(A428="","",K428-Ayarlar!$B$3)</f>
        <v/>
      </c>
      <c r="M428" s="18" t="str">
        <f aca="false">IF(A428="","",Veri_Guncel!H428)</f>
        <v/>
      </c>
      <c r="N428" s="18" t="str">
        <f aca="false">IF(A428="","",IFERROR(INDEX(Veri_Onceki!$H:$H,MATCH(A428,Veri_Onceki!$A:$A,0)),""))</f>
        <v/>
      </c>
      <c r="O428" s="14" t="str">
        <f aca="false">IF(A428="","",IF(AND(H428&gt;=1,EDATE(E428,12*H428)&gt;Ayarlar!$B$4,EDATE(E428,12*H428)&lt;=Ayarlar!$B$3),J428,0))</f>
        <v/>
      </c>
      <c r="P428" s="14" t="str">
        <f aca="false">IF(OR(A428="",N428=""),"",N428+O428-M428)</f>
        <v/>
      </c>
      <c r="Q428" s="16" t="str">
        <f aca="false">IF(A428="","",IF(M428&gt;=Ayarlar!$B$7,"ALARM",IF(M428&gt;=Ayarlar!$B$6,"Planla","")))</f>
        <v/>
      </c>
      <c r="R428" s="14" t="str">
        <f aca="false">IF(A428="","",IF(AND(L428&gt;=0,L428&lt;=Ayarlar!$B$9),"Evet",""))</f>
        <v/>
      </c>
      <c r="S428" s="16" t="str">
        <f aca="false">IF(A428="","",IF(N428="","Yeni personel",IF(P428&lt;0,"Kontrol et","")))</f>
        <v/>
      </c>
      <c r="T428" s="14" t="str">
        <f aca="false">IF(A428="","",IF(AND(G428=1,M428&gt;=Ayarlar!$B$6,OR(Ayarlar!$B$11="Tümü",C428=Ayarlar!$B$11)),M428+ROW()/100000,""))</f>
        <v/>
      </c>
    </row>
    <row r="429" customFormat="false" ht="15" hidden="false" customHeight="false" outlineLevel="0" collapsed="false">
      <c r="A429" s="18" t="str">
        <f aca="false">IF(Veri_Guncel!A429="","",Veri_Guncel!A429)</f>
        <v/>
      </c>
      <c r="B429" s="18" t="str">
        <f aca="false">IF($A429="","",Veri_Guncel!B429)</f>
        <v/>
      </c>
      <c r="C429" s="18" t="str">
        <f aca="false">IF($A429="","",Veri_Guncel!C429)</f>
        <v/>
      </c>
      <c r="D429" s="18" t="str">
        <f aca="false">IF($A429="","",Veri_Guncel!D429)</f>
        <v/>
      </c>
      <c r="E429" s="19" t="str">
        <f aca="false">IF($A429="","",Veri_Guncel!E429)</f>
        <v/>
      </c>
      <c r="F429" s="19" t="str">
        <f aca="false">IF($A429="","",Veri_Guncel!F429)</f>
        <v/>
      </c>
      <c r="G429" s="14" t="str">
        <f aca="false">IF(A429="","",IF(COUNTIF(Ayarlar!$A$15:$A$20,C429)&gt;0,1,0))</f>
        <v/>
      </c>
      <c r="H429" s="14" t="str">
        <f aca="false">IF(A429="","",DATEDIF(E429,Ayarlar!$B$3,"y"))</f>
        <v/>
      </c>
      <c r="I429" s="14" t="str">
        <f aca="false">IF(OR(A429="",F429=""),"",DATEDIF(F429,Ayarlar!$B$3,"y"))</f>
        <v/>
      </c>
      <c r="J429" s="14" t="str">
        <f aca="false">IF(A429="","",IF(H429&lt;1,0,MAX(IF(H429&lt;5,14,IF(H429&lt;15,20,26)),IF(AND(I429&lt;&gt;"",OR(I429&lt;=18,I429&gt;=50)),20,0))))</f>
        <v/>
      </c>
      <c r="K429" s="17" t="str">
        <f aca="false">IF(A429="","",EDATE(E429,12*(H429+1)))</f>
        <v/>
      </c>
      <c r="L429" s="14" t="str">
        <f aca="false">IF(A429="","",K429-Ayarlar!$B$3)</f>
        <v/>
      </c>
      <c r="M429" s="18" t="str">
        <f aca="false">IF(A429="","",Veri_Guncel!H429)</f>
        <v/>
      </c>
      <c r="N429" s="18" t="str">
        <f aca="false">IF(A429="","",IFERROR(INDEX(Veri_Onceki!$H:$H,MATCH(A429,Veri_Onceki!$A:$A,0)),""))</f>
        <v/>
      </c>
      <c r="O429" s="14" t="str">
        <f aca="false">IF(A429="","",IF(AND(H429&gt;=1,EDATE(E429,12*H429)&gt;Ayarlar!$B$4,EDATE(E429,12*H429)&lt;=Ayarlar!$B$3),J429,0))</f>
        <v/>
      </c>
      <c r="P429" s="14" t="str">
        <f aca="false">IF(OR(A429="",N429=""),"",N429+O429-M429)</f>
        <v/>
      </c>
      <c r="Q429" s="16" t="str">
        <f aca="false">IF(A429="","",IF(M429&gt;=Ayarlar!$B$7,"ALARM",IF(M429&gt;=Ayarlar!$B$6,"Planla","")))</f>
        <v/>
      </c>
      <c r="R429" s="14" t="str">
        <f aca="false">IF(A429="","",IF(AND(L429&gt;=0,L429&lt;=Ayarlar!$B$9),"Evet",""))</f>
        <v/>
      </c>
      <c r="S429" s="16" t="str">
        <f aca="false">IF(A429="","",IF(N429="","Yeni personel",IF(P429&lt;0,"Kontrol et","")))</f>
        <v/>
      </c>
      <c r="T429" s="14" t="str">
        <f aca="false">IF(A429="","",IF(AND(G429=1,M429&gt;=Ayarlar!$B$6,OR(Ayarlar!$B$11="Tümü",C429=Ayarlar!$B$11)),M429+ROW()/100000,""))</f>
        <v/>
      </c>
    </row>
    <row r="430" customFormat="false" ht="15" hidden="false" customHeight="false" outlineLevel="0" collapsed="false">
      <c r="A430" s="18" t="str">
        <f aca="false">IF(Veri_Guncel!A430="","",Veri_Guncel!A430)</f>
        <v/>
      </c>
      <c r="B430" s="18" t="str">
        <f aca="false">IF($A430="","",Veri_Guncel!B430)</f>
        <v/>
      </c>
      <c r="C430" s="18" t="str">
        <f aca="false">IF($A430="","",Veri_Guncel!C430)</f>
        <v/>
      </c>
      <c r="D430" s="18" t="str">
        <f aca="false">IF($A430="","",Veri_Guncel!D430)</f>
        <v/>
      </c>
      <c r="E430" s="19" t="str">
        <f aca="false">IF($A430="","",Veri_Guncel!E430)</f>
        <v/>
      </c>
      <c r="F430" s="19" t="str">
        <f aca="false">IF($A430="","",Veri_Guncel!F430)</f>
        <v/>
      </c>
      <c r="G430" s="14" t="str">
        <f aca="false">IF(A430="","",IF(COUNTIF(Ayarlar!$A$15:$A$20,C430)&gt;0,1,0))</f>
        <v/>
      </c>
      <c r="H430" s="14" t="str">
        <f aca="false">IF(A430="","",DATEDIF(E430,Ayarlar!$B$3,"y"))</f>
        <v/>
      </c>
      <c r="I430" s="14" t="str">
        <f aca="false">IF(OR(A430="",F430=""),"",DATEDIF(F430,Ayarlar!$B$3,"y"))</f>
        <v/>
      </c>
      <c r="J430" s="14" t="str">
        <f aca="false">IF(A430="","",IF(H430&lt;1,0,MAX(IF(H430&lt;5,14,IF(H430&lt;15,20,26)),IF(AND(I430&lt;&gt;"",OR(I430&lt;=18,I430&gt;=50)),20,0))))</f>
        <v/>
      </c>
      <c r="K430" s="17" t="str">
        <f aca="false">IF(A430="","",EDATE(E430,12*(H430+1)))</f>
        <v/>
      </c>
      <c r="L430" s="14" t="str">
        <f aca="false">IF(A430="","",K430-Ayarlar!$B$3)</f>
        <v/>
      </c>
      <c r="M430" s="18" t="str">
        <f aca="false">IF(A430="","",Veri_Guncel!H430)</f>
        <v/>
      </c>
      <c r="N430" s="18" t="str">
        <f aca="false">IF(A430="","",IFERROR(INDEX(Veri_Onceki!$H:$H,MATCH(A430,Veri_Onceki!$A:$A,0)),""))</f>
        <v/>
      </c>
      <c r="O430" s="14" t="str">
        <f aca="false">IF(A430="","",IF(AND(H430&gt;=1,EDATE(E430,12*H430)&gt;Ayarlar!$B$4,EDATE(E430,12*H430)&lt;=Ayarlar!$B$3),J430,0))</f>
        <v/>
      </c>
      <c r="P430" s="14" t="str">
        <f aca="false">IF(OR(A430="",N430=""),"",N430+O430-M430)</f>
        <v/>
      </c>
      <c r="Q430" s="16" t="str">
        <f aca="false">IF(A430="","",IF(M430&gt;=Ayarlar!$B$7,"ALARM",IF(M430&gt;=Ayarlar!$B$6,"Planla","")))</f>
        <v/>
      </c>
      <c r="R430" s="14" t="str">
        <f aca="false">IF(A430="","",IF(AND(L430&gt;=0,L430&lt;=Ayarlar!$B$9),"Evet",""))</f>
        <v/>
      </c>
      <c r="S430" s="16" t="str">
        <f aca="false">IF(A430="","",IF(N430="","Yeni personel",IF(P430&lt;0,"Kontrol et","")))</f>
        <v/>
      </c>
      <c r="T430" s="14" t="str">
        <f aca="false">IF(A430="","",IF(AND(G430=1,M430&gt;=Ayarlar!$B$6,OR(Ayarlar!$B$11="Tümü",C430=Ayarlar!$B$11)),M430+ROW()/100000,""))</f>
        <v/>
      </c>
    </row>
    <row r="431" customFormat="false" ht="15" hidden="false" customHeight="false" outlineLevel="0" collapsed="false">
      <c r="A431" s="18" t="str">
        <f aca="false">IF(Veri_Guncel!A431="","",Veri_Guncel!A431)</f>
        <v/>
      </c>
      <c r="B431" s="18" t="str">
        <f aca="false">IF($A431="","",Veri_Guncel!B431)</f>
        <v/>
      </c>
      <c r="C431" s="18" t="str">
        <f aca="false">IF($A431="","",Veri_Guncel!C431)</f>
        <v/>
      </c>
      <c r="D431" s="18" t="str">
        <f aca="false">IF($A431="","",Veri_Guncel!D431)</f>
        <v/>
      </c>
      <c r="E431" s="19" t="str">
        <f aca="false">IF($A431="","",Veri_Guncel!E431)</f>
        <v/>
      </c>
      <c r="F431" s="19" t="str">
        <f aca="false">IF($A431="","",Veri_Guncel!F431)</f>
        <v/>
      </c>
      <c r="G431" s="14" t="str">
        <f aca="false">IF(A431="","",IF(COUNTIF(Ayarlar!$A$15:$A$20,C431)&gt;0,1,0))</f>
        <v/>
      </c>
      <c r="H431" s="14" t="str">
        <f aca="false">IF(A431="","",DATEDIF(E431,Ayarlar!$B$3,"y"))</f>
        <v/>
      </c>
      <c r="I431" s="14" t="str">
        <f aca="false">IF(OR(A431="",F431=""),"",DATEDIF(F431,Ayarlar!$B$3,"y"))</f>
        <v/>
      </c>
      <c r="J431" s="14" t="str">
        <f aca="false">IF(A431="","",IF(H431&lt;1,0,MAX(IF(H431&lt;5,14,IF(H431&lt;15,20,26)),IF(AND(I431&lt;&gt;"",OR(I431&lt;=18,I431&gt;=50)),20,0))))</f>
        <v/>
      </c>
      <c r="K431" s="17" t="str">
        <f aca="false">IF(A431="","",EDATE(E431,12*(H431+1)))</f>
        <v/>
      </c>
      <c r="L431" s="14" t="str">
        <f aca="false">IF(A431="","",K431-Ayarlar!$B$3)</f>
        <v/>
      </c>
      <c r="M431" s="18" t="str">
        <f aca="false">IF(A431="","",Veri_Guncel!H431)</f>
        <v/>
      </c>
      <c r="N431" s="18" t="str">
        <f aca="false">IF(A431="","",IFERROR(INDEX(Veri_Onceki!$H:$H,MATCH(A431,Veri_Onceki!$A:$A,0)),""))</f>
        <v/>
      </c>
      <c r="O431" s="14" t="str">
        <f aca="false">IF(A431="","",IF(AND(H431&gt;=1,EDATE(E431,12*H431)&gt;Ayarlar!$B$4,EDATE(E431,12*H431)&lt;=Ayarlar!$B$3),J431,0))</f>
        <v/>
      </c>
      <c r="P431" s="14" t="str">
        <f aca="false">IF(OR(A431="",N431=""),"",N431+O431-M431)</f>
        <v/>
      </c>
      <c r="Q431" s="16" t="str">
        <f aca="false">IF(A431="","",IF(M431&gt;=Ayarlar!$B$7,"ALARM",IF(M431&gt;=Ayarlar!$B$6,"Planla","")))</f>
        <v/>
      </c>
      <c r="R431" s="14" t="str">
        <f aca="false">IF(A431="","",IF(AND(L431&gt;=0,L431&lt;=Ayarlar!$B$9),"Evet",""))</f>
        <v/>
      </c>
      <c r="S431" s="16" t="str">
        <f aca="false">IF(A431="","",IF(N431="","Yeni personel",IF(P431&lt;0,"Kontrol et","")))</f>
        <v/>
      </c>
      <c r="T431" s="14" t="str">
        <f aca="false">IF(A431="","",IF(AND(G431=1,M431&gt;=Ayarlar!$B$6,OR(Ayarlar!$B$11="Tümü",C431=Ayarlar!$B$11)),M431+ROW()/100000,""))</f>
        <v/>
      </c>
    </row>
    <row r="432" customFormat="false" ht="15" hidden="false" customHeight="false" outlineLevel="0" collapsed="false">
      <c r="A432" s="18" t="str">
        <f aca="false">IF(Veri_Guncel!A432="","",Veri_Guncel!A432)</f>
        <v/>
      </c>
      <c r="B432" s="18" t="str">
        <f aca="false">IF($A432="","",Veri_Guncel!B432)</f>
        <v/>
      </c>
      <c r="C432" s="18" t="str">
        <f aca="false">IF($A432="","",Veri_Guncel!C432)</f>
        <v/>
      </c>
      <c r="D432" s="18" t="str">
        <f aca="false">IF($A432="","",Veri_Guncel!D432)</f>
        <v/>
      </c>
      <c r="E432" s="19" t="str">
        <f aca="false">IF($A432="","",Veri_Guncel!E432)</f>
        <v/>
      </c>
      <c r="F432" s="19" t="str">
        <f aca="false">IF($A432="","",Veri_Guncel!F432)</f>
        <v/>
      </c>
      <c r="G432" s="14" t="str">
        <f aca="false">IF(A432="","",IF(COUNTIF(Ayarlar!$A$15:$A$20,C432)&gt;0,1,0))</f>
        <v/>
      </c>
      <c r="H432" s="14" t="str">
        <f aca="false">IF(A432="","",DATEDIF(E432,Ayarlar!$B$3,"y"))</f>
        <v/>
      </c>
      <c r="I432" s="14" t="str">
        <f aca="false">IF(OR(A432="",F432=""),"",DATEDIF(F432,Ayarlar!$B$3,"y"))</f>
        <v/>
      </c>
      <c r="J432" s="14" t="str">
        <f aca="false">IF(A432="","",IF(H432&lt;1,0,MAX(IF(H432&lt;5,14,IF(H432&lt;15,20,26)),IF(AND(I432&lt;&gt;"",OR(I432&lt;=18,I432&gt;=50)),20,0))))</f>
        <v/>
      </c>
      <c r="K432" s="17" t="str">
        <f aca="false">IF(A432="","",EDATE(E432,12*(H432+1)))</f>
        <v/>
      </c>
      <c r="L432" s="14" t="str">
        <f aca="false">IF(A432="","",K432-Ayarlar!$B$3)</f>
        <v/>
      </c>
      <c r="M432" s="18" t="str">
        <f aca="false">IF(A432="","",Veri_Guncel!H432)</f>
        <v/>
      </c>
      <c r="N432" s="18" t="str">
        <f aca="false">IF(A432="","",IFERROR(INDEX(Veri_Onceki!$H:$H,MATCH(A432,Veri_Onceki!$A:$A,0)),""))</f>
        <v/>
      </c>
      <c r="O432" s="14" t="str">
        <f aca="false">IF(A432="","",IF(AND(H432&gt;=1,EDATE(E432,12*H432)&gt;Ayarlar!$B$4,EDATE(E432,12*H432)&lt;=Ayarlar!$B$3),J432,0))</f>
        <v/>
      </c>
      <c r="P432" s="14" t="str">
        <f aca="false">IF(OR(A432="",N432=""),"",N432+O432-M432)</f>
        <v/>
      </c>
      <c r="Q432" s="16" t="str">
        <f aca="false">IF(A432="","",IF(M432&gt;=Ayarlar!$B$7,"ALARM",IF(M432&gt;=Ayarlar!$B$6,"Planla","")))</f>
        <v/>
      </c>
      <c r="R432" s="14" t="str">
        <f aca="false">IF(A432="","",IF(AND(L432&gt;=0,L432&lt;=Ayarlar!$B$9),"Evet",""))</f>
        <v/>
      </c>
      <c r="S432" s="16" t="str">
        <f aca="false">IF(A432="","",IF(N432="","Yeni personel",IF(P432&lt;0,"Kontrol et","")))</f>
        <v/>
      </c>
      <c r="T432" s="14" t="str">
        <f aca="false">IF(A432="","",IF(AND(G432=1,M432&gt;=Ayarlar!$B$6,OR(Ayarlar!$B$11="Tümü",C432=Ayarlar!$B$11)),M432+ROW()/100000,""))</f>
        <v/>
      </c>
    </row>
    <row r="433" customFormat="false" ht="15" hidden="false" customHeight="false" outlineLevel="0" collapsed="false">
      <c r="A433" s="18" t="str">
        <f aca="false">IF(Veri_Guncel!A433="","",Veri_Guncel!A433)</f>
        <v/>
      </c>
      <c r="B433" s="18" t="str">
        <f aca="false">IF($A433="","",Veri_Guncel!B433)</f>
        <v/>
      </c>
      <c r="C433" s="18" t="str">
        <f aca="false">IF($A433="","",Veri_Guncel!C433)</f>
        <v/>
      </c>
      <c r="D433" s="18" t="str">
        <f aca="false">IF($A433="","",Veri_Guncel!D433)</f>
        <v/>
      </c>
      <c r="E433" s="19" t="str">
        <f aca="false">IF($A433="","",Veri_Guncel!E433)</f>
        <v/>
      </c>
      <c r="F433" s="19" t="str">
        <f aca="false">IF($A433="","",Veri_Guncel!F433)</f>
        <v/>
      </c>
      <c r="G433" s="14" t="str">
        <f aca="false">IF(A433="","",IF(COUNTIF(Ayarlar!$A$15:$A$20,C433)&gt;0,1,0))</f>
        <v/>
      </c>
      <c r="H433" s="14" t="str">
        <f aca="false">IF(A433="","",DATEDIF(E433,Ayarlar!$B$3,"y"))</f>
        <v/>
      </c>
      <c r="I433" s="14" t="str">
        <f aca="false">IF(OR(A433="",F433=""),"",DATEDIF(F433,Ayarlar!$B$3,"y"))</f>
        <v/>
      </c>
      <c r="J433" s="14" t="str">
        <f aca="false">IF(A433="","",IF(H433&lt;1,0,MAX(IF(H433&lt;5,14,IF(H433&lt;15,20,26)),IF(AND(I433&lt;&gt;"",OR(I433&lt;=18,I433&gt;=50)),20,0))))</f>
        <v/>
      </c>
      <c r="K433" s="17" t="str">
        <f aca="false">IF(A433="","",EDATE(E433,12*(H433+1)))</f>
        <v/>
      </c>
      <c r="L433" s="14" t="str">
        <f aca="false">IF(A433="","",K433-Ayarlar!$B$3)</f>
        <v/>
      </c>
      <c r="M433" s="18" t="str">
        <f aca="false">IF(A433="","",Veri_Guncel!H433)</f>
        <v/>
      </c>
      <c r="N433" s="18" t="str">
        <f aca="false">IF(A433="","",IFERROR(INDEX(Veri_Onceki!$H:$H,MATCH(A433,Veri_Onceki!$A:$A,0)),""))</f>
        <v/>
      </c>
      <c r="O433" s="14" t="str">
        <f aca="false">IF(A433="","",IF(AND(H433&gt;=1,EDATE(E433,12*H433)&gt;Ayarlar!$B$4,EDATE(E433,12*H433)&lt;=Ayarlar!$B$3),J433,0))</f>
        <v/>
      </c>
      <c r="P433" s="14" t="str">
        <f aca="false">IF(OR(A433="",N433=""),"",N433+O433-M433)</f>
        <v/>
      </c>
      <c r="Q433" s="16" t="str">
        <f aca="false">IF(A433="","",IF(M433&gt;=Ayarlar!$B$7,"ALARM",IF(M433&gt;=Ayarlar!$B$6,"Planla","")))</f>
        <v/>
      </c>
      <c r="R433" s="14" t="str">
        <f aca="false">IF(A433="","",IF(AND(L433&gt;=0,L433&lt;=Ayarlar!$B$9),"Evet",""))</f>
        <v/>
      </c>
      <c r="S433" s="16" t="str">
        <f aca="false">IF(A433="","",IF(N433="","Yeni personel",IF(P433&lt;0,"Kontrol et","")))</f>
        <v/>
      </c>
      <c r="T433" s="14" t="str">
        <f aca="false">IF(A433="","",IF(AND(G433=1,M433&gt;=Ayarlar!$B$6,OR(Ayarlar!$B$11="Tümü",C433=Ayarlar!$B$11)),M433+ROW()/100000,""))</f>
        <v/>
      </c>
    </row>
    <row r="434" customFormat="false" ht="15" hidden="false" customHeight="false" outlineLevel="0" collapsed="false">
      <c r="A434" s="18" t="str">
        <f aca="false">IF(Veri_Guncel!A434="","",Veri_Guncel!A434)</f>
        <v/>
      </c>
      <c r="B434" s="18" t="str">
        <f aca="false">IF($A434="","",Veri_Guncel!B434)</f>
        <v/>
      </c>
      <c r="C434" s="18" t="str">
        <f aca="false">IF($A434="","",Veri_Guncel!C434)</f>
        <v/>
      </c>
      <c r="D434" s="18" t="str">
        <f aca="false">IF($A434="","",Veri_Guncel!D434)</f>
        <v/>
      </c>
      <c r="E434" s="19" t="str">
        <f aca="false">IF($A434="","",Veri_Guncel!E434)</f>
        <v/>
      </c>
      <c r="F434" s="19" t="str">
        <f aca="false">IF($A434="","",Veri_Guncel!F434)</f>
        <v/>
      </c>
      <c r="G434" s="14" t="str">
        <f aca="false">IF(A434="","",IF(COUNTIF(Ayarlar!$A$15:$A$20,C434)&gt;0,1,0))</f>
        <v/>
      </c>
      <c r="H434" s="14" t="str">
        <f aca="false">IF(A434="","",DATEDIF(E434,Ayarlar!$B$3,"y"))</f>
        <v/>
      </c>
      <c r="I434" s="14" t="str">
        <f aca="false">IF(OR(A434="",F434=""),"",DATEDIF(F434,Ayarlar!$B$3,"y"))</f>
        <v/>
      </c>
      <c r="J434" s="14" t="str">
        <f aca="false">IF(A434="","",IF(H434&lt;1,0,MAX(IF(H434&lt;5,14,IF(H434&lt;15,20,26)),IF(AND(I434&lt;&gt;"",OR(I434&lt;=18,I434&gt;=50)),20,0))))</f>
        <v/>
      </c>
      <c r="K434" s="17" t="str">
        <f aca="false">IF(A434="","",EDATE(E434,12*(H434+1)))</f>
        <v/>
      </c>
      <c r="L434" s="14" t="str">
        <f aca="false">IF(A434="","",K434-Ayarlar!$B$3)</f>
        <v/>
      </c>
      <c r="M434" s="18" t="str">
        <f aca="false">IF(A434="","",Veri_Guncel!H434)</f>
        <v/>
      </c>
      <c r="N434" s="18" t="str">
        <f aca="false">IF(A434="","",IFERROR(INDEX(Veri_Onceki!$H:$H,MATCH(A434,Veri_Onceki!$A:$A,0)),""))</f>
        <v/>
      </c>
      <c r="O434" s="14" t="str">
        <f aca="false">IF(A434="","",IF(AND(H434&gt;=1,EDATE(E434,12*H434)&gt;Ayarlar!$B$4,EDATE(E434,12*H434)&lt;=Ayarlar!$B$3),J434,0))</f>
        <v/>
      </c>
      <c r="P434" s="14" t="str">
        <f aca="false">IF(OR(A434="",N434=""),"",N434+O434-M434)</f>
        <v/>
      </c>
      <c r="Q434" s="16" t="str">
        <f aca="false">IF(A434="","",IF(M434&gt;=Ayarlar!$B$7,"ALARM",IF(M434&gt;=Ayarlar!$B$6,"Planla","")))</f>
        <v/>
      </c>
      <c r="R434" s="14" t="str">
        <f aca="false">IF(A434="","",IF(AND(L434&gt;=0,L434&lt;=Ayarlar!$B$9),"Evet",""))</f>
        <v/>
      </c>
      <c r="S434" s="16" t="str">
        <f aca="false">IF(A434="","",IF(N434="","Yeni personel",IF(P434&lt;0,"Kontrol et","")))</f>
        <v/>
      </c>
      <c r="T434" s="14" t="str">
        <f aca="false">IF(A434="","",IF(AND(G434=1,M434&gt;=Ayarlar!$B$6,OR(Ayarlar!$B$11="Tümü",C434=Ayarlar!$B$11)),M434+ROW()/100000,""))</f>
        <v/>
      </c>
    </row>
    <row r="435" customFormat="false" ht="15" hidden="false" customHeight="false" outlineLevel="0" collapsed="false">
      <c r="A435" s="18" t="str">
        <f aca="false">IF(Veri_Guncel!A435="","",Veri_Guncel!A435)</f>
        <v/>
      </c>
      <c r="B435" s="18" t="str">
        <f aca="false">IF($A435="","",Veri_Guncel!B435)</f>
        <v/>
      </c>
      <c r="C435" s="18" t="str">
        <f aca="false">IF($A435="","",Veri_Guncel!C435)</f>
        <v/>
      </c>
      <c r="D435" s="18" t="str">
        <f aca="false">IF($A435="","",Veri_Guncel!D435)</f>
        <v/>
      </c>
      <c r="E435" s="19" t="str">
        <f aca="false">IF($A435="","",Veri_Guncel!E435)</f>
        <v/>
      </c>
      <c r="F435" s="19" t="str">
        <f aca="false">IF($A435="","",Veri_Guncel!F435)</f>
        <v/>
      </c>
      <c r="G435" s="14" t="str">
        <f aca="false">IF(A435="","",IF(COUNTIF(Ayarlar!$A$15:$A$20,C435)&gt;0,1,0))</f>
        <v/>
      </c>
      <c r="H435" s="14" t="str">
        <f aca="false">IF(A435="","",DATEDIF(E435,Ayarlar!$B$3,"y"))</f>
        <v/>
      </c>
      <c r="I435" s="14" t="str">
        <f aca="false">IF(OR(A435="",F435=""),"",DATEDIF(F435,Ayarlar!$B$3,"y"))</f>
        <v/>
      </c>
      <c r="J435" s="14" t="str">
        <f aca="false">IF(A435="","",IF(H435&lt;1,0,MAX(IF(H435&lt;5,14,IF(H435&lt;15,20,26)),IF(AND(I435&lt;&gt;"",OR(I435&lt;=18,I435&gt;=50)),20,0))))</f>
        <v/>
      </c>
      <c r="K435" s="17" t="str">
        <f aca="false">IF(A435="","",EDATE(E435,12*(H435+1)))</f>
        <v/>
      </c>
      <c r="L435" s="14" t="str">
        <f aca="false">IF(A435="","",K435-Ayarlar!$B$3)</f>
        <v/>
      </c>
      <c r="M435" s="18" t="str">
        <f aca="false">IF(A435="","",Veri_Guncel!H435)</f>
        <v/>
      </c>
      <c r="N435" s="18" t="str">
        <f aca="false">IF(A435="","",IFERROR(INDEX(Veri_Onceki!$H:$H,MATCH(A435,Veri_Onceki!$A:$A,0)),""))</f>
        <v/>
      </c>
      <c r="O435" s="14" t="str">
        <f aca="false">IF(A435="","",IF(AND(H435&gt;=1,EDATE(E435,12*H435)&gt;Ayarlar!$B$4,EDATE(E435,12*H435)&lt;=Ayarlar!$B$3),J435,0))</f>
        <v/>
      </c>
      <c r="P435" s="14" t="str">
        <f aca="false">IF(OR(A435="",N435=""),"",N435+O435-M435)</f>
        <v/>
      </c>
      <c r="Q435" s="16" t="str">
        <f aca="false">IF(A435="","",IF(M435&gt;=Ayarlar!$B$7,"ALARM",IF(M435&gt;=Ayarlar!$B$6,"Planla","")))</f>
        <v/>
      </c>
      <c r="R435" s="14" t="str">
        <f aca="false">IF(A435="","",IF(AND(L435&gt;=0,L435&lt;=Ayarlar!$B$9),"Evet",""))</f>
        <v/>
      </c>
      <c r="S435" s="16" t="str">
        <f aca="false">IF(A435="","",IF(N435="","Yeni personel",IF(P435&lt;0,"Kontrol et","")))</f>
        <v/>
      </c>
      <c r="T435" s="14" t="str">
        <f aca="false">IF(A435="","",IF(AND(G435=1,M435&gt;=Ayarlar!$B$6,OR(Ayarlar!$B$11="Tümü",C435=Ayarlar!$B$11)),M435+ROW()/100000,""))</f>
        <v/>
      </c>
    </row>
    <row r="436" customFormat="false" ht="15" hidden="false" customHeight="false" outlineLevel="0" collapsed="false">
      <c r="A436" s="18" t="str">
        <f aca="false">IF(Veri_Guncel!A436="","",Veri_Guncel!A436)</f>
        <v/>
      </c>
      <c r="B436" s="18" t="str">
        <f aca="false">IF($A436="","",Veri_Guncel!B436)</f>
        <v/>
      </c>
      <c r="C436" s="18" t="str">
        <f aca="false">IF($A436="","",Veri_Guncel!C436)</f>
        <v/>
      </c>
      <c r="D436" s="18" t="str">
        <f aca="false">IF($A436="","",Veri_Guncel!D436)</f>
        <v/>
      </c>
      <c r="E436" s="19" t="str">
        <f aca="false">IF($A436="","",Veri_Guncel!E436)</f>
        <v/>
      </c>
      <c r="F436" s="19" t="str">
        <f aca="false">IF($A436="","",Veri_Guncel!F436)</f>
        <v/>
      </c>
      <c r="G436" s="14" t="str">
        <f aca="false">IF(A436="","",IF(COUNTIF(Ayarlar!$A$15:$A$20,C436)&gt;0,1,0))</f>
        <v/>
      </c>
      <c r="H436" s="14" t="str">
        <f aca="false">IF(A436="","",DATEDIF(E436,Ayarlar!$B$3,"y"))</f>
        <v/>
      </c>
      <c r="I436" s="14" t="str">
        <f aca="false">IF(OR(A436="",F436=""),"",DATEDIF(F436,Ayarlar!$B$3,"y"))</f>
        <v/>
      </c>
      <c r="J436" s="14" t="str">
        <f aca="false">IF(A436="","",IF(H436&lt;1,0,MAX(IF(H436&lt;5,14,IF(H436&lt;15,20,26)),IF(AND(I436&lt;&gt;"",OR(I436&lt;=18,I436&gt;=50)),20,0))))</f>
        <v/>
      </c>
      <c r="K436" s="17" t="str">
        <f aca="false">IF(A436="","",EDATE(E436,12*(H436+1)))</f>
        <v/>
      </c>
      <c r="L436" s="14" t="str">
        <f aca="false">IF(A436="","",K436-Ayarlar!$B$3)</f>
        <v/>
      </c>
      <c r="M436" s="18" t="str">
        <f aca="false">IF(A436="","",Veri_Guncel!H436)</f>
        <v/>
      </c>
      <c r="N436" s="18" t="str">
        <f aca="false">IF(A436="","",IFERROR(INDEX(Veri_Onceki!$H:$H,MATCH(A436,Veri_Onceki!$A:$A,0)),""))</f>
        <v/>
      </c>
      <c r="O436" s="14" t="str">
        <f aca="false">IF(A436="","",IF(AND(H436&gt;=1,EDATE(E436,12*H436)&gt;Ayarlar!$B$4,EDATE(E436,12*H436)&lt;=Ayarlar!$B$3),J436,0))</f>
        <v/>
      </c>
      <c r="P436" s="14" t="str">
        <f aca="false">IF(OR(A436="",N436=""),"",N436+O436-M436)</f>
        <v/>
      </c>
      <c r="Q436" s="16" t="str">
        <f aca="false">IF(A436="","",IF(M436&gt;=Ayarlar!$B$7,"ALARM",IF(M436&gt;=Ayarlar!$B$6,"Planla","")))</f>
        <v/>
      </c>
      <c r="R436" s="14" t="str">
        <f aca="false">IF(A436="","",IF(AND(L436&gt;=0,L436&lt;=Ayarlar!$B$9),"Evet",""))</f>
        <v/>
      </c>
      <c r="S436" s="16" t="str">
        <f aca="false">IF(A436="","",IF(N436="","Yeni personel",IF(P436&lt;0,"Kontrol et","")))</f>
        <v/>
      </c>
      <c r="T436" s="14" t="str">
        <f aca="false">IF(A436="","",IF(AND(G436=1,M436&gt;=Ayarlar!$B$6,OR(Ayarlar!$B$11="Tümü",C436=Ayarlar!$B$11)),M436+ROW()/100000,""))</f>
        <v/>
      </c>
    </row>
    <row r="437" customFormat="false" ht="15" hidden="false" customHeight="false" outlineLevel="0" collapsed="false">
      <c r="A437" s="18" t="str">
        <f aca="false">IF(Veri_Guncel!A437="","",Veri_Guncel!A437)</f>
        <v/>
      </c>
      <c r="B437" s="18" t="str">
        <f aca="false">IF($A437="","",Veri_Guncel!B437)</f>
        <v/>
      </c>
      <c r="C437" s="18" t="str">
        <f aca="false">IF($A437="","",Veri_Guncel!C437)</f>
        <v/>
      </c>
      <c r="D437" s="18" t="str">
        <f aca="false">IF($A437="","",Veri_Guncel!D437)</f>
        <v/>
      </c>
      <c r="E437" s="19" t="str">
        <f aca="false">IF($A437="","",Veri_Guncel!E437)</f>
        <v/>
      </c>
      <c r="F437" s="19" t="str">
        <f aca="false">IF($A437="","",Veri_Guncel!F437)</f>
        <v/>
      </c>
      <c r="G437" s="14" t="str">
        <f aca="false">IF(A437="","",IF(COUNTIF(Ayarlar!$A$15:$A$20,C437)&gt;0,1,0))</f>
        <v/>
      </c>
      <c r="H437" s="14" t="str">
        <f aca="false">IF(A437="","",DATEDIF(E437,Ayarlar!$B$3,"y"))</f>
        <v/>
      </c>
      <c r="I437" s="14" t="str">
        <f aca="false">IF(OR(A437="",F437=""),"",DATEDIF(F437,Ayarlar!$B$3,"y"))</f>
        <v/>
      </c>
      <c r="J437" s="14" t="str">
        <f aca="false">IF(A437="","",IF(H437&lt;1,0,MAX(IF(H437&lt;5,14,IF(H437&lt;15,20,26)),IF(AND(I437&lt;&gt;"",OR(I437&lt;=18,I437&gt;=50)),20,0))))</f>
        <v/>
      </c>
      <c r="K437" s="17" t="str">
        <f aca="false">IF(A437="","",EDATE(E437,12*(H437+1)))</f>
        <v/>
      </c>
      <c r="L437" s="14" t="str">
        <f aca="false">IF(A437="","",K437-Ayarlar!$B$3)</f>
        <v/>
      </c>
      <c r="M437" s="18" t="str">
        <f aca="false">IF(A437="","",Veri_Guncel!H437)</f>
        <v/>
      </c>
      <c r="N437" s="18" t="str">
        <f aca="false">IF(A437="","",IFERROR(INDEX(Veri_Onceki!$H:$H,MATCH(A437,Veri_Onceki!$A:$A,0)),""))</f>
        <v/>
      </c>
      <c r="O437" s="14" t="str">
        <f aca="false">IF(A437="","",IF(AND(H437&gt;=1,EDATE(E437,12*H437)&gt;Ayarlar!$B$4,EDATE(E437,12*H437)&lt;=Ayarlar!$B$3),J437,0))</f>
        <v/>
      </c>
      <c r="P437" s="14" t="str">
        <f aca="false">IF(OR(A437="",N437=""),"",N437+O437-M437)</f>
        <v/>
      </c>
      <c r="Q437" s="16" t="str">
        <f aca="false">IF(A437="","",IF(M437&gt;=Ayarlar!$B$7,"ALARM",IF(M437&gt;=Ayarlar!$B$6,"Planla","")))</f>
        <v/>
      </c>
      <c r="R437" s="14" t="str">
        <f aca="false">IF(A437="","",IF(AND(L437&gt;=0,L437&lt;=Ayarlar!$B$9),"Evet",""))</f>
        <v/>
      </c>
      <c r="S437" s="16" t="str">
        <f aca="false">IF(A437="","",IF(N437="","Yeni personel",IF(P437&lt;0,"Kontrol et","")))</f>
        <v/>
      </c>
      <c r="T437" s="14" t="str">
        <f aca="false">IF(A437="","",IF(AND(G437=1,M437&gt;=Ayarlar!$B$6,OR(Ayarlar!$B$11="Tümü",C437=Ayarlar!$B$11)),M437+ROW()/100000,""))</f>
        <v/>
      </c>
    </row>
    <row r="438" customFormat="false" ht="15" hidden="false" customHeight="false" outlineLevel="0" collapsed="false">
      <c r="A438" s="18" t="str">
        <f aca="false">IF(Veri_Guncel!A438="","",Veri_Guncel!A438)</f>
        <v/>
      </c>
      <c r="B438" s="18" t="str">
        <f aca="false">IF($A438="","",Veri_Guncel!B438)</f>
        <v/>
      </c>
      <c r="C438" s="18" t="str">
        <f aca="false">IF($A438="","",Veri_Guncel!C438)</f>
        <v/>
      </c>
      <c r="D438" s="18" t="str">
        <f aca="false">IF($A438="","",Veri_Guncel!D438)</f>
        <v/>
      </c>
      <c r="E438" s="19" t="str">
        <f aca="false">IF($A438="","",Veri_Guncel!E438)</f>
        <v/>
      </c>
      <c r="F438" s="19" t="str">
        <f aca="false">IF($A438="","",Veri_Guncel!F438)</f>
        <v/>
      </c>
      <c r="G438" s="14" t="str">
        <f aca="false">IF(A438="","",IF(COUNTIF(Ayarlar!$A$15:$A$20,C438)&gt;0,1,0))</f>
        <v/>
      </c>
      <c r="H438" s="14" t="str">
        <f aca="false">IF(A438="","",DATEDIF(E438,Ayarlar!$B$3,"y"))</f>
        <v/>
      </c>
      <c r="I438" s="14" t="str">
        <f aca="false">IF(OR(A438="",F438=""),"",DATEDIF(F438,Ayarlar!$B$3,"y"))</f>
        <v/>
      </c>
      <c r="J438" s="14" t="str">
        <f aca="false">IF(A438="","",IF(H438&lt;1,0,MAX(IF(H438&lt;5,14,IF(H438&lt;15,20,26)),IF(AND(I438&lt;&gt;"",OR(I438&lt;=18,I438&gt;=50)),20,0))))</f>
        <v/>
      </c>
      <c r="K438" s="17" t="str">
        <f aca="false">IF(A438="","",EDATE(E438,12*(H438+1)))</f>
        <v/>
      </c>
      <c r="L438" s="14" t="str">
        <f aca="false">IF(A438="","",K438-Ayarlar!$B$3)</f>
        <v/>
      </c>
      <c r="M438" s="18" t="str">
        <f aca="false">IF(A438="","",Veri_Guncel!H438)</f>
        <v/>
      </c>
      <c r="N438" s="18" t="str">
        <f aca="false">IF(A438="","",IFERROR(INDEX(Veri_Onceki!$H:$H,MATCH(A438,Veri_Onceki!$A:$A,0)),""))</f>
        <v/>
      </c>
      <c r="O438" s="14" t="str">
        <f aca="false">IF(A438="","",IF(AND(H438&gt;=1,EDATE(E438,12*H438)&gt;Ayarlar!$B$4,EDATE(E438,12*H438)&lt;=Ayarlar!$B$3),J438,0))</f>
        <v/>
      </c>
      <c r="P438" s="14" t="str">
        <f aca="false">IF(OR(A438="",N438=""),"",N438+O438-M438)</f>
        <v/>
      </c>
      <c r="Q438" s="16" t="str">
        <f aca="false">IF(A438="","",IF(M438&gt;=Ayarlar!$B$7,"ALARM",IF(M438&gt;=Ayarlar!$B$6,"Planla","")))</f>
        <v/>
      </c>
      <c r="R438" s="14" t="str">
        <f aca="false">IF(A438="","",IF(AND(L438&gt;=0,L438&lt;=Ayarlar!$B$9),"Evet",""))</f>
        <v/>
      </c>
      <c r="S438" s="16" t="str">
        <f aca="false">IF(A438="","",IF(N438="","Yeni personel",IF(P438&lt;0,"Kontrol et","")))</f>
        <v/>
      </c>
      <c r="T438" s="14" t="str">
        <f aca="false">IF(A438="","",IF(AND(G438=1,M438&gt;=Ayarlar!$B$6,OR(Ayarlar!$B$11="Tümü",C438=Ayarlar!$B$11)),M438+ROW()/100000,""))</f>
        <v/>
      </c>
    </row>
    <row r="439" customFormat="false" ht="15" hidden="false" customHeight="false" outlineLevel="0" collapsed="false">
      <c r="A439" s="18" t="str">
        <f aca="false">IF(Veri_Guncel!A439="","",Veri_Guncel!A439)</f>
        <v/>
      </c>
      <c r="B439" s="18" t="str">
        <f aca="false">IF($A439="","",Veri_Guncel!B439)</f>
        <v/>
      </c>
      <c r="C439" s="18" t="str">
        <f aca="false">IF($A439="","",Veri_Guncel!C439)</f>
        <v/>
      </c>
      <c r="D439" s="18" t="str">
        <f aca="false">IF($A439="","",Veri_Guncel!D439)</f>
        <v/>
      </c>
      <c r="E439" s="19" t="str">
        <f aca="false">IF($A439="","",Veri_Guncel!E439)</f>
        <v/>
      </c>
      <c r="F439" s="19" t="str">
        <f aca="false">IF($A439="","",Veri_Guncel!F439)</f>
        <v/>
      </c>
      <c r="G439" s="14" t="str">
        <f aca="false">IF(A439="","",IF(COUNTIF(Ayarlar!$A$15:$A$20,C439)&gt;0,1,0))</f>
        <v/>
      </c>
      <c r="H439" s="14" t="str">
        <f aca="false">IF(A439="","",DATEDIF(E439,Ayarlar!$B$3,"y"))</f>
        <v/>
      </c>
      <c r="I439" s="14" t="str">
        <f aca="false">IF(OR(A439="",F439=""),"",DATEDIF(F439,Ayarlar!$B$3,"y"))</f>
        <v/>
      </c>
      <c r="J439" s="14" t="str">
        <f aca="false">IF(A439="","",IF(H439&lt;1,0,MAX(IF(H439&lt;5,14,IF(H439&lt;15,20,26)),IF(AND(I439&lt;&gt;"",OR(I439&lt;=18,I439&gt;=50)),20,0))))</f>
        <v/>
      </c>
      <c r="K439" s="17" t="str">
        <f aca="false">IF(A439="","",EDATE(E439,12*(H439+1)))</f>
        <v/>
      </c>
      <c r="L439" s="14" t="str">
        <f aca="false">IF(A439="","",K439-Ayarlar!$B$3)</f>
        <v/>
      </c>
      <c r="M439" s="18" t="str">
        <f aca="false">IF(A439="","",Veri_Guncel!H439)</f>
        <v/>
      </c>
      <c r="N439" s="18" t="str">
        <f aca="false">IF(A439="","",IFERROR(INDEX(Veri_Onceki!$H:$H,MATCH(A439,Veri_Onceki!$A:$A,0)),""))</f>
        <v/>
      </c>
      <c r="O439" s="14" t="str">
        <f aca="false">IF(A439="","",IF(AND(H439&gt;=1,EDATE(E439,12*H439)&gt;Ayarlar!$B$4,EDATE(E439,12*H439)&lt;=Ayarlar!$B$3),J439,0))</f>
        <v/>
      </c>
      <c r="P439" s="14" t="str">
        <f aca="false">IF(OR(A439="",N439=""),"",N439+O439-M439)</f>
        <v/>
      </c>
      <c r="Q439" s="16" t="str">
        <f aca="false">IF(A439="","",IF(M439&gt;=Ayarlar!$B$7,"ALARM",IF(M439&gt;=Ayarlar!$B$6,"Planla","")))</f>
        <v/>
      </c>
      <c r="R439" s="14" t="str">
        <f aca="false">IF(A439="","",IF(AND(L439&gt;=0,L439&lt;=Ayarlar!$B$9),"Evet",""))</f>
        <v/>
      </c>
      <c r="S439" s="16" t="str">
        <f aca="false">IF(A439="","",IF(N439="","Yeni personel",IF(P439&lt;0,"Kontrol et","")))</f>
        <v/>
      </c>
      <c r="T439" s="14" t="str">
        <f aca="false">IF(A439="","",IF(AND(G439=1,M439&gt;=Ayarlar!$B$6,OR(Ayarlar!$B$11="Tümü",C439=Ayarlar!$B$11)),M439+ROW()/100000,""))</f>
        <v/>
      </c>
    </row>
    <row r="440" customFormat="false" ht="15" hidden="false" customHeight="false" outlineLevel="0" collapsed="false">
      <c r="A440" s="18" t="str">
        <f aca="false">IF(Veri_Guncel!A440="","",Veri_Guncel!A440)</f>
        <v/>
      </c>
      <c r="B440" s="18" t="str">
        <f aca="false">IF($A440="","",Veri_Guncel!B440)</f>
        <v/>
      </c>
      <c r="C440" s="18" t="str">
        <f aca="false">IF($A440="","",Veri_Guncel!C440)</f>
        <v/>
      </c>
      <c r="D440" s="18" t="str">
        <f aca="false">IF($A440="","",Veri_Guncel!D440)</f>
        <v/>
      </c>
      <c r="E440" s="19" t="str">
        <f aca="false">IF($A440="","",Veri_Guncel!E440)</f>
        <v/>
      </c>
      <c r="F440" s="19" t="str">
        <f aca="false">IF($A440="","",Veri_Guncel!F440)</f>
        <v/>
      </c>
      <c r="G440" s="14" t="str">
        <f aca="false">IF(A440="","",IF(COUNTIF(Ayarlar!$A$15:$A$20,C440)&gt;0,1,0))</f>
        <v/>
      </c>
      <c r="H440" s="14" t="str">
        <f aca="false">IF(A440="","",DATEDIF(E440,Ayarlar!$B$3,"y"))</f>
        <v/>
      </c>
      <c r="I440" s="14" t="str">
        <f aca="false">IF(OR(A440="",F440=""),"",DATEDIF(F440,Ayarlar!$B$3,"y"))</f>
        <v/>
      </c>
      <c r="J440" s="14" t="str">
        <f aca="false">IF(A440="","",IF(H440&lt;1,0,MAX(IF(H440&lt;5,14,IF(H440&lt;15,20,26)),IF(AND(I440&lt;&gt;"",OR(I440&lt;=18,I440&gt;=50)),20,0))))</f>
        <v/>
      </c>
      <c r="K440" s="17" t="str">
        <f aca="false">IF(A440="","",EDATE(E440,12*(H440+1)))</f>
        <v/>
      </c>
      <c r="L440" s="14" t="str">
        <f aca="false">IF(A440="","",K440-Ayarlar!$B$3)</f>
        <v/>
      </c>
      <c r="M440" s="18" t="str">
        <f aca="false">IF(A440="","",Veri_Guncel!H440)</f>
        <v/>
      </c>
      <c r="N440" s="18" t="str">
        <f aca="false">IF(A440="","",IFERROR(INDEX(Veri_Onceki!$H:$H,MATCH(A440,Veri_Onceki!$A:$A,0)),""))</f>
        <v/>
      </c>
      <c r="O440" s="14" t="str">
        <f aca="false">IF(A440="","",IF(AND(H440&gt;=1,EDATE(E440,12*H440)&gt;Ayarlar!$B$4,EDATE(E440,12*H440)&lt;=Ayarlar!$B$3),J440,0))</f>
        <v/>
      </c>
      <c r="P440" s="14" t="str">
        <f aca="false">IF(OR(A440="",N440=""),"",N440+O440-M440)</f>
        <v/>
      </c>
      <c r="Q440" s="16" t="str">
        <f aca="false">IF(A440="","",IF(M440&gt;=Ayarlar!$B$7,"ALARM",IF(M440&gt;=Ayarlar!$B$6,"Planla","")))</f>
        <v/>
      </c>
      <c r="R440" s="14" t="str">
        <f aca="false">IF(A440="","",IF(AND(L440&gt;=0,L440&lt;=Ayarlar!$B$9),"Evet",""))</f>
        <v/>
      </c>
      <c r="S440" s="16" t="str">
        <f aca="false">IF(A440="","",IF(N440="","Yeni personel",IF(P440&lt;0,"Kontrol et","")))</f>
        <v/>
      </c>
      <c r="T440" s="14" t="str">
        <f aca="false">IF(A440="","",IF(AND(G440=1,M440&gt;=Ayarlar!$B$6,OR(Ayarlar!$B$11="Tümü",C440=Ayarlar!$B$11)),M440+ROW()/100000,""))</f>
        <v/>
      </c>
    </row>
    <row r="441" customFormat="false" ht="15" hidden="false" customHeight="false" outlineLevel="0" collapsed="false">
      <c r="A441" s="18" t="str">
        <f aca="false">IF(Veri_Guncel!A441="","",Veri_Guncel!A441)</f>
        <v/>
      </c>
      <c r="B441" s="18" t="str">
        <f aca="false">IF($A441="","",Veri_Guncel!B441)</f>
        <v/>
      </c>
      <c r="C441" s="18" t="str">
        <f aca="false">IF($A441="","",Veri_Guncel!C441)</f>
        <v/>
      </c>
      <c r="D441" s="18" t="str">
        <f aca="false">IF($A441="","",Veri_Guncel!D441)</f>
        <v/>
      </c>
      <c r="E441" s="19" t="str">
        <f aca="false">IF($A441="","",Veri_Guncel!E441)</f>
        <v/>
      </c>
      <c r="F441" s="19" t="str">
        <f aca="false">IF($A441="","",Veri_Guncel!F441)</f>
        <v/>
      </c>
      <c r="G441" s="14" t="str">
        <f aca="false">IF(A441="","",IF(COUNTIF(Ayarlar!$A$15:$A$20,C441)&gt;0,1,0))</f>
        <v/>
      </c>
      <c r="H441" s="14" t="str">
        <f aca="false">IF(A441="","",DATEDIF(E441,Ayarlar!$B$3,"y"))</f>
        <v/>
      </c>
      <c r="I441" s="14" t="str">
        <f aca="false">IF(OR(A441="",F441=""),"",DATEDIF(F441,Ayarlar!$B$3,"y"))</f>
        <v/>
      </c>
      <c r="J441" s="14" t="str">
        <f aca="false">IF(A441="","",IF(H441&lt;1,0,MAX(IF(H441&lt;5,14,IF(H441&lt;15,20,26)),IF(AND(I441&lt;&gt;"",OR(I441&lt;=18,I441&gt;=50)),20,0))))</f>
        <v/>
      </c>
      <c r="K441" s="17" t="str">
        <f aca="false">IF(A441="","",EDATE(E441,12*(H441+1)))</f>
        <v/>
      </c>
      <c r="L441" s="14" t="str">
        <f aca="false">IF(A441="","",K441-Ayarlar!$B$3)</f>
        <v/>
      </c>
      <c r="M441" s="18" t="str">
        <f aca="false">IF(A441="","",Veri_Guncel!H441)</f>
        <v/>
      </c>
      <c r="N441" s="18" t="str">
        <f aca="false">IF(A441="","",IFERROR(INDEX(Veri_Onceki!$H:$H,MATCH(A441,Veri_Onceki!$A:$A,0)),""))</f>
        <v/>
      </c>
      <c r="O441" s="14" t="str">
        <f aca="false">IF(A441="","",IF(AND(H441&gt;=1,EDATE(E441,12*H441)&gt;Ayarlar!$B$4,EDATE(E441,12*H441)&lt;=Ayarlar!$B$3),J441,0))</f>
        <v/>
      </c>
      <c r="P441" s="14" t="str">
        <f aca="false">IF(OR(A441="",N441=""),"",N441+O441-M441)</f>
        <v/>
      </c>
      <c r="Q441" s="16" t="str">
        <f aca="false">IF(A441="","",IF(M441&gt;=Ayarlar!$B$7,"ALARM",IF(M441&gt;=Ayarlar!$B$6,"Planla","")))</f>
        <v/>
      </c>
      <c r="R441" s="14" t="str">
        <f aca="false">IF(A441="","",IF(AND(L441&gt;=0,L441&lt;=Ayarlar!$B$9),"Evet",""))</f>
        <v/>
      </c>
      <c r="S441" s="16" t="str">
        <f aca="false">IF(A441="","",IF(N441="","Yeni personel",IF(P441&lt;0,"Kontrol et","")))</f>
        <v/>
      </c>
      <c r="T441" s="14" t="str">
        <f aca="false">IF(A441="","",IF(AND(G441=1,M441&gt;=Ayarlar!$B$6,OR(Ayarlar!$B$11="Tümü",C441=Ayarlar!$B$11)),M441+ROW()/100000,""))</f>
        <v/>
      </c>
    </row>
    <row r="442" customFormat="false" ht="15" hidden="false" customHeight="false" outlineLevel="0" collapsed="false">
      <c r="A442" s="18" t="str">
        <f aca="false">IF(Veri_Guncel!A442="","",Veri_Guncel!A442)</f>
        <v/>
      </c>
      <c r="B442" s="18" t="str">
        <f aca="false">IF($A442="","",Veri_Guncel!B442)</f>
        <v/>
      </c>
      <c r="C442" s="18" t="str">
        <f aca="false">IF($A442="","",Veri_Guncel!C442)</f>
        <v/>
      </c>
      <c r="D442" s="18" t="str">
        <f aca="false">IF($A442="","",Veri_Guncel!D442)</f>
        <v/>
      </c>
      <c r="E442" s="19" t="str">
        <f aca="false">IF($A442="","",Veri_Guncel!E442)</f>
        <v/>
      </c>
      <c r="F442" s="19" t="str">
        <f aca="false">IF($A442="","",Veri_Guncel!F442)</f>
        <v/>
      </c>
      <c r="G442" s="14" t="str">
        <f aca="false">IF(A442="","",IF(COUNTIF(Ayarlar!$A$15:$A$20,C442)&gt;0,1,0))</f>
        <v/>
      </c>
      <c r="H442" s="14" t="str">
        <f aca="false">IF(A442="","",DATEDIF(E442,Ayarlar!$B$3,"y"))</f>
        <v/>
      </c>
      <c r="I442" s="14" t="str">
        <f aca="false">IF(OR(A442="",F442=""),"",DATEDIF(F442,Ayarlar!$B$3,"y"))</f>
        <v/>
      </c>
      <c r="J442" s="14" t="str">
        <f aca="false">IF(A442="","",IF(H442&lt;1,0,MAX(IF(H442&lt;5,14,IF(H442&lt;15,20,26)),IF(AND(I442&lt;&gt;"",OR(I442&lt;=18,I442&gt;=50)),20,0))))</f>
        <v/>
      </c>
      <c r="K442" s="17" t="str">
        <f aca="false">IF(A442="","",EDATE(E442,12*(H442+1)))</f>
        <v/>
      </c>
      <c r="L442" s="14" t="str">
        <f aca="false">IF(A442="","",K442-Ayarlar!$B$3)</f>
        <v/>
      </c>
      <c r="M442" s="18" t="str">
        <f aca="false">IF(A442="","",Veri_Guncel!H442)</f>
        <v/>
      </c>
      <c r="N442" s="18" t="str">
        <f aca="false">IF(A442="","",IFERROR(INDEX(Veri_Onceki!$H:$H,MATCH(A442,Veri_Onceki!$A:$A,0)),""))</f>
        <v/>
      </c>
      <c r="O442" s="14" t="str">
        <f aca="false">IF(A442="","",IF(AND(H442&gt;=1,EDATE(E442,12*H442)&gt;Ayarlar!$B$4,EDATE(E442,12*H442)&lt;=Ayarlar!$B$3),J442,0))</f>
        <v/>
      </c>
      <c r="P442" s="14" t="str">
        <f aca="false">IF(OR(A442="",N442=""),"",N442+O442-M442)</f>
        <v/>
      </c>
      <c r="Q442" s="16" t="str">
        <f aca="false">IF(A442="","",IF(M442&gt;=Ayarlar!$B$7,"ALARM",IF(M442&gt;=Ayarlar!$B$6,"Planla","")))</f>
        <v/>
      </c>
      <c r="R442" s="14" t="str">
        <f aca="false">IF(A442="","",IF(AND(L442&gt;=0,L442&lt;=Ayarlar!$B$9),"Evet",""))</f>
        <v/>
      </c>
      <c r="S442" s="16" t="str">
        <f aca="false">IF(A442="","",IF(N442="","Yeni personel",IF(P442&lt;0,"Kontrol et","")))</f>
        <v/>
      </c>
      <c r="T442" s="14" t="str">
        <f aca="false">IF(A442="","",IF(AND(G442=1,M442&gt;=Ayarlar!$B$6,OR(Ayarlar!$B$11="Tümü",C442=Ayarlar!$B$11)),M442+ROW()/100000,""))</f>
        <v/>
      </c>
    </row>
    <row r="443" customFormat="false" ht="15" hidden="false" customHeight="false" outlineLevel="0" collapsed="false">
      <c r="A443" s="18" t="str">
        <f aca="false">IF(Veri_Guncel!A443="","",Veri_Guncel!A443)</f>
        <v/>
      </c>
      <c r="B443" s="18" t="str">
        <f aca="false">IF($A443="","",Veri_Guncel!B443)</f>
        <v/>
      </c>
      <c r="C443" s="18" t="str">
        <f aca="false">IF($A443="","",Veri_Guncel!C443)</f>
        <v/>
      </c>
      <c r="D443" s="18" t="str">
        <f aca="false">IF($A443="","",Veri_Guncel!D443)</f>
        <v/>
      </c>
      <c r="E443" s="19" t="str">
        <f aca="false">IF($A443="","",Veri_Guncel!E443)</f>
        <v/>
      </c>
      <c r="F443" s="19" t="str">
        <f aca="false">IF($A443="","",Veri_Guncel!F443)</f>
        <v/>
      </c>
      <c r="G443" s="14" t="str">
        <f aca="false">IF(A443="","",IF(COUNTIF(Ayarlar!$A$15:$A$20,C443)&gt;0,1,0))</f>
        <v/>
      </c>
      <c r="H443" s="14" t="str">
        <f aca="false">IF(A443="","",DATEDIF(E443,Ayarlar!$B$3,"y"))</f>
        <v/>
      </c>
      <c r="I443" s="14" t="str">
        <f aca="false">IF(OR(A443="",F443=""),"",DATEDIF(F443,Ayarlar!$B$3,"y"))</f>
        <v/>
      </c>
      <c r="J443" s="14" t="str">
        <f aca="false">IF(A443="","",IF(H443&lt;1,0,MAX(IF(H443&lt;5,14,IF(H443&lt;15,20,26)),IF(AND(I443&lt;&gt;"",OR(I443&lt;=18,I443&gt;=50)),20,0))))</f>
        <v/>
      </c>
      <c r="K443" s="17" t="str">
        <f aca="false">IF(A443="","",EDATE(E443,12*(H443+1)))</f>
        <v/>
      </c>
      <c r="L443" s="14" t="str">
        <f aca="false">IF(A443="","",K443-Ayarlar!$B$3)</f>
        <v/>
      </c>
      <c r="M443" s="18" t="str">
        <f aca="false">IF(A443="","",Veri_Guncel!H443)</f>
        <v/>
      </c>
      <c r="N443" s="18" t="str">
        <f aca="false">IF(A443="","",IFERROR(INDEX(Veri_Onceki!$H:$H,MATCH(A443,Veri_Onceki!$A:$A,0)),""))</f>
        <v/>
      </c>
      <c r="O443" s="14" t="str">
        <f aca="false">IF(A443="","",IF(AND(H443&gt;=1,EDATE(E443,12*H443)&gt;Ayarlar!$B$4,EDATE(E443,12*H443)&lt;=Ayarlar!$B$3),J443,0))</f>
        <v/>
      </c>
      <c r="P443" s="14" t="str">
        <f aca="false">IF(OR(A443="",N443=""),"",N443+O443-M443)</f>
        <v/>
      </c>
      <c r="Q443" s="16" t="str">
        <f aca="false">IF(A443="","",IF(M443&gt;=Ayarlar!$B$7,"ALARM",IF(M443&gt;=Ayarlar!$B$6,"Planla","")))</f>
        <v/>
      </c>
      <c r="R443" s="14" t="str">
        <f aca="false">IF(A443="","",IF(AND(L443&gt;=0,L443&lt;=Ayarlar!$B$9),"Evet",""))</f>
        <v/>
      </c>
      <c r="S443" s="16" t="str">
        <f aca="false">IF(A443="","",IF(N443="","Yeni personel",IF(P443&lt;0,"Kontrol et","")))</f>
        <v/>
      </c>
      <c r="T443" s="14" t="str">
        <f aca="false">IF(A443="","",IF(AND(G443=1,M443&gt;=Ayarlar!$B$6,OR(Ayarlar!$B$11="Tümü",C443=Ayarlar!$B$11)),M443+ROW()/100000,""))</f>
        <v/>
      </c>
    </row>
    <row r="444" customFormat="false" ht="15" hidden="false" customHeight="false" outlineLevel="0" collapsed="false">
      <c r="A444" s="18" t="str">
        <f aca="false">IF(Veri_Guncel!A444="","",Veri_Guncel!A444)</f>
        <v/>
      </c>
      <c r="B444" s="18" t="str">
        <f aca="false">IF($A444="","",Veri_Guncel!B444)</f>
        <v/>
      </c>
      <c r="C444" s="18" t="str">
        <f aca="false">IF($A444="","",Veri_Guncel!C444)</f>
        <v/>
      </c>
      <c r="D444" s="18" t="str">
        <f aca="false">IF($A444="","",Veri_Guncel!D444)</f>
        <v/>
      </c>
      <c r="E444" s="19" t="str">
        <f aca="false">IF($A444="","",Veri_Guncel!E444)</f>
        <v/>
      </c>
      <c r="F444" s="19" t="str">
        <f aca="false">IF($A444="","",Veri_Guncel!F444)</f>
        <v/>
      </c>
      <c r="G444" s="14" t="str">
        <f aca="false">IF(A444="","",IF(COUNTIF(Ayarlar!$A$15:$A$20,C444)&gt;0,1,0))</f>
        <v/>
      </c>
      <c r="H444" s="14" t="str">
        <f aca="false">IF(A444="","",DATEDIF(E444,Ayarlar!$B$3,"y"))</f>
        <v/>
      </c>
      <c r="I444" s="14" t="str">
        <f aca="false">IF(OR(A444="",F444=""),"",DATEDIF(F444,Ayarlar!$B$3,"y"))</f>
        <v/>
      </c>
      <c r="J444" s="14" t="str">
        <f aca="false">IF(A444="","",IF(H444&lt;1,0,MAX(IF(H444&lt;5,14,IF(H444&lt;15,20,26)),IF(AND(I444&lt;&gt;"",OR(I444&lt;=18,I444&gt;=50)),20,0))))</f>
        <v/>
      </c>
      <c r="K444" s="17" t="str">
        <f aca="false">IF(A444="","",EDATE(E444,12*(H444+1)))</f>
        <v/>
      </c>
      <c r="L444" s="14" t="str">
        <f aca="false">IF(A444="","",K444-Ayarlar!$B$3)</f>
        <v/>
      </c>
      <c r="M444" s="18" t="str">
        <f aca="false">IF(A444="","",Veri_Guncel!H444)</f>
        <v/>
      </c>
      <c r="N444" s="18" t="str">
        <f aca="false">IF(A444="","",IFERROR(INDEX(Veri_Onceki!$H:$H,MATCH(A444,Veri_Onceki!$A:$A,0)),""))</f>
        <v/>
      </c>
      <c r="O444" s="14" t="str">
        <f aca="false">IF(A444="","",IF(AND(H444&gt;=1,EDATE(E444,12*H444)&gt;Ayarlar!$B$4,EDATE(E444,12*H444)&lt;=Ayarlar!$B$3),J444,0))</f>
        <v/>
      </c>
      <c r="P444" s="14" t="str">
        <f aca="false">IF(OR(A444="",N444=""),"",N444+O444-M444)</f>
        <v/>
      </c>
      <c r="Q444" s="16" t="str">
        <f aca="false">IF(A444="","",IF(M444&gt;=Ayarlar!$B$7,"ALARM",IF(M444&gt;=Ayarlar!$B$6,"Planla","")))</f>
        <v/>
      </c>
      <c r="R444" s="14" t="str">
        <f aca="false">IF(A444="","",IF(AND(L444&gt;=0,L444&lt;=Ayarlar!$B$9),"Evet",""))</f>
        <v/>
      </c>
      <c r="S444" s="16" t="str">
        <f aca="false">IF(A444="","",IF(N444="","Yeni personel",IF(P444&lt;0,"Kontrol et","")))</f>
        <v/>
      </c>
      <c r="T444" s="14" t="str">
        <f aca="false">IF(A444="","",IF(AND(G444=1,M444&gt;=Ayarlar!$B$6,OR(Ayarlar!$B$11="Tümü",C444=Ayarlar!$B$11)),M444+ROW()/100000,""))</f>
        <v/>
      </c>
    </row>
    <row r="445" customFormat="false" ht="15" hidden="false" customHeight="false" outlineLevel="0" collapsed="false">
      <c r="A445" s="18" t="str">
        <f aca="false">IF(Veri_Guncel!A445="","",Veri_Guncel!A445)</f>
        <v/>
      </c>
      <c r="B445" s="18" t="str">
        <f aca="false">IF($A445="","",Veri_Guncel!B445)</f>
        <v/>
      </c>
      <c r="C445" s="18" t="str">
        <f aca="false">IF($A445="","",Veri_Guncel!C445)</f>
        <v/>
      </c>
      <c r="D445" s="18" t="str">
        <f aca="false">IF($A445="","",Veri_Guncel!D445)</f>
        <v/>
      </c>
      <c r="E445" s="19" t="str">
        <f aca="false">IF($A445="","",Veri_Guncel!E445)</f>
        <v/>
      </c>
      <c r="F445" s="19" t="str">
        <f aca="false">IF($A445="","",Veri_Guncel!F445)</f>
        <v/>
      </c>
      <c r="G445" s="14" t="str">
        <f aca="false">IF(A445="","",IF(COUNTIF(Ayarlar!$A$15:$A$20,C445)&gt;0,1,0))</f>
        <v/>
      </c>
      <c r="H445" s="14" t="str">
        <f aca="false">IF(A445="","",DATEDIF(E445,Ayarlar!$B$3,"y"))</f>
        <v/>
      </c>
      <c r="I445" s="14" t="str">
        <f aca="false">IF(OR(A445="",F445=""),"",DATEDIF(F445,Ayarlar!$B$3,"y"))</f>
        <v/>
      </c>
      <c r="J445" s="14" t="str">
        <f aca="false">IF(A445="","",IF(H445&lt;1,0,MAX(IF(H445&lt;5,14,IF(H445&lt;15,20,26)),IF(AND(I445&lt;&gt;"",OR(I445&lt;=18,I445&gt;=50)),20,0))))</f>
        <v/>
      </c>
      <c r="K445" s="17" t="str">
        <f aca="false">IF(A445="","",EDATE(E445,12*(H445+1)))</f>
        <v/>
      </c>
      <c r="L445" s="14" t="str">
        <f aca="false">IF(A445="","",K445-Ayarlar!$B$3)</f>
        <v/>
      </c>
      <c r="M445" s="18" t="str">
        <f aca="false">IF(A445="","",Veri_Guncel!H445)</f>
        <v/>
      </c>
      <c r="N445" s="18" t="str">
        <f aca="false">IF(A445="","",IFERROR(INDEX(Veri_Onceki!$H:$H,MATCH(A445,Veri_Onceki!$A:$A,0)),""))</f>
        <v/>
      </c>
      <c r="O445" s="14" t="str">
        <f aca="false">IF(A445="","",IF(AND(H445&gt;=1,EDATE(E445,12*H445)&gt;Ayarlar!$B$4,EDATE(E445,12*H445)&lt;=Ayarlar!$B$3),J445,0))</f>
        <v/>
      </c>
      <c r="P445" s="14" t="str">
        <f aca="false">IF(OR(A445="",N445=""),"",N445+O445-M445)</f>
        <v/>
      </c>
      <c r="Q445" s="16" t="str">
        <f aca="false">IF(A445="","",IF(M445&gt;=Ayarlar!$B$7,"ALARM",IF(M445&gt;=Ayarlar!$B$6,"Planla","")))</f>
        <v/>
      </c>
      <c r="R445" s="14" t="str">
        <f aca="false">IF(A445="","",IF(AND(L445&gt;=0,L445&lt;=Ayarlar!$B$9),"Evet",""))</f>
        <v/>
      </c>
      <c r="S445" s="16" t="str">
        <f aca="false">IF(A445="","",IF(N445="","Yeni personel",IF(P445&lt;0,"Kontrol et","")))</f>
        <v/>
      </c>
      <c r="T445" s="14" t="str">
        <f aca="false">IF(A445="","",IF(AND(G445=1,M445&gt;=Ayarlar!$B$6,OR(Ayarlar!$B$11="Tümü",C445=Ayarlar!$B$11)),M445+ROW()/100000,""))</f>
        <v/>
      </c>
    </row>
    <row r="446" customFormat="false" ht="15" hidden="false" customHeight="false" outlineLevel="0" collapsed="false">
      <c r="A446" s="18" t="str">
        <f aca="false">IF(Veri_Guncel!A446="","",Veri_Guncel!A446)</f>
        <v/>
      </c>
      <c r="B446" s="18" t="str">
        <f aca="false">IF($A446="","",Veri_Guncel!B446)</f>
        <v/>
      </c>
      <c r="C446" s="18" t="str">
        <f aca="false">IF($A446="","",Veri_Guncel!C446)</f>
        <v/>
      </c>
      <c r="D446" s="18" t="str">
        <f aca="false">IF($A446="","",Veri_Guncel!D446)</f>
        <v/>
      </c>
      <c r="E446" s="19" t="str">
        <f aca="false">IF($A446="","",Veri_Guncel!E446)</f>
        <v/>
      </c>
      <c r="F446" s="19" t="str">
        <f aca="false">IF($A446="","",Veri_Guncel!F446)</f>
        <v/>
      </c>
      <c r="G446" s="14" t="str">
        <f aca="false">IF(A446="","",IF(COUNTIF(Ayarlar!$A$15:$A$20,C446)&gt;0,1,0))</f>
        <v/>
      </c>
      <c r="H446" s="14" t="str">
        <f aca="false">IF(A446="","",DATEDIF(E446,Ayarlar!$B$3,"y"))</f>
        <v/>
      </c>
      <c r="I446" s="14" t="str">
        <f aca="false">IF(OR(A446="",F446=""),"",DATEDIF(F446,Ayarlar!$B$3,"y"))</f>
        <v/>
      </c>
      <c r="J446" s="14" t="str">
        <f aca="false">IF(A446="","",IF(H446&lt;1,0,MAX(IF(H446&lt;5,14,IF(H446&lt;15,20,26)),IF(AND(I446&lt;&gt;"",OR(I446&lt;=18,I446&gt;=50)),20,0))))</f>
        <v/>
      </c>
      <c r="K446" s="17" t="str">
        <f aca="false">IF(A446="","",EDATE(E446,12*(H446+1)))</f>
        <v/>
      </c>
      <c r="L446" s="14" t="str">
        <f aca="false">IF(A446="","",K446-Ayarlar!$B$3)</f>
        <v/>
      </c>
      <c r="M446" s="18" t="str">
        <f aca="false">IF(A446="","",Veri_Guncel!H446)</f>
        <v/>
      </c>
      <c r="N446" s="18" t="str">
        <f aca="false">IF(A446="","",IFERROR(INDEX(Veri_Onceki!$H:$H,MATCH(A446,Veri_Onceki!$A:$A,0)),""))</f>
        <v/>
      </c>
      <c r="O446" s="14" t="str">
        <f aca="false">IF(A446="","",IF(AND(H446&gt;=1,EDATE(E446,12*H446)&gt;Ayarlar!$B$4,EDATE(E446,12*H446)&lt;=Ayarlar!$B$3),J446,0))</f>
        <v/>
      </c>
      <c r="P446" s="14" t="str">
        <f aca="false">IF(OR(A446="",N446=""),"",N446+O446-M446)</f>
        <v/>
      </c>
      <c r="Q446" s="16" t="str">
        <f aca="false">IF(A446="","",IF(M446&gt;=Ayarlar!$B$7,"ALARM",IF(M446&gt;=Ayarlar!$B$6,"Planla","")))</f>
        <v/>
      </c>
      <c r="R446" s="14" t="str">
        <f aca="false">IF(A446="","",IF(AND(L446&gt;=0,L446&lt;=Ayarlar!$B$9),"Evet",""))</f>
        <v/>
      </c>
      <c r="S446" s="16" t="str">
        <f aca="false">IF(A446="","",IF(N446="","Yeni personel",IF(P446&lt;0,"Kontrol et","")))</f>
        <v/>
      </c>
      <c r="T446" s="14" t="str">
        <f aca="false">IF(A446="","",IF(AND(G446=1,M446&gt;=Ayarlar!$B$6,OR(Ayarlar!$B$11="Tümü",C446=Ayarlar!$B$11)),M446+ROW()/100000,""))</f>
        <v/>
      </c>
    </row>
    <row r="447" customFormat="false" ht="15" hidden="false" customHeight="false" outlineLevel="0" collapsed="false">
      <c r="A447" s="18" t="str">
        <f aca="false">IF(Veri_Guncel!A447="","",Veri_Guncel!A447)</f>
        <v/>
      </c>
      <c r="B447" s="18" t="str">
        <f aca="false">IF($A447="","",Veri_Guncel!B447)</f>
        <v/>
      </c>
      <c r="C447" s="18" t="str">
        <f aca="false">IF($A447="","",Veri_Guncel!C447)</f>
        <v/>
      </c>
      <c r="D447" s="18" t="str">
        <f aca="false">IF($A447="","",Veri_Guncel!D447)</f>
        <v/>
      </c>
      <c r="E447" s="19" t="str">
        <f aca="false">IF($A447="","",Veri_Guncel!E447)</f>
        <v/>
      </c>
      <c r="F447" s="19" t="str">
        <f aca="false">IF($A447="","",Veri_Guncel!F447)</f>
        <v/>
      </c>
      <c r="G447" s="14" t="str">
        <f aca="false">IF(A447="","",IF(COUNTIF(Ayarlar!$A$15:$A$20,C447)&gt;0,1,0))</f>
        <v/>
      </c>
      <c r="H447" s="14" t="str">
        <f aca="false">IF(A447="","",DATEDIF(E447,Ayarlar!$B$3,"y"))</f>
        <v/>
      </c>
      <c r="I447" s="14" t="str">
        <f aca="false">IF(OR(A447="",F447=""),"",DATEDIF(F447,Ayarlar!$B$3,"y"))</f>
        <v/>
      </c>
      <c r="J447" s="14" t="str">
        <f aca="false">IF(A447="","",IF(H447&lt;1,0,MAX(IF(H447&lt;5,14,IF(H447&lt;15,20,26)),IF(AND(I447&lt;&gt;"",OR(I447&lt;=18,I447&gt;=50)),20,0))))</f>
        <v/>
      </c>
      <c r="K447" s="17" t="str">
        <f aca="false">IF(A447="","",EDATE(E447,12*(H447+1)))</f>
        <v/>
      </c>
      <c r="L447" s="14" t="str">
        <f aca="false">IF(A447="","",K447-Ayarlar!$B$3)</f>
        <v/>
      </c>
      <c r="M447" s="18" t="str">
        <f aca="false">IF(A447="","",Veri_Guncel!H447)</f>
        <v/>
      </c>
      <c r="N447" s="18" t="str">
        <f aca="false">IF(A447="","",IFERROR(INDEX(Veri_Onceki!$H:$H,MATCH(A447,Veri_Onceki!$A:$A,0)),""))</f>
        <v/>
      </c>
      <c r="O447" s="14" t="str">
        <f aca="false">IF(A447="","",IF(AND(H447&gt;=1,EDATE(E447,12*H447)&gt;Ayarlar!$B$4,EDATE(E447,12*H447)&lt;=Ayarlar!$B$3),J447,0))</f>
        <v/>
      </c>
      <c r="P447" s="14" t="str">
        <f aca="false">IF(OR(A447="",N447=""),"",N447+O447-M447)</f>
        <v/>
      </c>
      <c r="Q447" s="16" t="str">
        <f aca="false">IF(A447="","",IF(M447&gt;=Ayarlar!$B$7,"ALARM",IF(M447&gt;=Ayarlar!$B$6,"Planla","")))</f>
        <v/>
      </c>
      <c r="R447" s="14" t="str">
        <f aca="false">IF(A447="","",IF(AND(L447&gt;=0,L447&lt;=Ayarlar!$B$9),"Evet",""))</f>
        <v/>
      </c>
      <c r="S447" s="16" t="str">
        <f aca="false">IF(A447="","",IF(N447="","Yeni personel",IF(P447&lt;0,"Kontrol et","")))</f>
        <v/>
      </c>
      <c r="T447" s="14" t="str">
        <f aca="false">IF(A447="","",IF(AND(G447=1,M447&gt;=Ayarlar!$B$6,OR(Ayarlar!$B$11="Tümü",C447=Ayarlar!$B$11)),M447+ROW()/100000,""))</f>
        <v/>
      </c>
    </row>
    <row r="448" customFormat="false" ht="15" hidden="false" customHeight="false" outlineLevel="0" collapsed="false">
      <c r="A448" s="18" t="str">
        <f aca="false">IF(Veri_Guncel!A448="","",Veri_Guncel!A448)</f>
        <v/>
      </c>
      <c r="B448" s="18" t="str">
        <f aca="false">IF($A448="","",Veri_Guncel!B448)</f>
        <v/>
      </c>
      <c r="C448" s="18" t="str">
        <f aca="false">IF($A448="","",Veri_Guncel!C448)</f>
        <v/>
      </c>
      <c r="D448" s="18" t="str">
        <f aca="false">IF($A448="","",Veri_Guncel!D448)</f>
        <v/>
      </c>
      <c r="E448" s="19" t="str">
        <f aca="false">IF($A448="","",Veri_Guncel!E448)</f>
        <v/>
      </c>
      <c r="F448" s="19" t="str">
        <f aca="false">IF($A448="","",Veri_Guncel!F448)</f>
        <v/>
      </c>
      <c r="G448" s="14" t="str">
        <f aca="false">IF(A448="","",IF(COUNTIF(Ayarlar!$A$15:$A$20,C448)&gt;0,1,0))</f>
        <v/>
      </c>
      <c r="H448" s="14" t="str">
        <f aca="false">IF(A448="","",DATEDIF(E448,Ayarlar!$B$3,"y"))</f>
        <v/>
      </c>
      <c r="I448" s="14" t="str">
        <f aca="false">IF(OR(A448="",F448=""),"",DATEDIF(F448,Ayarlar!$B$3,"y"))</f>
        <v/>
      </c>
      <c r="J448" s="14" t="str">
        <f aca="false">IF(A448="","",IF(H448&lt;1,0,MAX(IF(H448&lt;5,14,IF(H448&lt;15,20,26)),IF(AND(I448&lt;&gt;"",OR(I448&lt;=18,I448&gt;=50)),20,0))))</f>
        <v/>
      </c>
      <c r="K448" s="17" t="str">
        <f aca="false">IF(A448="","",EDATE(E448,12*(H448+1)))</f>
        <v/>
      </c>
      <c r="L448" s="14" t="str">
        <f aca="false">IF(A448="","",K448-Ayarlar!$B$3)</f>
        <v/>
      </c>
      <c r="M448" s="18" t="str">
        <f aca="false">IF(A448="","",Veri_Guncel!H448)</f>
        <v/>
      </c>
      <c r="N448" s="18" t="str">
        <f aca="false">IF(A448="","",IFERROR(INDEX(Veri_Onceki!$H:$H,MATCH(A448,Veri_Onceki!$A:$A,0)),""))</f>
        <v/>
      </c>
      <c r="O448" s="14" t="str">
        <f aca="false">IF(A448="","",IF(AND(H448&gt;=1,EDATE(E448,12*H448)&gt;Ayarlar!$B$4,EDATE(E448,12*H448)&lt;=Ayarlar!$B$3),J448,0))</f>
        <v/>
      </c>
      <c r="P448" s="14" t="str">
        <f aca="false">IF(OR(A448="",N448=""),"",N448+O448-M448)</f>
        <v/>
      </c>
      <c r="Q448" s="16" t="str">
        <f aca="false">IF(A448="","",IF(M448&gt;=Ayarlar!$B$7,"ALARM",IF(M448&gt;=Ayarlar!$B$6,"Planla","")))</f>
        <v/>
      </c>
      <c r="R448" s="14" t="str">
        <f aca="false">IF(A448="","",IF(AND(L448&gt;=0,L448&lt;=Ayarlar!$B$9),"Evet",""))</f>
        <v/>
      </c>
      <c r="S448" s="16" t="str">
        <f aca="false">IF(A448="","",IF(N448="","Yeni personel",IF(P448&lt;0,"Kontrol et","")))</f>
        <v/>
      </c>
      <c r="T448" s="14" t="str">
        <f aca="false">IF(A448="","",IF(AND(G448=1,M448&gt;=Ayarlar!$B$6,OR(Ayarlar!$B$11="Tümü",C448=Ayarlar!$B$11)),M448+ROW()/100000,""))</f>
        <v/>
      </c>
    </row>
    <row r="449" customFormat="false" ht="15" hidden="false" customHeight="false" outlineLevel="0" collapsed="false">
      <c r="A449" s="18" t="str">
        <f aca="false">IF(Veri_Guncel!A449="","",Veri_Guncel!A449)</f>
        <v/>
      </c>
      <c r="B449" s="18" t="str">
        <f aca="false">IF($A449="","",Veri_Guncel!B449)</f>
        <v/>
      </c>
      <c r="C449" s="18" t="str">
        <f aca="false">IF($A449="","",Veri_Guncel!C449)</f>
        <v/>
      </c>
      <c r="D449" s="18" t="str">
        <f aca="false">IF($A449="","",Veri_Guncel!D449)</f>
        <v/>
      </c>
      <c r="E449" s="19" t="str">
        <f aca="false">IF($A449="","",Veri_Guncel!E449)</f>
        <v/>
      </c>
      <c r="F449" s="19" t="str">
        <f aca="false">IF($A449="","",Veri_Guncel!F449)</f>
        <v/>
      </c>
      <c r="G449" s="14" t="str">
        <f aca="false">IF(A449="","",IF(COUNTIF(Ayarlar!$A$15:$A$20,C449)&gt;0,1,0))</f>
        <v/>
      </c>
      <c r="H449" s="14" t="str">
        <f aca="false">IF(A449="","",DATEDIF(E449,Ayarlar!$B$3,"y"))</f>
        <v/>
      </c>
      <c r="I449" s="14" t="str">
        <f aca="false">IF(OR(A449="",F449=""),"",DATEDIF(F449,Ayarlar!$B$3,"y"))</f>
        <v/>
      </c>
      <c r="J449" s="14" t="str">
        <f aca="false">IF(A449="","",IF(H449&lt;1,0,MAX(IF(H449&lt;5,14,IF(H449&lt;15,20,26)),IF(AND(I449&lt;&gt;"",OR(I449&lt;=18,I449&gt;=50)),20,0))))</f>
        <v/>
      </c>
      <c r="K449" s="17" t="str">
        <f aca="false">IF(A449="","",EDATE(E449,12*(H449+1)))</f>
        <v/>
      </c>
      <c r="L449" s="14" t="str">
        <f aca="false">IF(A449="","",K449-Ayarlar!$B$3)</f>
        <v/>
      </c>
      <c r="M449" s="18" t="str">
        <f aca="false">IF(A449="","",Veri_Guncel!H449)</f>
        <v/>
      </c>
      <c r="N449" s="18" t="str">
        <f aca="false">IF(A449="","",IFERROR(INDEX(Veri_Onceki!$H:$H,MATCH(A449,Veri_Onceki!$A:$A,0)),""))</f>
        <v/>
      </c>
      <c r="O449" s="14" t="str">
        <f aca="false">IF(A449="","",IF(AND(H449&gt;=1,EDATE(E449,12*H449)&gt;Ayarlar!$B$4,EDATE(E449,12*H449)&lt;=Ayarlar!$B$3),J449,0))</f>
        <v/>
      </c>
      <c r="P449" s="14" t="str">
        <f aca="false">IF(OR(A449="",N449=""),"",N449+O449-M449)</f>
        <v/>
      </c>
      <c r="Q449" s="16" t="str">
        <f aca="false">IF(A449="","",IF(M449&gt;=Ayarlar!$B$7,"ALARM",IF(M449&gt;=Ayarlar!$B$6,"Planla","")))</f>
        <v/>
      </c>
      <c r="R449" s="14" t="str">
        <f aca="false">IF(A449="","",IF(AND(L449&gt;=0,L449&lt;=Ayarlar!$B$9),"Evet",""))</f>
        <v/>
      </c>
      <c r="S449" s="16" t="str">
        <f aca="false">IF(A449="","",IF(N449="","Yeni personel",IF(P449&lt;0,"Kontrol et","")))</f>
        <v/>
      </c>
      <c r="T449" s="14" t="str">
        <f aca="false">IF(A449="","",IF(AND(G449=1,M449&gt;=Ayarlar!$B$6,OR(Ayarlar!$B$11="Tümü",C449=Ayarlar!$B$11)),M449+ROW()/100000,""))</f>
        <v/>
      </c>
    </row>
    <row r="450" customFormat="false" ht="15" hidden="false" customHeight="false" outlineLevel="0" collapsed="false">
      <c r="A450" s="18" t="str">
        <f aca="false">IF(Veri_Guncel!A450="","",Veri_Guncel!A450)</f>
        <v/>
      </c>
      <c r="B450" s="18" t="str">
        <f aca="false">IF($A450="","",Veri_Guncel!B450)</f>
        <v/>
      </c>
      <c r="C450" s="18" t="str">
        <f aca="false">IF($A450="","",Veri_Guncel!C450)</f>
        <v/>
      </c>
      <c r="D450" s="18" t="str">
        <f aca="false">IF($A450="","",Veri_Guncel!D450)</f>
        <v/>
      </c>
      <c r="E450" s="19" t="str">
        <f aca="false">IF($A450="","",Veri_Guncel!E450)</f>
        <v/>
      </c>
      <c r="F450" s="19" t="str">
        <f aca="false">IF($A450="","",Veri_Guncel!F450)</f>
        <v/>
      </c>
      <c r="G450" s="14" t="str">
        <f aca="false">IF(A450="","",IF(COUNTIF(Ayarlar!$A$15:$A$20,C450)&gt;0,1,0))</f>
        <v/>
      </c>
      <c r="H450" s="14" t="str">
        <f aca="false">IF(A450="","",DATEDIF(E450,Ayarlar!$B$3,"y"))</f>
        <v/>
      </c>
      <c r="I450" s="14" t="str">
        <f aca="false">IF(OR(A450="",F450=""),"",DATEDIF(F450,Ayarlar!$B$3,"y"))</f>
        <v/>
      </c>
      <c r="J450" s="14" t="str">
        <f aca="false">IF(A450="","",IF(H450&lt;1,0,MAX(IF(H450&lt;5,14,IF(H450&lt;15,20,26)),IF(AND(I450&lt;&gt;"",OR(I450&lt;=18,I450&gt;=50)),20,0))))</f>
        <v/>
      </c>
      <c r="K450" s="17" t="str">
        <f aca="false">IF(A450="","",EDATE(E450,12*(H450+1)))</f>
        <v/>
      </c>
      <c r="L450" s="14" t="str">
        <f aca="false">IF(A450="","",K450-Ayarlar!$B$3)</f>
        <v/>
      </c>
      <c r="M450" s="18" t="str">
        <f aca="false">IF(A450="","",Veri_Guncel!H450)</f>
        <v/>
      </c>
      <c r="N450" s="18" t="str">
        <f aca="false">IF(A450="","",IFERROR(INDEX(Veri_Onceki!$H:$H,MATCH(A450,Veri_Onceki!$A:$A,0)),""))</f>
        <v/>
      </c>
      <c r="O450" s="14" t="str">
        <f aca="false">IF(A450="","",IF(AND(H450&gt;=1,EDATE(E450,12*H450)&gt;Ayarlar!$B$4,EDATE(E450,12*H450)&lt;=Ayarlar!$B$3),J450,0))</f>
        <v/>
      </c>
      <c r="P450" s="14" t="str">
        <f aca="false">IF(OR(A450="",N450=""),"",N450+O450-M450)</f>
        <v/>
      </c>
      <c r="Q450" s="16" t="str">
        <f aca="false">IF(A450="","",IF(M450&gt;=Ayarlar!$B$7,"ALARM",IF(M450&gt;=Ayarlar!$B$6,"Planla","")))</f>
        <v/>
      </c>
      <c r="R450" s="14" t="str">
        <f aca="false">IF(A450="","",IF(AND(L450&gt;=0,L450&lt;=Ayarlar!$B$9),"Evet",""))</f>
        <v/>
      </c>
      <c r="S450" s="16" t="str">
        <f aca="false">IF(A450="","",IF(N450="","Yeni personel",IF(P450&lt;0,"Kontrol et","")))</f>
        <v/>
      </c>
      <c r="T450" s="14" t="str">
        <f aca="false">IF(A450="","",IF(AND(G450=1,M450&gt;=Ayarlar!$B$6,OR(Ayarlar!$B$11="Tümü",C450=Ayarlar!$B$11)),M450+ROW()/100000,""))</f>
        <v/>
      </c>
    </row>
    <row r="451" customFormat="false" ht="15" hidden="false" customHeight="false" outlineLevel="0" collapsed="false">
      <c r="A451" s="18" t="str">
        <f aca="false">IF(Veri_Guncel!A451="","",Veri_Guncel!A451)</f>
        <v/>
      </c>
      <c r="B451" s="18" t="str">
        <f aca="false">IF($A451="","",Veri_Guncel!B451)</f>
        <v/>
      </c>
      <c r="C451" s="18" t="str">
        <f aca="false">IF($A451="","",Veri_Guncel!C451)</f>
        <v/>
      </c>
      <c r="D451" s="18" t="str">
        <f aca="false">IF($A451="","",Veri_Guncel!D451)</f>
        <v/>
      </c>
      <c r="E451" s="19" t="str">
        <f aca="false">IF($A451="","",Veri_Guncel!E451)</f>
        <v/>
      </c>
      <c r="F451" s="19" t="str">
        <f aca="false">IF($A451="","",Veri_Guncel!F451)</f>
        <v/>
      </c>
      <c r="G451" s="14" t="str">
        <f aca="false">IF(A451="","",IF(COUNTIF(Ayarlar!$A$15:$A$20,C451)&gt;0,1,0))</f>
        <v/>
      </c>
      <c r="H451" s="14" t="str">
        <f aca="false">IF(A451="","",DATEDIF(E451,Ayarlar!$B$3,"y"))</f>
        <v/>
      </c>
      <c r="I451" s="14" t="str">
        <f aca="false">IF(OR(A451="",F451=""),"",DATEDIF(F451,Ayarlar!$B$3,"y"))</f>
        <v/>
      </c>
      <c r="J451" s="14" t="str">
        <f aca="false">IF(A451="","",IF(H451&lt;1,0,MAX(IF(H451&lt;5,14,IF(H451&lt;15,20,26)),IF(AND(I451&lt;&gt;"",OR(I451&lt;=18,I451&gt;=50)),20,0))))</f>
        <v/>
      </c>
      <c r="K451" s="17" t="str">
        <f aca="false">IF(A451="","",EDATE(E451,12*(H451+1)))</f>
        <v/>
      </c>
      <c r="L451" s="14" t="str">
        <f aca="false">IF(A451="","",K451-Ayarlar!$B$3)</f>
        <v/>
      </c>
      <c r="M451" s="18" t="str">
        <f aca="false">IF(A451="","",Veri_Guncel!H451)</f>
        <v/>
      </c>
      <c r="N451" s="18" t="str">
        <f aca="false">IF(A451="","",IFERROR(INDEX(Veri_Onceki!$H:$H,MATCH(A451,Veri_Onceki!$A:$A,0)),""))</f>
        <v/>
      </c>
      <c r="O451" s="14" t="str">
        <f aca="false">IF(A451="","",IF(AND(H451&gt;=1,EDATE(E451,12*H451)&gt;Ayarlar!$B$4,EDATE(E451,12*H451)&lt;=Ayarlar!$B$3),J451,0))</f>
        <v/>
      </c>
      <c r="P451" s="14" t="str">
        <f aca="false">IF(OR(A451="",N451=""),"",N451+O451-M451)</f>
        <v/>
      </c>
      <c r="Q451" s="16" t="str">
        <f aca="false">IF(A451="","",IF(M451&gt;=Ayarlar!$B$7,"ALARM",IF(M451&gt;=Ayarlar!$B$6,"Planla","")))</f>
        <v/>
      </c>
      <c r="R451" s="14" t="str">
        <f aca="false">IF(A451="","",IF(AND(L451&gt;=0,L451&lt;=Ayarlar!$B$9),"Evet",""))</f>
        <v/>
      </c>
      <c r="S451" s="16" t="str">
        <f aca="false">IF(A451="","",IF(N451="","Yeni personel",IF(P451&lt;0,"Kontrol et","")))</f>
        <v/>
      </c>
      <c r="T451" s="14" t="str">
        <f aca="false">IF(A451="","",IF(AND(G451=1,M451&gt;=Ayarlar!$B$6,OR(Ayarlar!$B$11="Tümü",C451=Ayarlar!$B$11)),M451+ROW()/100000,""))</f>
        <v/>
      </c>
    </row>
    <row r="452" customFormat="false" ht="15" hidden="false" customHeight="false" outlineLevel="0" collapsed="false">
      <c r="A452" s="18" t="str">
        <f aca="false">IF(Veri_Guncel!A452="","",Veri_Guncel!A452)</f>
        <v/>
      </c>
      <c r="B452" s="18" t="str">
        <f aca="false">IF($A452="","",Veri_Guncel!B452)</f>
        <v/>
      </c>
      <c r="C452" s="18" t="str">
        <f aca="false">IF($A452="","",Veri_Guncel!C452)</f>
        <v/>
      </c>
      <c r="D452" s="18" t="str">
        <f aca="false">IF($A452="","",Veri_Guncel!D452)</f>
        <v/>
      </c>
      <c r="E452" s="19" t="str">
        <f aca="false">IF($A452="","",Veri_Guncel!E452)</f>
        <v/>
      </c>
      <c r="F452" s="19" t="str">
        <f aca="false">IF($A452="","",Veri_Guncel!F452)</f>
        <v/>
      </c>
      <c r="G452" s="14" t="str">
        <f aca="false">IF(A452="","",IF(COUNTIF(Ayarlar!$A$15:$A$20,C452)&gt;0,1,0))</f>
        <v/>
      </c>
      <c r="H452" s="14" t="str">
        <f aca="false">IF(A452="","",DATEDIF(E452,Ayarlar!$B$3,"y"))</f>
        <v/>
      </c>
      <c r="I452" s="14" t="str">
        <f aca="false">IF(OR(A452="",F452=""),"",DATEDIF(F452,Ayarlar!$B$3,"y"))</f>
        <v/>
      </c>
      <c r="J452" s="14" t="str">
        <f aca="false">IF(A452="","",IF(H452&lt;1,0,MAX(IF(H452&lt;5,14,IF(H452&lt;15,20,26)),IF(AND(I452&lt;&gt;"",OR(I452&lt;=18,I452&gt;=50)),20,0))))</f>
        <v/>
      </c>
      <c r="K452" s="17" t="str">
        <f aca="false">IF(A452="","",EDATE(E452,12*(H452+1)))</f>
        <v/>
      </c>
      <c r="L452" s="14" t="str">
        <f aca="false">IF(A452="","",K452-Ayarlar!$B$3)</f>
        <v/>
      </c>
      <c r="M452" s="18" t="str">
        <f aca="false">IF(A452="","",Veri_Guncel!H452)</f>
        <v/>
      </c>
      <c r="N452" s="18" t="str">
        <f aca="false">IF(A452="","",IFERROR(INDEX(Veri_Onceki!$H:$H,MATCH(A452,Veri_Onceki!$A:$A,0)),""))</f>
        <v/>
      </c>
      <c r="O452" s="14" t="str">
        <f aca="false">IF(A452="","",IF(AND(H452&gt;=1,EDATE(E452,12*H452)&gt;Ayarlar!$B$4,EDATE(E452,12*H452)&lt;=Ayarlar!$B$3),J452,0))</f>
        <v/>
      </c>
      <c r="P452" s="14" t="str">
        <f aca="false">IF(OR(A452="",N452=""),"",N452+O452-M452)</f>
        <v/>
      </c>
      <c r="Q452" s="16" t="str">
        <f aca="false">IF(A452="","",IF(M452&gt;=Ayarlar!$B$7,"ALARM",IF(M452&gt;=Ayarlar!$B$6,"Planla","")))</f>
        <v/>
      </c>
      <c r="R452" s="14" t="str">
        <f aca="false">IF(A452="","",IF(AND(L452&gt;=0,L452&lt;=Ayarlar!$B$9),"Evet",""))</f>
        <v/>
      </c>
      <c r="S452" s="16" t="str">
        <f aca="false">IF(A452="","",IF(N452="","Yeni personel",IF(P452&lt;0,"Kontrol et","")))</f>
        <v/>
      </c>
      <c r="T452" s="14" t="str">
        <f aca="false">IF(A452="","",IF(AND(G452=1,M452&gt;=Ayarlar!$B$6,OR(Ayarlar!$B$11="Tümü",C452=Ayarlar!$B$11)),M452+ROW()/100000,""))</f>
        <v/>
      </c>
    </row>
    <row r="453" customFormat="false" ht="15" hidden="false" customHeight="false" outlineLevel="0" collapsed="false">
      <c r="A453" s="18" t="str">
        <f aca="false">IF(Veri_Guncel!A453="","",Veri_Guncel!A453)</f>
        <v/>
      </c>
      <c r="B453" s="18" t="str">
        <f aca="false">IF($A453="","",Veri_Guncel!B453)</f>
        <v/>
      </c>
      <c r="C453" s="18" t="str">
        <f aca="false">IF($A453="","",Veri_Guncel!C453)</f>
        <v/>
      </c>
      <c r="D453" s="18" t="str">
        <f aca="false">IF($A453="","",Veri_Guncel!D453)</f>
        <v/>
      </c>
      <c r="E453" s="19" t="str">
        <f aca="false">IF($A453="","",Veri_Guncel!E453)</f>
        <v/>
      </c>
      <c r="F453" s="19" t="str">
        <f aca="false">IF($A453="","",Veri_Guncel!F453)</f>
        <v/>
      </c>
      <c r="G453" s="14" t="str">
        <f aca="false">IF(A453="","",IF(COUNTIF(Ayarlar!$A$15:$A$20,C453)&gt;0,1,0))</f>
        <v/>
      </c>
      <c r="H453" s="14" t="str">
        <f aca="false">IF(A453="","",DATEDIF(E453,Ayarlar!$B$3,"y"))</f>
        <v/>
      </c>
      <c r="I453" s="14" t="str">
        <f aca="false">IF(OR(A453="",F453=""),"",DATEDIF(F453,Ayarlar!$B$3,"y"))</f>
        <v/>
      </c>
      <c r="J453" s="14" t="str">
        <f aca="false">IF(A453="","",IF(H453&lt;1,0,MAX(IF(H453&lt;5,14,IF(H453&lt;15,20,26)),IF(AND(I453&lt;&gt;"",OR(I453&lt;=18,I453&gt;=50)),20,0))))</f>
        <v/>
      </c>
      <c r="K453" s="17" t="str">
        <f aca="false">IF(A453="","",EDATE(E453,12*(H453+1)))</f>
        <v/>
      </c>
      <c r="L453" s="14" t="str">
        <f aca="false">IF(A453="","",K453-Ayarlar!$B$3)</f>
        <v/>
      </c>
      <c r="M453" s="18" t="str">
        <f aca="false">IF(A453="","",Veri_Guncel!H453)</f>
        <v/>
      </c>
      <c r="N453" s="18" t="str">
        <f aca="false">IF(A453="","",IFERROR(INDEX(Veri_Onceki!$H:$H,MATCH(A453,Veri_Onceki!$A:$A,0)),""))</f>
        <v/>
      </c>
      <c r="O453" s="14" t="str">
        <f aca="false">IF(A453="","",IF(AND(H453&gt;=1,EDATE(E453,12*H453)&gt;Ayarlar!$B$4,EDATE(E453,12*H453)&lt;=Ayarlar!$B$3),J453,0))</f>
        <v/>
      </c>
      <c r="P453" s="14" t="str">
        <f aca="false">IF(OR(A453="",N453=""),"",N453+O453-M453)</f>
        <v/>
      </c>
      <c r="Q453" s="16" t="str">
        <f aca="false">IF(A453="","",IF(M453&gt;=Ayarlar!$B$7,"ALARM",IF(M453&gt;=Ayarlar!$B$6,"Planla","")))</f>
        <v/>
      </c>
      <c r="R453" s="14" t="str">
        <f aca="false">IF(A453="","",IF(AND(L453&gt;=0,L453&lt;=Ayarlar!$B$9),"Evet",""))</f>
        <v/>
      </c>
      <c r="S453" s="16" t="str">
        <f aca="false">IF(A453="","",IF(N453="","Yeni personel",IF(P453&lt;0,"Kontrol et","")))</f>
        <v/>
      </c>
      <c r="T453" s="14" t="str">
        <f aca="false">IF(A453="","",IF(AND(G453=1,M453&gt;=Ayarlar!$B$6,OR(Ayarlar!$B$11="Tümü",C453=Ayarlar!$B$11)),M453+ROW()/100000,""))</f>
        <v/>
      </c>
    </row>
    <row r="454" customFormat="false" ht="15" hidden="false" customHeight="false" outlineLevel="0" collapsed="false">
      <c r="A454" s="18" t="str">
        <f aca="false">IF(Veri_Guncel!A454="","",Veri_Guncel!A454)</f>
        <v/>
      </c>
      <c r="B454" s="18" t="str">
        <f aca="false">IF($A454="","",Veri_Guncel!B454)</f>
        <v/>
      </c>
      <c r="C454" s="18" t="str">
        <f aca="false">IF($A454="","",Veri_Guncel!C454)</f>
        <v/>
      </c>
      <c r="D454" s="18" t="str">
        <f aca="false">IF($A454="","",Veri_Guncel!D454)</f>
        <v/>
      </c>
      <c r="E454" s="19" t="str">
        <f aca="false">IF($A454="","",Veri_Guncel!E454)</f>
        <v/>
      </c>
      <c r="F454" s="19" t="str">
        <f aca="false">IF($A454="","",Veri_Guncel!F454)</f>
        <v/>
      </c>
      <c r="G454" s="14" t="str">
        <f aca="false">IF(A454="","",IF(COUNTIF(Ayarlar!$A$15:$A$20,C454)&gt;0,1,0))</f>
        <v/>
      </c>
      <c r="H454" s="14" t="str">
        <f aca="false">IF(A454="","",DATEDIF(E454,Ayarlar!$B$3,"y"))</f>
        <v/>
      </c>
      <c r="I454" s="14" t="str">
        <f aca="false">IF(OR(A454="",F454=""),"",DATEDIF(F454,Ayarlar!$B$3,"y"))</f>
        <v/>
      </c>
      <c r="J454" s="14" t="str">
        <f aca="false">IF(A454="","",IF(H454&lt;1,0,MAX(IF(H454&lt;5,14,IF(H454&lt;15,20,26)),IF(AND(I454&lt;&gt;"",OR(I454&lt;=18,I454&gt;=50)),20,0))))</f>
        <v/>
      </c>
      <c r="K454" s="17" t="str">
        <f aca="false">IF(A454="","",EDATE(E454,12*(H454+1)))</f>
        <v/>
      </c>
      <c r="L454" s="14" t="str">
        <f aca="false">IF(A454="","",K454-Ayarlar!$B$3)</f>
        <v/>
      </c>
      <c r="M454" s="18" t="str">
        <f aca="false">IF(A454="","",Veri_Guncel!H454)</f>
        <v/>
      </c>
      <c r="N454" s="18" t="str">
        <f aca="false">IF(A454="","",IFERROR(INDEX(Veri_Onceki!$H:$H,MATCH(A454,Veri_Onceki!$A:$A,0)),""))</f>
        <v/>
      </c>
      <c r="O454" s="14" t="str">
        <f aca="false">IF(A454="","",IF(AND(H454&gt;=1,EDATE(E454,12*H454)&gt;Ayarlar!$B$4,EDATE(E454,12*H454)&lt;=Ayarlar!$B$3),J454,0))</f>
        <v/>
      </c>
      <c r="P454" s="14" t="str">
        <f aca="false">IF(OR(A454="",N454=""),"",N454+O454-M454)</f>
        <v/>
      </c>
      <c r="Q454" s="16" t="str">
        <f aca="false">IF(A454="","",IF(M454&gt;=Ayarlar!$B$7,"ALARM",IF(M454&gt;=Ayarlar!$B$6,"Planla","")))</f>
        <v/>
      </c>
      <c r="R454" s="14" t="str">
        <f aca="false">IF(A454="","",IF(AND(L454&gt;=0,L454&lt;=Ayarlar!$B$9),"Evet",""))</f>
        <v/>
      </c>
      <c r="S454" s="16" t="str">
        <f aca="false">IF(A454="","",IF(N454="","Yeni personel",IF(P454&lt;0,"Kontrol et","")))</f>
        <v/>
      </c>
      <c r="T454" s="14" t="str">
        <f aca="false">IF(A454="","",IF(AND(G454=1,M454&gt;=Ayarlar!$B$6,OR(Ayarlar!$B$11="Tümü",C454=Ayarlar!$B$11)),M454+ROW()/100000,""))</f>
        <v/>
      </c>
    </row>
    <row r="455" customFormat="false" ht="15" hidden="false" customHeight="false" outlineLevel="0" collapsed="false">
      <c r="A455" s="18" t="str">
        <f aca="false">IF(Veri_Guncel!A455="","",Veri_Guncel!A455)</f>
        <v/>
      </c>
      <c r="B455" s="18" t="str">
        <f aca="false">IF($A455="","",Veri_Guncel!B455)</f>
        <v/>
      </c>
      <c r="C455" s="18" t="str">
        <f aca="false">IF($A455="","",Veri_Guncel!C455)</f>
        <v/>
      </c>
      <c r="D455" s="18" t="str">
        <f aca="false">IF($A455="","",Veri_Guncel!D455)</f>
        <v/>
      </c>
      <c r="E455" s="19" t="str">
        <f aca="false">IF($A455="","",Veri_Guncel!E455)</f>
        <v/>
      </c>
      <c r="F455" s="19" t="str">
        <f aca="false">IF($A455="","",Veri_Guncel!F455)</f>
        <v/>
      </c>
      <c r="G455" s="14" t="str">
        <f aca="false">IF(A455="","",IF(COUNTIF(Ayarlar!$A$15:$A$20,C455)&gt;0,1,0))</f>
        <v/>
      </c>
      <c r="H455" s="14" t="str">
        <f aca="false">IF(A455="","",DATEDIF(E455,Ayarlar!$B$3,"y"))</f>
        <v/>
      </c>
      <c r="I455" s="14" t="str">
        <f aca="false">IF(OR(A455="",F455=""),"",DATEDIF(F455,Ayarlar!$B$3,"y"))</f>
        <v/>
      </c>
      <c r="J455" s="14" t="str">
        <f aca="false">IF(A455="","",IF(H455&lt;1,0,MAX(IF(H455&lt;5,14,IF(H455&lt;15,20,26)),IF(AND(I455&lt;&gt;"",OR(I455&lt;=18,I455&gt;=50)),20,0))))</f>
        <v/>
      </c>
      <c r="K455" s="17" t="str">
        <f aca="false">IF(A455="","",EDATE(E455,12*(H455+1)))</f>
        <v/>
      </c>
      <c r="L455" s="14" t="str">
        <f aca="false">IF(A455="","",K455-Ayarlar!$B$3)</f>
        <v/>
      </c>
      <c r="M455" s="18" t="str">
        <f aca="false">IF(A455="","",Veri_Guncel!H455)</f>
        <v/>
      </c>
      <c r="N455" s="18" t="str">
        <f aca="false">IF(A455="","",IFERROR(INDEX(Veri_Onceki!$H:$H,MATCH(A455,Veri_Onceki!$A:$A,0)),""))</f>
        <v/>
      </c>
      <c r="O455" s="14" t="str">
        <f aca="false">IF(A455="","",IF(AND(H455&gt;=1,EDATE(E455,12*H455)&gt;Ayarlar!$B$4,EDATE(E455,12*H455)&lt;=Ayarlar!$B$3),J455,0))</f>
        <v/>
      </c>
      <c r="P455" s="14" t="str">
        <f aca="false">IF(OR(A455="",N455=""),"",N455+O455-M455)</f>
        <v/>
      </c>
      <c r="Q455" s="16" t="str">
        <f aca="false">IF(A455="","",IF(M455&gt;=Ayarlar!$B$7,"ALARM",IF(M455&gt;=Ayarlar!$B$6,"Planla","")))</f>
        <v/>
      </c>
      <c r="R455" s="14" t="str">
        <f aca="false">IF(A455="","",IF(AND(L455&gt;=0,L455&lt;=Ayarlar!$B$9),"Evet",""))</f>
        <v/>
      </c>
      <c r="S455" s="16" t="str">
        <f aca="false">IF(A455="","",IF(N455="","Yeni personel",IF(P455&lt;0,"Kontrol et","")))</f>
        <v/>
      </c>
      <c r="T455" s="14" t="str">
        <f aca="false">IF(A455="","",IF(AND(G455=1,M455&gt;=Ayarlar!$B$6,OR(Ayarlar!$B$11="Tümü",C455=Ayarlar!$B$11)),M455+ROW()/100000,""))</f>
        <v/>
      </c>
    </row>
    <row r="456" customFormat="false" ht="15" hidden="false" customHeight="false" outlineLevel="0" collapsed="false">
      <c r="A456" s="18" t="str">
        <f aca="false">IF(Veri_Guncel!A456="","",Veri_Guncel!A456)</f>
        <v/>
      </c>
      <c r="B456" s="18" t="str">
        <f aca="false">IF($A456="","",Veri_Guncel!B456)</f>
        <v/>
      </c>
      <c r="C456" s="18" t="str">
        <f aca="false">IF($A456="","",Veri_Guncel!C456)</f>
        <v/>
      </c>
      <c r="D456" s="18" t="str">
        <f aca="false">IF($A456="","",Veri_Guncel!D456)</f>
        <v/>
      </c>
      <c r="E456" s="19" t="str">
        <f aca="false">IF($A456="","",Veri_Guncel!E456)</f>
        <v/>
      </c>
      <c r="F456" s="19" t="str">
        <f aca="false">IF($A456="","",Veri_Guncel!F456)</f>
        <v/>
      </c>
      <c r="G456" s="14" t="str">
        <f aca="false">IF(A456="","",IF(COUNTIF(Ayarlar!$A$15:$A$20,C456)&gt;0,1,0))</f>
        <v/>
      </c>
      <c r="H456" s="14" t="str">
        <f aca="false">IF(A456="","",DATEDIF(E456,Ayarlar!$B$3,"y"))</f>
        <v/>
      </c>
      <c r="I456" s="14" t="str">
        <f aca="false">IF(OR(A456="",F456=""),"",DATEDIF(F456,Ayarlar!$B$3,"y"))</f>
        <v/>
      </c>
      <c r="J456" s="14" t="str">
        <f aca="false">IF(A456="","",IF(H456&lt;1,0,MAX(IF(H456&lt;5,14,IF(H456&lt;15,20,26)),IF(AND(I456&lt;&gt;"",OR(I456&lt;=18,I456&gt;=50)),20,0))))</f>
        <v/>
      </c>
      <c r="K456" s="17" t="str">
        <f aca="false">IF(A456="","",EDATE(E456,12*(H456+1)))</f>
        <v/>
      </c>
      <c r="L456" s="14" t="str">
        <f aca="false">IF(A456="","",K456-Ayarlar!$B$3)</f>
        <v/>
      </c>
      <c r="M456" s="18" t="str">
        <f aca="false">IF(A456="","",Veri_Guncel!H456)</f>
        <v/>
      </c>
      <c r="N456" s="18" t="str">
        <f aca="false">IF(A456="","",IFERROR(INDEX(Veri_Onceki!$H:$H,MATCH(A456,Veri_Onceki!$A:$A,0)),""))</f>
        <v/>
      </c>
      <c r="O456" s="14" t="str">
        <f aca="false">IF(A456="","",IF(AND(H456&gt;=1,EDATE(E456,12*H456)&gt;Ayarlar!$B$4,EDATE(E456,12*H456)&lt;=Ayarlar!$B$3),J456,0))</f>
        <v/>
      </c>
      <c r="P456" s="14" t="str">
        <f aca="false">IF(OR(A456="",N456=""),"",N456+O456-M456)</f>
        <v/>
      </c>
      <c r="Q456" s="16" t="str">
        <f aca="false">IF(A456="","",IF(M456&gt;=Ayarlar!$B$7,"ALARM",IF(M456&gt;=Ayarlar!$B$6,"Planla","")))</f>
        <v/>
      </c>
      <c r="R456" s="14" t="str">
        <f aca="false">IF(A456="","",IF(AND(L456&gt;=0,L456&lt;=Ayarlar!$B$9),"Evet",""))</f>
        <v/>
      </c>
      <c r="S456" s="16" t="str">
        <f aca="false">IF(A456="","",IF(N456="","Yeni personel",IF(P456&lt;0,"Kontrol et","")))</f>
        <v/>
      </c>
      <c r="T456" s="14" t="str">
        <f aca="false">IF(A456="","",IF(AND(G456=1,M456&gt;=Ayarlar!$B$6,OR(Ayarlar!$B$11="Tümü",C456=Ayarlar!$B$11)),M456+ROW()/100000,""))</f>
        <v/>
      </c>
    </row>
    <row r="457" customFormat="false" ht="15" hidden="false" customHeight="false" outlineLevel="0" collapsed="false">
      <c r="A457" s="18" t="str">
        <f aca="false">IF(Veri_Guncel!A457="","",Veri_Guncel!A457)</f>
        <v/>
      </c>
      <c r="B457" s="18" t="str">
        <f aca="false">IF($A457="","",Veri_Guncel!B457)</f>
        <v/>
      </c>
      <c r="C457" s="18" t="str">
        <f aca="false">IF($A457="","",Veri_Guncel!C457)</f>
        <v/>
      </c>
      <c r="D457" s="18" t="str">
        <f aca="false">IF($A457="","",Veri_Guncel!D457)</f>
        <v/>
      </c>
      <c r="E457" s="19" t="str">
        <f aca="false">IF($A457="","",Veri_Guncel!E457)</f>
        <v/>
      </c>
      <c r="F457" s="19" t="str">
        <f aca="false">IF($A457="","",Veri_Guncel!F457)</f>
        <v/>
      </c>
      <c r="G457" s="14" t="str">
        <f aca="false">IF(A457="","",IF(COUNTIF(Ayarlar!$A$15:$A$20,C457)&gt;0,1,0))</f>
        <v/>
      </c>
      <c r="H457" s="14" t="str">
        <f aca="false">IF(A457="","",DATEDIF(E457,Ayarlar!$B$3,"y"))</f>
        <v/>
      </c>
      <c r="I457" s="14" t="str">
        <f aca="false">IF(OR(A457="",F457=""),"",DATEDIF(F457,Ayarlar!$B$3,"y"))</f>
        <v/>
      </c>
      <c r="J457" s="14" t="str">
        <f aca="false">IF(A457="","",IF(H457&lt;1,0,MAX(IF(H457&lt;5,14,IF(H457&lt;15,20,26)),IF(AND(I457&lt;&gt;"",OR(I457&lt;=18,I457&gt;=50)),20,0))))</f>
        <v/>
      </c>
      <c r="K457" s="17" t="str">
        <f aca="false">IF(A457="","",EDATE(E457,12*(H457+1)))</f>
        <v/>
      </c>
      <c r="L457" s="14" t="str">
        <f aca="false">IF(A457="","",K457-Ayarlar!$B$3)</f>
        <v/>
      </c>
      <c r="M457" s="18" t="str">
        <f aca="false">IF(A457="","",Veri_Guncel!H457)</f>
        <v/>
      </c>
      <c r="N457" s="18" t="str">
        <f aca="false">IF(A457="","",IFERROR(INDEX(Veri_Onceki!$H:$H,MATCH(A457,Veri_Onceki!$A:$A,0)),""))</f>
        <v/>
      </c>
      <c r="O457" s="14" t="str">
        <f aca="false">IF(A457="","",IF(AND(H457&gt;=1,EDATE(E457,12*H457)&gt;Ayarlar!$B$4,EDATE(E457,12*H457)&lt;=Ayarlar!$B$3),J457,0))</f>
        <v/>
      </c>
      <c r="P457" s="14" t="str">
        <f aca="false">IF(OR(A457="",N457=""),"",N457+O457-M457)</f>
        <v/>
      </c>
      <c r="Q457" s="16" t="str">
        <f aca="false">IF(A457="","",IF(M457&gt;=Ayarlar!$B$7,"ALARM",IF(M457&gt;=Ayarlar!$B$6,"Planla","")))</f>
        <v/>
      </c>
      <c r="R457" s="14" t="str">
        <f aca="false">IF(A457="","",IF(AND(L457&gt;=0,L457&lt;=Ayarlar!$B$9),"Evet",""))</f>
        <v/>
      </c>
      <c r="S457" s="16" t="str">
        <f aca="false">IF(A457="","",IF(N457="","Yeni personel",IF(P457&lt;0,"Kontrol et","")))</f>
        <v/>
      </c>
      <c r="T457" s="14" t="str">
        <f aca="false">IF(A457="","",IF(AND(G457=1,M457&gt;=Ayarlar!$B$6,OR(Ayarlar!$B$11="Tümü",C457=Ayarlar!$B$11)),M457+ROW()/100000,""))</f>
        <v/>
      </c>
    </row>
    <row r="458" customFormat="false" ht="15" hidden="false" customHeight="false" outlineLevel="0" collapsed="false">
      <c r="A458" s="18" t="str">
        <f aca="false">IF(Veri_Guncel!A458="","",Veri_Guncel!A458)</f>
        <v/>
      </c>
      <c r="B458" s="18" t="str">
        <f aca="false">IF($A458="","",Veri_Guncel!B458)</f>
        <v/>
      </c>
      <c r="C458" s="18" t="str">
        <f aca="false">IF($A458="","",Veri_Guncel!C458)</f>
        <v/>
      </c>
      <c r="D458" s="18" t="str">
        <f aca="false">IF($A458="","",Veri_Guncel!D458)</f>
        <v/>
      </c>
      <c r="E458" s="19" t="str">
        <f aca="false">IF($A458="","",Veri_Guncel!E458)</f>
        <v/>
      </c>
      <c r="F458" s="19" t="str">
        <f aca="false">IF($A458="","",Veri_Guncel!F458)</f>
        <v/>
      </c>
      <c r="G458" s="14" t="str">
        <f aca="false">IF(A458="","",IF(COUNTIF(Ayarlar!$A$15:$A$20,C458)&gt;0,1,0))</f>
        <v/>
      </c>
      <c r="H458" s="14" t="str">
        <f aca="false">IF(A458="","",DATEDIF(E458,Ayarlar!$B$3,"y"))</f>
        <v/>
      </c>
      <c r="I458" s="14" t="str">
        <f aca="false">IF(OR(A458="",F458=""),"",DATEDIF(F458,Ayarlar!$B$3,"y"))</f>
        <v/>
      </c>
      <c r="J458" s="14" t="str">
        <f aca="false">IF(A458="","",IF(H458&lt;1,0,MAX(IF(H458&lt;5,14,IF(H458&lt;15,20,26)),IF(AND(I458&lt;&gt;"",OR(I458&lt;=18,I458&gt;=50)),20,0))))</f>
        <v/>
      </c>
      <c r="K458" s="17" t="str">
        <f aca="false">IF(A458="","",EDATE(E458,12*(H458+1)))</f>
        <v/>
      </c>
      <c r="L458" s="14" t="str">
        <f aca="false">IF(A458="","",K458-Ayarlar!$B$3)</f>
        <v/>
      </c>
      <c r="M458" s="18" t="str">
        <f aca="false">IF(A458="","",Veri_Guncel!H458)</f>
        <v/>
      </c>
      <c r="N458" s="18" t="str">
        <f aca="false">IF(A458="","",IFERROR(INDEX(Veri_Onceki!$H:$H,MATCH(A458,Veri_Onceki!$A:$A,0)),""))</f>
        <v/>
      </c>
      <c r="O458" s="14" t="str">
        <f aca="false">IF(A458="","",IF(AND(H458&gt;=1,EDATE(E458,12*H458)&gt;Ayarlar!$B$4,EDATE(E458,12*H458)&lt;=Ayarlar!$B$3),J458,0))</f>
        <v/>
      </c>
      <c r="P458" s="14" t="str">
        <f aca="false">IF(OR(A458="",N458=""),"",N458+O458-M458)</f>
        <v/>
      </c>
      <c r="Q458" s="16" t="str">
        <f aca="false">IF(A458="","",IF(M458&gt;=Ayarlar!$B$7,"ALARM",IF(M458&gt;=Ayarlar!$B$6,"Planla","")))</f>
        <v/>
      </c>
      <c r="R458" s="14" t="str">
        <f aca="false">IF(A458="","",IF(AND(L458&gt;=0,L458&lt;=Ayarlar!$B$9),"Evet",""))</f>
        <v/>
      </c>
      <c r="S458" s="16" t="str">
        <f aca="false">IF(A458="","",IF(N458="","Yeni personel",IF(P458&lt;0,"Kontrol et","")))</f>
        <v/>
      </c>
      <c r="T458" s="14" t="str">
        <f aca="false">IF(A458="","",IF(AND(G458=1,M458&gt;=Ayarlar!$B$6,OR(Ayarlar!$B$11="Tümü",C458=Ayarlar!$B$11)),M458+ROW()/100000,""))</f>
        <v/>
      </c>
    </row>
    <row r="459" customFormat="false" ht="15" hidden="false" customHeight="false" outlineLevel="0" collapsed="false">
      <c r="A459" s="18" t="str">
        <f aca="false">IF(Veri_Guncel!A459="","",Veri_Guncel!A459)</f>
        <v/>
      </c>
      <c r="B459" s="18" t="str">
        <f aca="false">IF($A459="","",Veri_Guncel!B459)</f>
        <v/>
      </c>
      <c r="C459" s="18" t="str">
        <f aca="false">IF($A459="","",Veri_Guncel!C459)</f>
        <v/>
      </c>
      <c r="D459" s="18" t="str">
        <f aca="false">IF($A459="","",Veri_Guncel!D459)</f>
        <v/>
      </c>
      <c r="E459" s="19" t="str">
        <f aca="false">IF($A459="","",Veri_Guncel!E459)</f>
        <v/>
      </c>
      <c r="F459" s="19" t="str">
        <f aca="false">IF($A459="","",Veri_Guncel!F459)</f>
        <v/>
      </c>
      <c r="G459" s="14" t="str">
        <f aca="false">IF(A459="","",IF(COUNTIF(Ayarlar!$A$15:$A$20,C459)&gt;0,1,0))</f>
        <v/>
      </c>
      <c r="H459" s="14" t="str">
        <f aca="false">IF(A459="","",DATEDIF(E459,Ayarlar!$B$3,"y"))</f>
        <v/>
      </c>
      <c r="I459" s="14" t="str">
        <f aca="false">IF(OR(A459="",F459=""),"",DATEDIF(F459,Ayarlar!$B$3,"y"))</f>
        <v/>
      </c>
      <c r="J459" s="14" t="str">
        <f aca="false">IF(A459="","",IF(H459&lt;1,0,MAX(IF(H459&lt;5,14,IF(H459&lt;15,20,26)),IF(AND(I459&lt;&gt;"",OR(I459&lt;=18,I459&gt;=50)),20,0))))</f>
        <v/>
      </c>
      <c r="K459" s="17" t="str">
        <f aca="false">IF(A459="","",EDATE(E459,12*(H459+1)))</f>
        <v/>
      </c>
      <c r="L459" s="14" t="str">
        <f aca="false">IF(A459="","",K459-Ayarlar!$B$3)</f>
        <v/>
      </c>
      <c r="M459" s="18" t="str">
        <f aca="false">IF(A459="","",Veri_Guncel!H459)</f>
        <v/>
      </c>
      <c r="N459" s="18" t="str">
        <f aca="false">IF(A459="","",IFERROR(INDEX(Veri_Onceki!$H:$H,MATCH(A459,Veri_Onceki!$A:$A,0)),""))</f>
        <v/>
      </c>
      <c r="O459" s="14" t="str">
        <f aca="false">IF(A459="","",IF(AND(H459&gt;=1,EDATE(E459,12*H459)&gt;Ayarlar!$B$4,EDATE(E459,12*H459)&lt;=Ayarlar!$B$3),J459,0))</f>
        <v/>
      </c>
      <c r="P459" s="14" t="str">
        <f aca="false">IF(OR(A459="",N459=""),"",N459+O459-M459)</f>
        <v/>
      </c>
      <c r="Q459" s="16" t="str">
        <f aca="false">IF(A459="","",IF(M459&gt;=Ayarlar!$B$7,"ALARM",IF(M459&gt;=Ayarlar!$B$6,"Planla","")))</f>
        <v/>
      </c>
      <c r="R459" s="14" t="str">
        <f aca="false">IF(A459="","",IF(AND(L459&gt;=0,L459&lt;=Ayarlar!$B$9),"Evet",""))</f>
        <v/>
      </c>
      <c r="S459" s="16" t="str">
        <f aca="false">IF(A459="","",IF(N459="","Yeni personel",IF(P459&lt;0,"Kontrol et","")))</f>
        <v/>
      </c>
      <c r="T459" s="14" t="str">
        <f aca="false">IF(A459="","",IF(AND(G459=1,M459&gt;=Ayarlar!$B$6,OR(Ayarlar!$B$11="Tümü",C459=Ayarlar!$B$11)),M459+ROW()/100000,""))</f>
        <v/>
      </c>
    </row>
    <row r="460" customFormat="false" ht="15" hidden="false" customHeight="false" outlineLevel="0" collapsed="false">
      <c r="A460" s="18" t="str">
        <f aca="false">IF(Veri_Guncel!A460="","",Veri_Guncel!A460)</f>
        <v/>
      </c>
      <c r="B460" s="18" t="str">
        <f aca="false">IF($A460="","",Veri_Guncel!B460)</f>
        <v/>
      </c>
      <c r="C460" s="18" t="str">
        <f aca="false">IF($A460="","",Veri_Guncel!C460)</f>
        <v/>
      </c>
      <c r="D460" s="18" t="str">
        <f aca="false">IF($A460="","",Veri_Guncel!D460)</f>
        <v/>
      </c>
      <c r="E460" s="19" t="str">
        <f aca="false">IF($A460="","",Veri_Guncel!E460)</f>
        <v/>
      </c>
      <c r="F460" s="19" t="str">
        <f aca="false">IF($A460="","",Veri_Guncel!F460)</f>
        <v/>
      </c>
      <c r="G460" s="14" t="str">
        <f aca="false">IF(A460="","",IF(COUNTIF(Ayarlar!$A$15:$A$20,C460)&gt;0,1,0))</f>
        <v/>
      </c>
      <c r="H460" s="14" t="str">
        <f aca="false">IF(A460="","",DATEDIF(E460,Ayarlar!$B$3,"y"))</f>
        <v/>
      </c>
      <c r="I460" s="14" t="str">
        <f aca="false">IF(OR(A460="",F460=""),"",DATEDIF(F460,Ayarlar!$B$3,"y"))</f>
        <v/>
      </c>
      <c r="J460" s="14" t="str">
        <f aca="false">IF(A460="","",IF(H460&lt;1,0,MAX(IF(H460&lt;5,14,IF(H460&lt;15,20,26)),IF(AND(I460&lt;&gt;"",OR(I460&lt;=18,I460&gt;=50)),20,0))))</f>
        <v/>
      </c>
      <c r="K460" s="17" t="str">
        <f aca="false">IF(A460="","",EDATE(E460,12*(H460+1)))</f>
        <v/>
      </c>
      <c r="L460" s="14" t="str">
        <f aca="false">IF(A460="","",K460-Ayarlar!$B$3)</f>
        <v/>
      </c>
      <c r="M460" s="18" t="str">
        <f aca="false">IF(A460="","",Veri_Guncel!H460)</f>
        <v/>
      </c>
      <c r="N460" s="18" t="str">
        <f aca="false">IF(A460="","",IFERROR(INDEX(Veri_Onceki!$H:$H,MATCH(A460,Veri_Onceki!$A:$A,0)),""))</f>
        <v/>
      </c>
      <c r="O460" s="14" t="str">
        <f aca="false">IF(A460="","",IF(AND(H460&gt;=1,EDATE(E460,12*H460)&gt;Ayarlar!$B$4,EDATE(E460,12*H460)&lt;=Ayarlar!$B$3),J460,0))</f>
        <v/>
      </c>
      <c r="P460" s="14" t="str">
        <f aca="false">IF(OR(A460="",N460=""),"",N460+O460-M460)</f>
        <v/>
      </c>
      <c r="Q460" s="16" t="str">
        <f aca="false">IF(A460="","",IF(M460&gt;=Ayarlar!$B$7,"ALARM",IF(M460&gt;=Ayarlar!$B$6,"Planla","")))</f>
        <v/>
      </c>
      <c r="R460" s="14" t="str">
        <f aca="false">IF(A460="","",IF(AND(L460&gt;=0,L460&lt;=Ayarlar!$B$9),"Evet",""))</f>
        <v/>
      </c>
      <c r="S460" s="16" t="str">
        <f aca="false">IF(A460="","",IF(N460="","Yeni personel",IF(P460&lt;0,"Kontrol et","")))</f>
        <v/>
      </c>
      <c r="T460" s="14" t="str">
        <f aca="false">IF(A460="","",IF(AND(G460=1,M460&gt;=Ayarlar!$B$6,OR(Ayarlar!$B$11="Tümü",C460=Ayarlar!$B$11)),M460+ROW()/100000,""))</f>
        <v/>
      </c>
    </row>
    <row r="461" customFormat="false" ht="15" hidden="false" customHeight="false" outlineLevel="0" collapsed="false">
      <c r="A461" s="18" t="str">
        <f aca="false">IF(Veri_Guncel!A461="","",Veri_Guncel!A461)</f>
        <v/>
      </c>
      <c r="B461" s="18" t="str">
        <f aca="false">IF($A461="","",Veri_Guncel!B461)</f>
        <v/>
      </c>
      <c r="C461" s="18" t="str">
        <f aca="false">IF($A461="","",Veri_Guncel!C461)</f>
        <v/>
      </c>
      <c r="D461" s="18" t="str">
        <f aca="false">IF($A461="","",Veri_Guncel!D461)</f>
        <v/>
      </c>
      <c r="E461" s="19" t="str">
        <f aca="false">IF($A461="","",Veri_Guncel!E461)</f>
        <v/>
      </c>
      <c r="F461" s="19" t="str">
        <f aca="false">IF($A461="","",Veri_Guncel!F461)</f>
        <v/>
      </c>
      <c r="G461" s="14" t="str">
        <f aca="false">IF(A461="","",IF(COUNTIF(Ayarlar!$A$15:$A$20,C461)&gt;0,1,0))</f>
        <v/>
      </c>
      <c r="H461" s="14" t="str">
        <f aca="false">IF(A461="","",DATEDIF(E461,Ayarlar!$B$3,"y"))</f>
        <v/>
      </c>
      <c r="I461" s="14" t="str">
        <f aca="false">IF(OR(A461="",F461=""),"",DATEDIF(F461,Ayarlar!$B$3,"y"))</f>
        <v/>
      </c>
      <c r="J461" s="14" t="str">
        <f aca="false">IF(A461="","",IF(H461&lt;1,0,MAX(IF(H461&lt;5,14,IF(H461&lt;15,20,26)),IF(AND(I461&lt;&gt;"",OR(I461&lt;=18,I461&gt;=50)),20,0))))</f>
        <v/>
      </c>
      <c r="K461" s="17" t="str">
        <f aca="false">IF(A461="","",EDATE(E461,12*(H461+1)))</f>
        <v/>
      </c>
      <c r="L461" s="14" t="str">
        <f aca="false">IF(A461="","",K461-Ayarlar!$B$3)</f>
        <v/>
      </c>
      <c r="M461" s="18" t="str">
        <f aca="false">IF(A461="","",Veri_Guncel!H461)</f>
        <v/>
      </c>
      <c r="N461" s="18" t="str">
        <f aca="false">IF(A461="","",IFERROR(INDEX(Veri_Onceki!$H:$H,MATCH(A461,Veri_Onceki!$A:$A,0)),""))</f>
        <v/>
      </c>
      <c r="O461" s="14" t="str">
        <f aca="false">IF(A461="","",IF(AND(H461&gt;=1,EDATE(E461,12*H461)&gt;Ayarlar!$B$4,EDATE(E461,12*H461)&lt;=Ayarlar!$B$3),J461,0))</f>
        <v/>
      </c>
      <c r="P461" s="14" t="str">
        <f aca="false">IF(OR(A461="",N461=""),"",N461+O461-M461)</f>
        <v/>
      </c>
      <c r="Q461" s="16" t="str">
        <f aca="false">IF(A461="","",IF(M461&gt;=Ayarlar!$B$7,"ALARM",IF(M461&gt;=Ayarlar!$B$6,"Planla","")))</f>
        <v/>
      </c>
      <c r="R461" s="14" t="str">
        <f aca="false">IF(A461="","",IF(AND(L461&gt;=0,L461&lt;=Ayarlar!$B$9),"Evet",""))</f>
        <v/>
      </c>
      <c r="S461" s="16" t="str">
        <f aca="false">IF(A461="","",IF(N461="","Yeni personel",IF(P461&lt;0,"Kontrol et","")))</f>
        <v/>
      </c>
      <c r="T461" s="14" t="str">
        <f aca="false">IF(A461="","",IF(AND(G461=1,M461&gt;=Ayarlar!$B$6,OR(Ayarlar!$B$11="Tümü",C461=Ayarlar!$B$11)),M461+ROW()/100000,""))</f>
        <v/>
      </c>
    </row>
    <row r="462" customFormat="false" ht="15" hidden="false" customHeight="false" outlineLevel="0" collapsed="false">
      <c r="A462" s="18" t="str">
        <f aca="false">IF(Veri_Guncel!A462="","",Veri_Guncel!A462)</f>
        <v/>
      </c>
      <c r="B462" s="18" t="str">
        <f aca="false">IF($A462="","",Veri_Guncel!B462)</f>
        <v/>
      </c>
      <c r="C462" s="18" t="str">
        <f aca="false">IF($A462="","",Veri_Guncel!C462)</f>
        <v/>
      </c>
      <c r="D462" s="18" t="str">
        <f aca="false">IF($A462="","",Veri_Guncel!D462)</f>
        <v/>
      </c>
      <c r="E462" s="19" t="str">
        <f aca="false">IF($A462="","",Veri_Guncel!E462)</f>
        <v/>
      </c>
      <c r="F462" s="19" t="str">
        <f aca="false">IF($A462="","",Veri_Guncel!F462)</f>
        <v/>
      </c>
      <c r="G462" s="14" t="str">
        <f aca="false">IF(A462="","",IF(COUNTIF(Ayarlar!$A$15:$A$20,C462)&gt;0,1,0))</f>
        <v/>
      </c>
      <c r="H462" s="14" t="str">
        <f aca="false">IF(A462="","",DATEDIF(E462,Ayarlar!$B$3,"y"))</f>
        <v/>
      </c>
      <c r="I462" s="14" t="str">
        <f aca="false">IF(OR(A462="",F462=""),"",DATEDIF(F462,Ayarlar!$B$3,"y"))</f>
        <v/>
      </c>
      <c r="J462" s="14" t="str">
        <f aca="false">IF(A462="","",IF(H462&lt;1,0,MAX(IF(H462&lt;5,14,IF(H462&lt;15,20,26)),IF(AND(I462&lt;&gt;"",OR(I462&lt;=18,I462&gt;=50)),20,0))))</f>
        <v/>
      </c>
      <c r="K462" s="17" t="str">
        <f aca="false">IF(A462="","",EDATE(E462,12*(H462+1)))</f>
        <v/>
      </c>
      <c r="L462" s="14" t="str">
        <f aca="false">IF(A462="","",K462-Ayarlar!$B$3)</f>
        <v/>
      </c>
      <c r="M462" s="18" t="str">
        <f aca="false">IF(A462="","",Veri_Guncel!H462)</f>
        <v/>
      </c>
      <c r="N462" s="18" t="str">
        <f aca="false">IF(A462="","",IFERROR(INDEX(Veri_Onceki!$H:$H,MATCH(A462,Veri_Onceki!$A:$A,0)),""))</f>
        <v/>
      </c>
      <c r="O462" s="14" t="str">
        <f aca="false">IF(A462="","",IF(AND(H462&gt;=1,EDATE(E462,12*H462)&gt;Ayarlar!$B$4,EDATE(E462,12*H462)&lt;=Ayarlar!$B$3),J462,0))</f>
        <v/>
      </c>
      <c r="P462" s="14" t="str">
        <f aca="false">IF(OR(A462="",N462=""),"",N462+O462-M462)</f>
        <v/>
      </c>
      <c r="Q462" s="16" t="str">
        <f aca="false">IF(A462="","",IF(M462&gt;=Ayarlar!$B$7,"ALARM",IF(M462&gt;=Ayarlar!$B$6,"Planla","")))</f>
        <v/>
      </c>
      <c r="R462" s="14" t="str">
        <f aca="false">IF(A462="","",IF(AND(L462&gt;=0,L462&lt;=Ayarlar!$B$9),"Evet",""))</f>
        <v/>
      </c>
      <c r="S462" s="16" t="str">
        <f aca="false">IF(A462="","",IF(N462="","Yeni personel",IF(P462&lt;0,"Kontrol et","")))</f>
        <v/>
      </c>
      <c r="T462" s="14" t="str">
        <f aca="false">IF(A462="","",IF(AND(G462=1,M462&gt;=Ayarlar!$B$6,OR(Ayarlar!$B$11="Tümü",C462=Ayarlar!$B$11)),M462+ROW()/100000,""))</f>
        <v/>
      </c>
    </row>
    <row r="463" customFormat="false" ht="15" hidden="false" customHeight="false" outlineLevel="0" collapsed="false">
      <c r="A463" s="18" t="str">
        <f aca="false">IF(Veri_Guncel!A463="","",Veri_Guncel!A463)</f>
        <v/>
      </c>
      <c r="B463" s="18" t="str">
        <f aca="false">IF($A463="","",Veri_Guncel!B463)</f>
        <v/>
      </c>
      <c r="C463" s="18" t="str">
        <f aca="false">IF($A463="","",Veri_Guncel!C463)</f>
        <v/>
      </c>
      <c r="D463" s="18" t="str">
        <f aca="false">IF($A463="","",Veri_Guncel!D463)</f>
        <v/>
      </c>
      <c r="E463" s="19" t="str">
        <f aca="false">IF($A463="","",Veri_Guncel!E463)</f>
        <v/>
      </c>
      <c r="F463" s="19" t="str">
        <f aca="false">IF($A463="","",Veri_Guncel!F463)</f>
        <v/>
      </c>
      <c r="G463" s="14" t="str">
        <f aca="false">IF(A463="","",IF(COUNTIF(Ayarlar!$A$15:$A$20,C463)&gt;0,1,0))</f>
        <v/>
      </c>
      <c r="H463" s="14" t="str">
        <f aca="false">IF(A463="","",DATEDIF(E463,Ayarlar!$B$3,"y"))</f>
        <v/>
      </c>
      <c r="I463" s="14" t="str">
        <f aca="false">IF(OR(A463="",F463=""),"",DATEDIF(F463,Ayarlar!$B$3,"y"))</f>
        <v/>
      </c>
      <c r="J463" s="14" t="str">
        <f aca="false">IF(A463="","",IF(H463&lt;1,0,MAX(IF(H463&lt;5,14,IF(H463&lt;15,20,26)),IF(AND(I463&lt;&gt;"",OR(I463&lt;=18,I463&gt;=50)),20,0))))</f>
        <v/>
      </c>
      <c r="K463" s="17" t="str">
        <f aca="false">IF(A463="","",EDATE(E463,12*(H463+1)))</f>
        <v/>
      </c>
      <c r="L463" s="14" t="str">
        <f aca="false">IF(A463="","",K463-Ayarlar!$B$3)</f>
        <v/>
      </c>
      <c r="M463" s="18" t="str">
        <f aca="false">IF(A463="","",Veri_Guncel!H463)</f>
        <v/>
      </c>
      <c r="N463" s="18" t="str">
        <f aca="false">IF(A463="","",IFERROR(INDEX(Veri_Onceki!$H:$H,MATCH(A463,Veri_Onceki!$A:$A,0)),""))</f>
        <v/>
      </c>
      <c r="O463" s="14" t="str">
        <f aca="false">IF(A463="","",IF(AND(H463&gt;=1,EDATE(E463,12*H463)&gt;Ayarlar!$B$4,EDATE(E463,12*H463)&lt;=Ayarlar!$B$3),J463,0))</f>
        <v/>
      </c>
      <c r="P463" s="14" t="str">
        <f aca="false">IF(OR(A463="",N463=""),"",N463+O463-M463)</f>
        <v/>
      </c>
      <c r="Q463" s="16" t="str">
        <f aca="false">IF(A463="","",IF(M463&gt;=Ayarlar!$B$7,"ALARM",IF(M463&gt;=Ayarlar!$B$6,"Planla","")))</f>
        <v/>
      </c>
      <c r="R463" s="14" t="str">
        <f aca="false">IF(A463="","",IF(AND(L463&gt;=0,L463&lt;=Ayarlar!$B$9),"Evet",""))</f>
        <v/>
      </c>
      <c r="S463" s="16" t="str">
        <f aca="false">IF(A463="","",IF(N463="","Yeni personel",IF(P463&lt;0,"Kontrol et","")))</f>
        <v/>
      </c>
      <c r="T463" s="14" t="str">
        <f aca="false">IF(A463="","",IF(AND(G463=1,M463&gt;=Ayarlar!$B$6,OR(Ayarlar!$B$11="Tümü",C463=Ayarlar!$B$11)),M463+ROW()/100000,""))</f>
        <v/>
      </c>
    </row>
    <row r="464" customFormat="false" ht="15" hidden="false" customHeight="false" outlineLevel="0" collapsed="false">
      <c r="A464" s="18" t="str">
        <f aca="false">IF(Veri_Guncel!A464="","",Veri_Guncel!A464)</f>
        <v/>
      </c>
      <c r="B464" s="18" t="str">
        <f aca="false">IF($A464="","",Veri_Guncel!B464)</f>
        <v/>
      </c>
      <c r="C464" s="18" t="str">
        <f aca="false">IF($A464="","",Veri_Guncel!C464)</f>
        <v/>
      </c>
      <c r="D464" s="18" t="str">
        <f aca="false">IF($A464="","",Veri_Guncel!D464)</f>
        <v/>
      </c>
      <c r="E464" s="19" t="str">
        <f aca="false">IF($A464="","",Veri_Guncel!E464)</f>
        <v/>
      </c>
      <c r="F464" s="19" t="str">
        <f aca="false">IF($A464="","",Veri_Guncel!F464)</f>
        <v/>
      </c>
      <c r="G464" s="14" t="str">
        <f aca="false">IF(A464="","",IF(COUNTIF(Ayarlar!$A$15:$A$20,C464)&gt;0,1,0))</f>
        <v/>
      </c>
      <c r="H464" s="14" t="str">
        <f aca="false">IF(A464="","",DATEDIF(E464,Ayarlar!$B$3,"y"))</f>
        <v/>
      </c>
      <c r="I464" s="14" t="str">
        <f aca="false">IF(OR(A464="",F464=""),"",DATEDIF(F464,Ayarlar!$B$3,"y"))</f>
        <v/>
      </c>
      <c r="J464" s="14" t="str">
        <f aca="false">IF(A464="","",IF(H464&lt;1,0,MAX(IF(H464&lt;5,14,IF(H464&lt;15,20,26)),IF(AND(I464&lt;&gt;"",OR(I464&lt;=18,I464&gt;=50)),20,0))))</f>
        <v/>
      </c>
      <c r="K464" s="17" t="str">
        <f aca="false">IF(A464="","",EDATE(E464,12*(H464+1)))</f>
        <v/>
      </c>
      <c r="L464" s="14" t="str">
        <f aca="false">IF(A464="","",K464-Ayarlar!$B$3)</f>
        <v/>
      </c>
      <c r="M464" s="18" t="str">
        <f aca="false">IF(A464="","",Veri_Guncel!H464)</f>
        <v/>
      </c>
      <c r="N464" s="18" t="str">
        <f aca="false">IF(A464="","",IFERROR(INDEX(Veri_Onceki!$H:$H,MATCH(A464,Veri_Onceki!$A:$A,0)),""))</f>
        <v/>
      </c>
      <c r="O464" s="14" t="str">
        <f aca="false">IF(A464="","",IF(AND(H464&gt;=1,EDATE(E464,12*H464)&gt;Ayarlar!$B$4,EDATE(E464,12*H464)&lt;=Ayarlar!$B$3),J464,0))</f>
        <v/>
      </c>
      <c r="P464" s="14" t="str">
        <f aca="false">IF(OR(A464="",N464=""),"",N464+O464-M464)</f>
        <v/>
      </c>
      <c r="Q464" s="16" t="str">
        <f aca="false">IF(A464="","",IF(M464&gt;=Ayarlar!$B$7,"ALARM",IF(M464&gt;=Ayarlar!$B$6,"Planla","")))</f>
        <v/>
      </c>
      <c r="R464" s="14" t="str">
        <f aca="false">IF(A464="","",IF(AND(L464&gt;=0,L464&lt;=Ayarlar!$B$9),"Evet",""))</f>
        <v/>
      </c>
      <c r="S464" s="16" t="str">
        <f aca="false">IF(A464="","",IF(N464="","Yeni personel",IF(P464&lt;0,"Kontrol et","")))</f>
        <v/>
      </c>
      <c r="T464" s="14" t="str">
        <f aca="false">IF(A464="","",IF(AND(G464=1,M464&gt;=Ayarlar!$B$6,OR(Ayarlar!$B$11="Tümü",C464=Ayarlar!$B$11)),M464+ROW()/100000,""))</f>
        <v/>
      </c>
    </row>
    <row r="465" customFormat="false" ht="15" hidden="false" customHeight="false" outlineLevel="0" collapsed="false">
      <c r="A465" s="18" t="str">
        <f aca="false">IF(Veri_Guncel!A465="","",Veri_Guncel!A465)</f>
        <v/>
      </c>
      <c r="B465" s="18" t="str">
        <f aca="false">IF($A465="","",Veri_Guncel!B465)</f>
        <v/>
      </c>
      <c r="C465" s="18" t="str">
        <f aca="false">IF($A465="","",Veri_Guncel!C465)</f>
        <v/>
      </c>
      <c r="D465" s="18" t="str">
        <f aca="false">IF($A465="","",Veri_Guncel!D465)</f>
        <v/>
      </c>
      <c r="E465" s="19" t="str">
        <f aca="false">IF($A465="","",Veri_Guncel!E465)</f>
        <v/>
      </c>
      <c r="F465" s="19" t="str">
        <f aca="false">IF($A465="","",Veri_Guncel!F465)</f>
        <v/>
      </c>
      <c r="G465" s="14" t="str">
        <f aca="false">IF(A465="","",IF(COUNTIF(Ayarlar!$A$15:$A$20,C465)&gt;0,1,0))</f>
        <v/>
      </c>
      <c r="H465" s="14" t="str">
        <f aca="false">IF(A465="","",DATEDIF(E465,Ayarlar!$B$3,"y"))</f>
        <v/>
      </c>
      <c r="I465" s="14" t="str">
        <f aca="false">IF(OR(A465="",F465=""),"",DATEDIF(F465,Ayarlar!$B$3,"y"))</f>
        <v/>
      </c>
      <c r="J465" s="14" t="str">
        <f aca="false">IF(A465="","",IF(H465&lt;1,0,MAX(IF(H465&lt;5,14,IF(H465&lt;15,20,26)),IF(AND(I465&lt;&gt;"",OR(I465&lt;=18,I465&gt;=50)),20,0))))</f>
        <v/>
      </c>
      <c r="K465" s="17" t="str">
        <f aca="false">IF(A465="","",EDATE(E465,12*(H465+1)))</f>
        <v/>
      </c>
      <c r="L465" s="14" t="str">
        <f aca="false">IF(A465="","",K465-Ayarlar!$B$3)</f>
        <v/>
      </c>
      <c r="M465" s="18" t="str">
        <f aca="false">IF(A465="","",Veri_Guncel!H465)</f>
        <v/>
      </c>
      <c r="N465" s="18" t="str">
        <f aca="false">IF(A465="","",IFERROR(INDEX(Veri_Onceki!$H:$H,MATCH(A465,Veri_Onceki!$A:$A,0)),""))</f>
        <v/>
      </c>
      <c r="O465" s="14" t="str">
        <f aca="false">IF(A465="","",IF(AND(H465&gt;=1,EDATE(E465,12*H465)&gt;Ayarlar!$B$4,EDATE(E465,12*H465)&lt;=Ayarlar!$B$3),J465,0))</f>
        <v/>
      </c>
      <c r="P465" s="14" t="str">
        <f aca="false">IF(OR(A465="",N465=""),"",N465+O465-M465)</f>
        <v/>
      </c>
      <c r="Q465" s="16" t="str">
        <f aca="false">IF(A465="","",IF(M465&gt;=Ayarlar!$B$7,"ALARM",IF(M465&gt;=Ayarlar!$B$6,"Planla","")))</f>
        <v/>
      </c>
      <c r="R465" s="14" t="str">
        <f aca="false">IF(A465="","",IF(AND(L465&gt;=0,L465&lt;=Ayarlar!$B$9),"Evet",""))</f>
        <v/>
      </c>
      <c r="S465" s="16" t="str">
        <f aca="false">IF(A465="","",IF(N465="","Yeni personel",IF(P465&lt;0,"Kontrol et","")))</f>
        <v/>
      </c>
      <c r="T465" s="14" t="str">
        <f aca="false">IF(A465="","",IF(AND(G465=1,M465&gt;=Ayarlar!$B$6,OR(Ayarlar!$B$11="Tümü",C465=Ayarlar!$B$11)),M465+ROW()/100000,""))</f>
        <v/>
      </c>
    </row>
    <row r="466" customFormat="false" ht="15" hidden="false" customHeight="false" outlineLevel="0" collapsed="false">
      <c r="A466" s="18" t="str">
        <f aca="false">IF(Veri_Guncel!A466="","",Veri_Guncel!A466)</f>
        <v/>
      </c>
      <c r="B466" s="18" t="str">
        <f aca="false">IF($A466="","",Veri_Guncel!B466)</f>
        <v/>
      </c>
      <c r="C466" s="18" t="str">
        <f aca="false">IF($A466="","",Veri_Guncel!C466)</f>
        <v/>
      </c>
      <c r="D466" s="18" t="str">
        <f aca="false">IF($A466="","",Veri_Guncel!D466)</f>
        <v/>
      </c>
      <c r="E466" s="19" t="str">
        <f aca="false">IF($A466="","",Veri_Guncel!E466)</f>
        <v/>
      </c>
      <c r="F466" s="19" t="str">
        <f aca="false">IF($A466="","",Veri_Guncel!F466)</f>
        <v/>
      </c>
      <c r="G466" s="14" t="str">
        <f aca="false">IF(A466="","",IF(COUNTIF(Ayarlar!$A$15:$A$20,C466)&gt;0,1,0))</f>
        <v/>
      </c>
      <c r="H466" s="14" t="str">
        <f aca="false">IF(A466="","",DATEDIF(E466,Ayarlar!$B$3,"y"))</f>
        <v/>
      </c>
      <c r="I466" s="14" t="str">
        <f aca="false">IF(OR(A466="",F466=""),"",DATEDIF(F466,Ayarlar!$B$3,"y"))</f>
        <v/>
      </c>
      <c r="J466" s="14" t="str">
        <f aca="false">IF(A466="","",IF(H466&lt;1,0,MAX(IF(H466&lt;5,14,IF(H466&lt;15,20,26)),IF(AND(I466&lt;&gt;"",OR(I466&lt;=18,I466&gt;=50)),20,0))))</f>
        <v/>
      </c>
      <c r="K466" s="17" t="str">
        <f aca="false">IF(A466="","",EDATE(E466,12*(H466+1)))</f>
        <v/>
      </c>
      <c r="L466" s="14" t="str">
        <f aca="false">IF(A466="","",K466-Ayarlar!$B$3)</f>
        <v/>
      </c>
      <c r="M466" s="18" t="str">
        <f aca="false">IF(A466="","",Veri_Guncel!H466)</f>
        <v/>
      </c>
      <c r="N466" s="18" t="str">
        <f aca="false">IF(A466="","",IFERROR(INDEX(Veri_Onceki!$H:$H,MATCH(A466,Veri_Onceki!$A:$A,0)),""))</f>
        <v/>
      </c>
      <c r="O466" s="14" t="str">
        <f aca="false">IF(A466="","",IF(AND(H466&gt;=1,EDATE(E466,12*H466)&gt;Ayarlar!$B$4,EDATE(E466,12*H466)&lt;=Ayarlar!$B$3),J466,0))</f>
        <v/>
      </c>
      <c r="P466" s="14" t="str">
        <f aca="false">IF(OR(A466="",N466=""),"",N466+O466-M466)</f>
        <v/>
      </c>
      <c r="Q466" s="16" t="str">
        <f aca="false">IF(A466="","",IF(M466&gt;=Ayarlar!$B$7,"ALARM",IF(M466&gt;=Ayarlar!$B$6,"Planla","")))</f>
        <v/>
      </c>
      <c r="R466" s="14" t="str">
        <f aca="false">IF(A466="","",IF(AND(L466&gt;=0,L466&lt;=Ayarlar!$B$9),"Evet",""))</f>
        <v/>
      </c>
      <c r="S466" s="16" t="str">
        <f aca="false">IF(A466="","",IF(N466="","Yeni personel",IF(P466&lt;0,"Kontrol et","")))</f>
        <v/>
      </c>
      <c r="T466" s="14" t="str">
        <f aca="false">IF(A466="","",IF(AND(G466=1,M466&gt;=Ayarlar!$B$6,OR(Ayarlar!$B$11="Tümü",C466=Ayarlar!$B$11)),M466+ROW()/100000,""))</f>
        <v/>
      </c>
    </row>
    <row r="467" customFormat="false" ht="15" hidden="false" customHeight="false" outlineLevel="0" collapsed="false">
      <c r="A467" s="18" t="str">
        <f aca="false">IF(Veri_Guncel!A467="","",Veri_Guncel!A467)</f>
        <v/>
      </c>
      <c r="B467" s="18" t="str">
        <f aca="false">IF($A467="","",Veri_Guncel!B467)</f>
        <v/>
      </c>
      <c r="C467" s="18" t="str">
        <f aca="false">IF($A467="","",Veri_Guncel!C467)</f>
        <v/>
      </c>
      <c r="D467" s="18" t="str">
        <f aca="false">IF($A467="","",Veri_Guncel!D467)</f>
        <v/>
      </c>
      <c r="E467" s="19" t="str">
        <f aca="false">IF($A467="","",Veri_Guncel!E467)</f>
        <v/>
      </c>
      <c r="F467" s="19" t="str">
        <f aca="false">IF($A467="","",Veri_Guncel!F467)</f>
        <v/>
      </c>
      <c r="G467" s="14" t="str">
        <f aca="false">IF(A467="","",IF(COUNTIF(Ayarlar!$A$15:$A$20,C467)&gt;0,1,0))</f>
        <v/>
      </c>
      <c r="H467" s="14" t="str">
        <f aca="false">IF(A467="","",DATEDIF(E467,Ayarlar!$B$3,"y"))</f>
        <v/>
      </c>
      <c r="I467" s="14" t="str">
        <f aca="false">IF(OR(A467="",F467=""),"",DATEDIF(F467,Ayarlar!$B$3,"y"))</f>
        <v/>
      </c>
      <c r="J467" s="14" t="str">
        <f aca="false">IF(A467="","",IF(H467&lt;1,0,MAX(IF(H467&lt;5,14,IF(H467&lt;15,20,26)),IF(AND(I467&lt;&gt;"",OR(I467&lt;=18,I467&gt;=50)),20,0))))</f>
        <v/>
      </c>
      <c r="K467" s="17" t="str">
        <f aca="false">IF(A467="","",EDATE(E467,12*(H467+1)))</f>
        <v/>
      </c>
      <c r="L467" s="14" t="str">
        <f aca="false">IF(A467="","",K467-Ayarlar!$B$3)</f>
        <v/>
      </c>
      <c r="M467" s="18" t="str">
        <f aca="false">IF(A467="","",Veri_Guncel!H467)</f>
        <v/>
      </c>
      <c r="N467" s="18" t="str">
        <f aca="false">IF(A467="","",IFERROR(INDEX(Veri_Onceki!$H:$H,MATCH(A467,Veri_Onceki!$A:$A,0)),""))</f>
        <v/>
      </c>
      <c r="O467" s="14" t="str">
        <f aca="false">IF(A467="","",IF(AND(H467&gt;=1,EDATE(E467,12*H467)&gt;Ayarlar!$B$4,EDATE(E467,12*H467)&lt;=Ayarlar!$B$3),J467,0))</f>
        <v/>
      </c>
      <c r="P467" s="14" t="str">
        <f aca="false">IF(OR(A467="",N467=""),"",N467+O467-M467)</f>
        <v/>
      </c>
      <c r="Q467" s="16" t="str">
        <f aca="false">IF(A467="","",IF(M467&gt;=Ayarlar!$B$7,"ALARM",IF(M467&gt;=Ayarlar!$B$6,"Planla","")))</f>
        <v/>
      </c>
      <c r="R467" s="14" t="str">
        <f aca="false">IF(A467="","",IF(AND(L467&gt;=0,L467&lt;=Ayarlar!$B$9),"Evet",""))</f>
        <v/>
      </c>
      <c r="S467" s="16" t="str">
        <f aca="false">IF(A467="","",IF(N467="","Yeni personel",IF(P467&lt;0,"Kontrol et","")))</f>
        <v/>
      </c>
      <c r="T467" s="14" t="str">
        <f aca="false">IF(A467="","",IF(AND(G467=1,M467&gt;=Ayarlar!$B$6,OR(Ayarlar!$B$11="Tümü",C467=Ayarlar!$B$11)),M467+ROW()/100000,""))</f>
        <v/>
      </c>
    </row>
    <row r="468" customFormat="false" ht="15" hidden="false" customHeight="false" outlineLevel="0" collapsed="false">
      <c r="A468" s="18" t="str">
        <f aca="false">IF(Veri_Guncel!A468="","",Veri_Guncel!A468)</f>
        <v/>
      </c>
      <c r="B468" s="18" t="str">
        <f aca="false">IF($A468="","",Veri_Guncel!B468)</f>
        <v/>
      </c>
      <c r="C468" s="18" t="str">
        <f aca="false">IF($A468="","",Veri_Guncel!C468)</f>
        <v/>
      </c>
      <c r="D468" s="18" t="str">
        <f aca="false">IF($A468="","",Veri_Guncel!D468)</f>
        <v/>
      </c>
      <c r="E468" s="19" t="str">
        <f aca="false">IF($A468="","",Veri_Guncel!E468)</f>
        <v/>
      </c>
      <c r="F468" s="19" t="str">
        <f aca="false">IF($A468="","",Veri_Guncel!F468)</f>
        <v/>
      </c>
      <c r="G468" s="14" t="str">
        <f aca="false">IF(A468="","",IF(COUNTIF(Ayarlar!$A$15:$A$20,C468)&gt;0,1,0))</f>
        <v/>
      </c>
      <c r="H468" s="14" t="str">
        <f aca="false">IF(A468="","",DATEDIF(E468,Ayarlar!$B$3,"y"))</f>
        <v/>
      </c>
      <c r="I468" s="14" t="str">
        <f aca="false">IF(OR(A468="",F468=""),"",DATEDIF(F468,Ayarlar!$B$3,"y"))</f>
        <v/>
      </c>
      <c r="J468" s="14" t="str">
        <f aca="false">IF(A468="","",IF(H468&lt;1,0,MAX(IF(H468&lt;5,14,IF(H468&lt;15,20,26)),IF(AND(I468&lt;&gt;"",OR(I468&lt;=18,I468&gt;=50)),20,0))))</f>
        <v/>
      </c>
      <c r="K468" s="17" t="str">
        <f aca="false">IF(A468="","",EDATE(E468,12*(H468+1)))</f>
        <v/>
      </c>
      <c r="L468" s="14" t="str">
        <f aca="false">IF(A468="","",K468-Ayarlar!$B$3)</f>
        <v/>
      </c>
      <c r="M468" s="18" t="str">
        <f aca="false">IF(A468="","",Veri_Guncel!H468)</f>
        <v/>
      </c>
      <c r="N468" s="18" t="str">
        <f aca="false">IF(A468="","",IFERROR(INDEX(Veri_Onceki!$H:$H,MATCH(A468,Veri_Onceki!$A:$A,0)),""))</f>
        <v/>
      </c>
      <c r="O468" s="14" t="str">
        <f aca="false">IF(A468="","",IF(AND(H468&gt;=1,EDATE(E468,12*H468)&gt;Ayarlar!$B$4,EDATE(E468,12*H468)&lt;=Ayarlar!$B$3),J468,0))</f>
        <v/>
      </c>
      <c r="P468" s="14" t="str">
        <f aca="false">IF(OR(A468="",N468=""),"",N468+O468-M468)</f>
        <v/>
      </c>
      <c r="Q468" s="16" t="str">
        <f aca="false">IF(A468="","",IF(M468&gt;=Ayarlar!$B$7,"ALARM",IF(M468&gt;=Ayarlar!$B$6,"Planla","")))</f>
        <v/>
      </c>
      <c r="R468" s="14" t="str">
        <f aca="false">IF(A468="","",IF(AND(L468&gt;=0,L468&lt;=Ayarlar!$B$9),"Evet",""))</f>
        <v/>
      </c>
      <c r="S468" s="16" t="str">
        <f aca="false">IF(A468="","",IF(N468="","Yeni personel",IF(P468&lt;0,"Kontrol et","")))</f>
        <v/>
      </c>
      <c r="T468" s="14" t="str">
        <f aca="false">IF(A468="","",IF(AND(G468=1,M468&gt;=Ayarlar!$B$6,OR(Ayarlar!$B$11="Tümü",C468=Ayarlar!$B$11)),M468+ROW()/100000,""))</f>
        <v/>
      </c>
    </row>
    <row r="469" customFormat="false" ht="15" hidden="false" customHeight="false" outlineLevel="0" collapsed="false">
      <c r="A469" s="18" t="str">
        <f aca="false">IF(Veri_Guncel!A469="","",Veri_Guncel!A469)</f>
        <v/>
      </c>
      <c r="B469" s="18" t="str">
        <f aca="false">IF($A469="","",Veri_Guncel!B469)</f>
        <v/>
      </c>
      <c r="C469" s="18" t="str">
        <f aca="false">IF($A469="","",Veri_Guncel!C469)</f>
        <v/>
      </c>
      <c r="D469" s="18" t="str">
        <f aca="false">IF($A469="","",Veri_Guncel!D469)</f>
        <v/>
      </c>
      <c r="E469" s="19" t="str">
        <f aca="false">IF($A469="","",Veri_Guncel!E469)</f>
        <v/>
      </c>
      <c r="F469" s="19" t="str">
        <f aca="false">IF($A469="","",Veri_Guncel!F469)</f>
        <v/>
      </c>
      <c r="G469" s="14" t="str">
        <f aca="false">IF(A469="","",IF(COUNTIF(Ayarlar!$A$15:$A$20,C469)&gt;0,1,0))</f>
        <v/>
      </c>
      <c r="H469" s="14" t="str">
        <f aca="false">IF(A469="","",DATEDIF(E469,Ayarlar!$B$3,"y"))</f>
        <v/>
      </c>
      <c r="I469" s="14" t="str">
        <f aca="false">IF(OR(A469="",F469=""),"",DATEDIF(F469,Ayarlar!$B$3,"y"))</f>
        <v/>
      </c>
      <c r="J469" s="14" t="str">
        <f aca="false">IF(A469="","",IF(H469&lt;1,0,MAX(IF(H469&lt;5,14,IF(H469&lt;15,20,26)),IF(AND(I469&lt;&gt;"",OR(I469&lt;=18,I469&gt;=50)),20,0))))</f>
        <v/>
      </c>
      <c r="K469" s="17" t="str">
        <f aca="false">IF(A469="","",EDATE(E469,12*(H469+1)))</f>
        <v/>
      </c>
      <c r="L469" s="14" t="str">
        <f aca="false">IF(A469="","",K469-Ayarlar!$B$3)</f>
        <v/>
      </c>
      <c r="M469" s="18" t="str">
        <f aca="false">IF(A469="","",Veri_Guncel!H469)</f>
        <v/>
      </c>
      <c r="N469" s="18" t="str">
        <f aca="false">IF(A469="","",IFERROR(INDEX(Veri_Onceki!$H:$H,MATCH(A469,Veri_Onceki!$A:$A,0)),""))</f>
        <v/>
      </c>
      <c r="O469" s="14" t="str">
        <f aca="false">IF(A469="","",IF(AND(H469&gt;=1,EDATE(E469,12*H469)&gt;Ayarlar!$B$4,EDATE(E469,12*H469)&lt;=Ayarlar!$B$3),J469,0))</f>
        <v/>
      </c>
      <c r="P469" s="14" t="str">
        <f aca="false">IF(OR(A469="",N469=""),"",N469+O469-M469)</f>
        <v/>
      </c>
      <c r="Q469" s="16" t="str">
        <f aca="false">IF(A469="","",IF(M469&gt;=Ayarlar!$B$7,"ALARM",IF(M469&gt;=Ayarlar!$B$6,"Planla","")))</f>
        <v/>
      </c>
      <c r="R469" s="14" t="str">
        <f aca="false">IF(A469="","",IF(AND(L469&gt;=0,L469&lt;=Ayarlar!$B$9),"Evet",""))</f>
        <v/>
      </c>
      <c r="S469" s="16" t="str">
        <f aca="false">IF(A469="","",IF(N469="","Yeni personel",IF(P469&lt;0,"Kontrol et","")))</f>
        <v/>
      </c>
      <c r="T469" s="14" t="str">
        <f aca="false">IF(A469="","",IF(AND(G469=1,M469&gt;=Ayarlar!$B$6,OR(Ayarlar!$B$11="Tümü",C469=Ayarlar!$B$11)),M469+ROW()/100000,""))</f>
        <v/>
      </c>
    </row>
    <row r="470" customFormat="false" ht="15" hidden="false" customHeight="false" outlineLevel="0" collapsed="false">
      <c r="A470" s="18" t="str">
        <f aca="false">IF(Veri_Guncel!A470="","",Veri_Guncel!A470)</f>
        <v/>
      </c>
      <c r="B470" s="18" t="str">
        <f aca="false">IF($A470="","",Veri_Guncel!B470)</f>
        <v/>
      </c>
      <c r="C470" s="18" t="str">
        <f aca="false">IF($A470="","",Veri_Guncel!C470)</f>
        <v/>
      </c>
      <c r="D470" s="18" t="str">
        <f aca="false">IF($A470="","",Veri_Guncel!D470)</f>
        <v/>
      </c>
      <c r="E470" s="19" t="str">
        <f aca="false">IF($A470="","",Veri_Guncel!E470)</f>
        <v/>
      </c>
      <c r="F470" s="19" t="str">
        <f aca="false">IF($A470="","",Veri_Guncel!F470)</f>
        <v/>
      </c>
      <c r="G470" s="14" t="str">
        <f aca="false">IF(A470="","",IF(COUNTIF(Ayarlar!$A$15:$A$20,C470)&gt;0,1,0))</f>
        <v/>
      </c>
      <c r="H470" s="14" t="str">
        <f aca="false">IF(A470="","",DATEDIF(E470,Ayarlar!$B$3,"y"))</f>
        <v/>
      </c>
      <c r="I470" s="14" t="str">
        <f aca="false">IF(OR(A470="",F470=""),"",DATEDIF(F470,Ayarlar!$B$3,"y"))</f>
        <v/>
      </c>
      <c r="J470" s="14" t="str">
        <f aca="false">IF(A470="","",IF(H470&lt;1,0,MAX(IF(H470&lt;5,14,IF(H470&lt;15,20,26)),IF(AND(I470&lt;&gt;"",OR(I470&lt;=18,I470&gt;=50)),20,0))))</f>
        <v/>
      </c>
      <c r="K470" s="17" t="str">
        <f aca="false">IF(A470="","",EDATE(E470,12*(H470+1)))</f>
        <v/>
      </c>
      <c r="L470" s="14" t="str">
        <f aca="false">IF(A470="","",K470-Ayarlar!$B$3)</f>
        <v/>
      </c>
      <c r="M470" s="18" t="str">
        <f aca="false">IF(A470="","",Veri_Guncel!H470)</f>
        <v/>
      </c>
      <c r="N470" s="18" t="str">
        <f aca="false">IF(A470="","",IFERROR(INDEX(Veri_Onceki!$H:$H,MATCH(A470,Veri_Onceki!$A:$A,0)),""))</f>
        <v/>
      </c>
      <c r="O470" s="14" t="str">
        <f aca="false">IF(A470="","",IF(AND(H470&gt;=1,EDATE(E470,12*H470)&gt;Ayarlar!$B$4,EDATE(E470,12*H470)&lt;=Ayarlar!$B$3),J470,0))</f>
        <v/>
      </c>
      <c r="P470" s="14" t="str">
        <f aca="false">IF(OR(A470="",N470=""),"",N470+O470-M470)</f>
        <v/>
      </c>
      <c r="Q470" s="16" t="str">
        <f aca="false">IF(A470="","",IF(M470&gt;=Ayarlar!$B$7,"ALARM",IF(M470&gt;=Ayarlar!$B$6,"Planla","")))</f>
        <v/>
      </c>
      <c r="R470" s="14" t="str">
        <f aca="false">IF(A470="","",IF(AND(L470&gt;=0,L470&lt;=Ayarlar!$B$9),"Evet",""))</f>
        <v/>
      </c>
      <c r="S470" s="16" t="str">
        <f aca="false">IF(A470="","",IF(N470="","Yeni personel",IF(P470&lt;0,"Kontrol et","")))</f>
        <v/>
      </c>
      <c r="T470" s="14" t="str">
        <f aca="false">IF(A470="","",IF(AND(G470=1,M470&gt;=Ayarlar!$B$6,OR(Ayarlar!$B$11="Tümü",C470=Ayarlar!$B$11)),M470+ROW()/100000,""))</f>
        <v/>
      </c>
    </row>
    <row r="471" customFormat="false" ht="15" hidden="false" customHeight="false" outlineLevel="0" collapsed="false">
      <c r="A471" s="18" t="str">
        <f aca="false">IF(Veri_Guncel!A471="","",Veri_Guncel!A471)</f>
        <v/>
      </c>
      <c r="B471" s="18" t="str">
        <f aca="false">IF($A471="","",Veri_Guncel!B471)</f>
        <v/>
      </c>
      <c r="C471" s="18" t="str">
        <f aca="false">IF($A471="","",Veri_Guncel!C471)</f>
        <v/>
      </c>
      <c r="D471" s="18" t="str">
        <f aca="false">IF($A471="","",Veri_Guncel!D471)</f>
        <v/>
      </c>
      <c r="E471" s="19" t="str">
        <f aca="false">IF($A471="","",Veri_Guncel!E471)</f>
        <v/>
      </c>
      <c r="F471" s="19" t="str">
        <f aca="false">IF($A471="","",Veri_Guncel!F471)</f>
        <v/>
      </c>
      <c r="G471" s="14" t="str">
        <f aca="false">IF(A471="","",IF(COUNTIF(Ayarlar!$A$15:$A$20,C471)&gt;0,1,0))</f>
        <v/>
      </c>
      <c r="H471" s="14" t="str">
        <f aca="false">IF(A471="","",DATEDIF(E471,Ayarlar!$B$3,"y"))</f>
        <v/>
      </c>
      <c r="I471" s="14" t="str">
        <f aca="false">IF(OR(A471="",F471=""),"",DATEDIF(F471,Ayarlar!$B$3,"y"))</f>
        <v/>
      </c>
      <c r="J471" s="14" t="str">
        <f aca="false">IF(A471="","",IF(H471&lt;1,0,MAX(IF(H471&lt;5,14,IF(H471&lt;15,20,26)),IF(AND(I471&lt;&gt;"",OR(I471&lt;=18,I471&gt;=50)),20,0))))</f>
        <v/>
      </c>
      <c r="K471" s="17" t="str">
        <f aca="false">IF(A471="","",EDATE(E471,12*(H471+1)))</f>
        <v/>
      </c>
      <c r="L471" s="14" t="str">
        <f aca="false">IF(A471="","",K471-Ayarlar!$B$3)</f>
        <v/>
      </c>
      <c r="M471" s="18" t="str">
        <f aca="false">IF(A471="","",Veri_Guncel!H471)</f>
        <v/>
      </c>
      <c r="N471" s="18" t="str">
        <f aca="false">IF(A471="","",IFERROR(INDEX(Veri_Onceki!$H:$H,MATCH(A471,Veri_Onceki!$A:$A,0)),""))</f>
        <v/>
      </c>
      <c r="O471" s="14" t="str">
        <f aca="false">IF(A471="","",IF(AND(H471&gt;=1,EDATE(E471,12*H471)&gt;Ayarlar!$B$4,EDATE(E471,12*H471)&lt;=Ayarlar!$B$3),J471,0))</f>
        <v/>
      </c>
      <c r="P471" s="14" t="str">
        <f aca="false">IF(OR(A471="",N471=""),"",N471+O471-M471)</f>
        <v/>
      </c>
      <c r="Q471" s="16" t="str">
        <f aca="false">IF(A471="","",IF(M471&gt;=Ayarlar!$B$7,"ALARM",IF(M471&gt;=Ayarlar!$B$6,"Planla","")))</f>
        <v/>
      </c>
      <c r="R471" s="14" t="str">
        <f aca="false">IF(A471="","",IF(AND(L471&gt;=0,L471&lt;=Ayarlar!$B$9),"Evet",""))</f>
        <v/>
      </c>
      <c r="S471" s="16" t="str">
        <f aca="false">IF(A471="","",IF(N471="","Yeni personel",IF(P471&lt;0,"Kontrol et","")))</f>
        <v/>
      </c>
      <c r="T471" s="14" t="str">
        <f aca="false">IF(A471="","",IF(AND(G471=1,M471&gt;=Ayarlar!$B$6,OR(Ayarlar!$B$11="Tümü",C471=Ayarlar!$B$11)),M471+ROW()/100000,""))</f>
        <v/>
      </c>
    </row>
    <row r="472" customFormat="false" ht="15" hidden="false" customHeight="false" outlineLevel="0" collapsed="false">
      <c r="A472" s="18" t="str">
        <f aca="false">IF(Veri_Guncel!A472="","",Veri_Guncel!A472)</f>
        <v/>
      </c>
      <c r="B472" s="18" t="str">
        <f aca="false">IF($A472="","",Veri_Guncel!B472)</f>
        <v/>
      </c>
      <c r="C472" s="18" t="str">
        <f aca="false">IF($A472="","",Veri_Guncel!C472)</f>
        <v/>
      </c>
      <c r="D472" s="18" t="str">
        <f aca="false">IF($A472="","",Veri_Guncel!D472)</f>
        <v/>
      </c>
      <c r="E472" s="19" t="str">
        <f aca="false">IF($A472="","",Veri_Guncel!E472)</f>
        <v/>
      </c>
      <c r="F472" s="19" t="str">
        <f aca="false">IF($A472="","",Veri_Guncel!F472)</f>
        <v/>
      </c>
      <c r="G472" s="14" t="str">
        <f aca="false">IF(A472="","",IF(COUNTIF(Ayarlar!$A$15:$A$20,C472)&gt;0,1,0))</f>
        <v/>
      </c>
      <c r="H472" s="14" t="str">
        <f aca="false">IF(A472="","",DATEDIF(E472,Ayarlar!$B$3,"y"))</f>
        <v/>
      </c>
      <c r="I472" s="14" t="str">
        <f aca="false">IF(OR(A472="",F472=""),"",DATEDIF(F472,Ayarlar!$B$3,"y"))</f>
        <v/>
      </c>
      <c r="J472" s="14" t="str">
        <f aca="false">IF(A472="","",IF(H472&lt;1,0,MAX(IF(H472&lt;5,14,IF(H472&lt;15,20,26)),IF(AND(I472&lt;&gt;"",OR(I472&lt;=18,I472&gt;=50)),20,0))))</f>
        <v/>
      </c>
      <c r="K472" s="17" t="str">
        <f aca="false">IF(A472="","",EDATE(E472,12*(H472+1)))</f>
        <v/>
      </c>
      <c r="L472" s="14" t="str">
        <f aca="false">IF(A472="","",K472-Ayarlar!$B$3)</f>
        <v/>
      </c>
      <c r="M472" s="18" t="str">
        <f aca="false">IF(A472="","",Veri_Guncel!H472)</f>
        <v/>
      </c>
      <c r="N472" s="18" t="str">
        <f aca="false">IF(A472="","",IFERROR(INDEX(Veri_Onceki!$H:$H,MATCH(A472,Veri_Onceki!$A:$A,0)),""))</f>
        <v/>
      </c>
      <c r="O472" s="14" t="str">
        <f aca="false">IF(A472="","",IF(AND(H472&gt;=1,EDATE(E472,12*H472)&gt;Ayarlar!$B$4,EDATE(E472,12*H472)&lt;=Ayarlar!$B$3),J472,0))</f>
        <v/>
      </c>
      <c r="P472" s="14" t="str">
        <f aca="false">IF(OR(A472="",N472=""),"",N472+O472-M472)</f>
        <v/>
      </c>
      <c r="Q472" s="16" t="str">
        <f aca="false">IF(A472="","",IF(M472&gt;=Ayarlar!$B$7,"ALARM",IF(M472&gt;=Ayarlar!$B$6,"Planla","")))</f>
        <v/>
      </c>
      <c r="R472" s="14" t="str">
        <f aca="false">IF(A472="","",IF(AND(L472&gt;=0,L472&lt;=Ayarlar!$B$9),"Evet",""))</f>
        <v/>
      </c>
      <c r="S472" s="16" t="str">
        <f aca="false">IF(A472="","",IF(N472="","Yeni personel",IF(P472&lt;0,"Kontrol et","")))</f>
        <v/>
      </c>
      <c r="T472" s="14" t="str">
        <f aca="false">IF(A472="","",IF(AND(G472=1,M472&gt;=Ayarlar!$B$6,OR(Ayarlar!$B$11="Tümü",C472=Ayarlar!$B$11)),M472+ROW()/100000,""))</f>
        <v/>
      </c>
    </row>
    <row r="473" customFormat="false" ht="15" hidden="false" customHeight="false" outlineLevel="0" collapsed="false">
      <c r="A473" s="18" t="str">
        <f aca="false">IF(Veri_Guncel!A473="","",Veri_Guncel!A473)</f>
        <v/>
      </c>
      <c r="B473" s="18" t="str">
        <f aca="false">IF($A473="","",Veri_Guncel!B473)</f>
        <v/>
      </c>
      <c r="C473" s="18" t="str">
        <f aca="false">IF($A473="","",Veri_Guncel!C473)</f>
        <v/>
      </c>
      <c r="D473" s="18" t="str">
        <f aca="false">IF($A473="","",Veri_Guncel!D473)</f>
        <v/>
      </c>
      <c r="E473" s="19" t="str">
        <f aca="false">IF($A473="","",Veri_Guncel!E473)</f>
        <v/>
      </c>
      <c r="F473" s="19" t="str">
        <f aca="false">IF($A473="","",Veri_Guncel!F473)</f>
        <v/>
      </c>
      <c r="G473" s="14" t="str">
        <f aca="false">IF(A473="","",IF(COUNTIF(Ayarlar!$A$15:$A$20,C473)&gt;0,1,0))</f>
        <v/>
      </c>
      <c r="H473" s="14" t="str">
        <f aca="false">IF(A473="","",DATEDIF(E473,Ayarlar!$B$3,"y"))</f>
        <v/>
      </c>
      <c r="I473" s="14" t="str">
        <f aca="false">IF(OR(A473="",F473=""),"",DATEDIF(F473,Ayarlar!$B$3,"y"))</f>
        <v/>
      </c>
      <c r="J473" s="14" t="str">
        <f aca="false">IF(A473="","",IF(H473&lt;1,0,MAX(IF(H473&lt;5,14,IF(H473&lt;15,20,26)),IF(AND(I473&lt;&gt;"",OR(I473&lt;=18,I473&gt;=50)),20,0))))</f>
        <v/>
      </c>
      <c r="K473" s="17" t="str">
        <f aca="false">IF(A473="","",EDATE(E473,12*(H473+1)))</f>
        <v/>
      </c>
      <c r="L473" s="14" t="str">
        <f aca="false">IF(A473="","",K473-Ayarlar!$B$3)</f>
        <v/>
      </c>
      <c r="M473" s="18" t="str">
        <f aca="false">IF(A473="","",Veri_Guncel!H473)</f>
        <v/>
      </c>
      <c r="N473" s="18" t="str">
        <f aca="false">IF(A473="","",IFERROR(INDEX(Veri_Onceki!$H:$H,MATCH(A473,Veri_Onceki!$A:$A,0)),""))</f>
        <v/>
      </c>
      <c r="O473" s="14" t="str">
        <f aca="false">IF(A473="","",IF(AND(H473&gt;=1,EDATE(E473,12*H473)&gt;Ayarlar!$B$4,EDATE(E473,12*H473)&lt;=Ayarlar!$B$3),J473,0))</f>
        <v/>
      </c>
      <c r="P473" s="14" t="str">
        <f aca="false">IF(OR(A473="",N473=""),"",N473+O473-M473)</f>
        <v/>
      </c>
      <c r="Q473" s="16" t="str">
        <f aca="false">IF(A473="","",IF(M473&gt;=Ayarlar!$B$7,"ALARM",IF(M473&gt;=Ayarlar!$B$6,"Planla","")))</f>
        <v/>
      </c>
      <c r="R473" s="14" t="str">
        <f aca="false">IF(A473="","",IF(AND(L473&gt;=0,L473&lt;=Ayarlar!$B$9),"Evet",""))</f>
        <v/>
      </c>
      <c r="S473" s="16" t="str">
        <f aca="false">IF(A473="","",IF(N473="","Yeni personel",IF(P473&lt;0,"Kontrol et","")))</f>
        <v/>
      </c>
      <c r="T473" s="14" t="str">
        <f aca="false">IF(A473="","",IF(AND(G473=1,M473&gt;=Ayarlar!$B$6,OR(Ayarlar!$B$11="Tümü",C473=Ayarlar!$B$11)),M473+ROW()/100000,""))</f>
        <v/>
      </c>
    </row>
    <row r="474" customFormat="false" ht="15" hidden="false" customHeight="false" outlineLevel="0" collapsed="false">
      <c r="A474" s="18" t="str">
        <f aca="false">IF(Veri_Guncel!A474="","",Veri_Guncel!A474)</f>
        <v/>
      </c>
      <c r="B474" s="18" t="str">
        <f aca="false">IF($A474="","",Veri_Guncel!B474)</f>
        <v/>
      </c>
      <c r="C474" s="18" t="str">
        <f aca="false">IF($A474="","",Veri_Guncel!C474)</f>
        <v/>
      </c>
      <c r="D474" s="18" t="str">
        <f aca="false">IF($A474="","",Veri_Guncel!D474)</f>
        <v/>
      </c>
      <c r="E474" s="19" t="str">
        <f aca="false">IF($A474="","",Veri_Guncel!E474)</f>
        <v/>
      </c>
      <c r="F474" s="19" t="str">
        <f aca="false">IF($A474="","",Veri_Guncel!F474)</f>
        <v/>
      </c>
      <c r="G474" s="14" t="str">
        <f aca="false">IF(A474="","",IF(COUNTIF(Ayarlar!$A$15:$A$20,C474)&gt;0,1,0))</f>
        <v/>
      </c>
      <c r="H474" s="14" t="str">
        <f aca="false">IF(A474="","",DATEDIF(E474,Ayarlar!$B$3,"y"))</f>
        <v/>
      </c>
      <c r="I474" s="14" t="str">
        <f aca="false">IF(OR(A474="",F474=""),"",DATEDIF(F474,Ayarlar!$B$3,"y"))</f>
        <v/>
      </c>
      <c r="J474" s="14" t="str">
        <f aca="false">IF(A474="","",IF(H474&lt;1,0,MAX(IF(H474&lt;5,14,IF(H474&lt;15,20,26)),IF(AND(I474&lt;&gt;"",OR(I474&lt;=18,I474&gt;=50)),20,0))))</f>
        <v/>
      </c>
      <c r="K474" s="17" t="str">
        <f aca="false">IF(A474="","",EDATE(E474,12*(H474+1)))</f>
        <v/>
      </c>
      <c r="L474" s="14" t="str">
        <f aca="false">IF(A474="","",K474-Ayarlar!$B$3)</f>
        <v/>
      </c>
      <c r="M474" s="18" t="str">
        <f aca="false">IF(A474="","",Veri_Guncel!H474)</f>
        <v/>
      </c>
      <c r="N474" s="18" t="str">
        <f aca="false">IF(A474="","",IFERROR(INDEX(Veri_Onceki!$H:$H,MATCH(A474,Veri_Onceki!$A:$A,0)),""))</f>
        <v/>
      </c>
      <c r="O474" s="14" t="str">
        <f aca="false">IF(A474="","",IF(AND(H474&gt;=1,EDATE(E474,12*H474)&gt;Ayarlar!$B$4,EDATE(E474,12*H474)&lt;=Ayarlar!$B$3),J474,0))</f>
        <v/>
      </c>
      <c r="P474" s="14" t="str">
        <f aca="false">IF(OR(A474="",N474=""),"",N474+O474-M474)</f>
        <v/>
      </c>
      <c r="Q474" s="16" t="str">
        <f aca="false">IF(A474="","",IF(M474&gt;=Ayarlar!$B$7,"ALARM",IF(M474&gt;=Ayarlar!$B$6,"Planla","")))</f>
        <v/>
      </c>
      <c r="R474" s="14" t="str">
        <f aca="false">IF(A474="","",IF(AND(L474&gt;=0,L474&lt;=Ayarlar!$B$9),"Evet",""))</f>
        <v/>
      </c>
      <c r="S474" s="16" t="str">
        <f aca="false">IF(A474="","",IF(N474="","Yeni personel",IF(P474&lt;0,"Kontrol et","")))</f>
        <v/>
      </c>
      <c r="T474" s="14" t="str">
        <f aca="false">IF(A474="","",IF(AND(G474=1,M474&gt;=Ayarlar!$B$6,OR(Ayarlar!$B$11="Tümü",C474=Ayarlar!$B$11)),M474+ROW()/100000,""))</f>
        <v/>
      </c>
    </row>
    <row r="475" customFormat="false" ht="15" hidden="false" customHeight="false" outlineLevel="0" collapsed="false">
      <c r="A475" s="18" t="str">
        <f aca="false">IF(Veri_Guncel!A475="","",Veri_Guncel!A475)</f>
        <v/>
      </c>
      <c r="B475" s="18" t="str">
        <f aca="false">IF($A475="","",Veri_Guncel!B475)</f>
        <v/>
      </c>
      <c r="C475" s="18" t="str">
        <f aca="false">IF($A475="","",Veri_Guncel!C475)</f>
        <v/>
      </c>
      <c r="D475" s="18" t="str">
        <f aca="false">IF($A475="","",Veri_Guncel!D475)</f>
        <v/>
      </c>
      <c r="E475" s="19" t="str">
        <f aca="false">IF($A475="","",Veri_Guncel!E475)</f>
        <v/>
      </c>
      <c r="F475" s="19" t="str">
        <f aca="false">IF($A475="","",Veri_Guncel!F475)</f>
        <v/>
      </c>
      <c r="G475" s="14" t="str">
        <f aca="false">IF(A475="","",IF(COUNTIF(Ayarlar!$A$15:$A$20,C475)&gt;0,1,0))</f>
        <v/>
      </c>
      <c r="H475" s="14" t="str">
        <f aca="false">IF(A475="","",DATEDIF(E475,Ayarlar!$B$3,"y"))</f>
        <v/>
      </c>
      <c r="I475" s="14" t="str">
        <f aca="false">IF(OR(A475="",F475=""),"",DATEDIF(F475,Ayarlar!$B$3,"y"))</f>
        <v/>
      </c>
      <c r="J475" s="14" t="str">
        <f aca="false">IF(A475="","",IF(H475&lt;1,0,MAX(IF(H475&lt;5,14,IF(H475&lt;15,20,26)),IF(AND(I475&lt;&gt;"",OR(I475&lt;=18,I475&gt;=50)),20,0))))</f>
        <v/>
      </c>
      <c r="K475" s="17" t="str">
        <f aca="false">IF(A475="","",EDATE(E475,12*(H475+1)))</f>
        <v/>
      </c>
      <c r="L475" s="14" t="str">
        <f aca="false">IF(A475="","",K475-Ayarlar!$B$3)</f>
        <v/>
      </c>
      <c r="M475" s="18" t="str">
        <f aca="false">IF(A475="","",Veri_Guncel!H475)</f>
        <v/>
      </c>
      <c r="N475" s="18" t="str">
        <f aca="false">IF(A475="","",IFERROR(INDEX(Veri_Onceki!$H:$H,MATCH(A475,Veri_Onceki!$A:$A,0)),""))</f>
        <v/>
      </c>
      <c r="O475" s="14" t="str">
        <f aca="false">IF(A475="","",IF(AND(H475&gt;=1,EDATE(E475,12*H475)&gt;Ayarlar!$B$4,EDATE(E475,12*H475)&lt;=Ayarlar!$B$3),J475,0))</f>
        <v/>
      </c>
      <c r="P475" s="14" t="str">
        <f aca="false">IF(OR(A475="",N475=""),"",N475+O475-M475)</f>
        <v/>
      </c>
      <c r="Q475" s="16" t="str">
        <f aca="false">IF(A475="","",IF(M475&gt;=Ayarlar!$B$7,"ALARM",IF(M475&gt;=Ayarlar!$B$6,"Planla","")))</f>
        <v/>
      </c>
      <c r="R475" s="14" t="str">
        <f aca="false">IF(A475="","",IF(AND(L475&gt;=0,L475&lt;=Ayarlar!$B$9),"Evet",""))</f>
        <v/>
      </c>
      <c r="S475" s="16" t="str">
        <f aca="false">IF(A475="","",IF(N475="","Yeni personel",IF(P475&lt;0,"Kontrol et","")))</f>
        <v/>
      </c>
      <c r="T475" s="14" t="str">
        <f aca="false">IF(A475="","",IF(AND(G475=1,M475&gt;=Ayarlar!$B$6,OR(Ayarlar!$B$11="Tümü",C475=Ayarlar!$B$11)),M475+ROW()/100000,""))</f>
        <v/>
      </c>
    </row>
    <row r="476" customFormat="false" ht="15" hidden="false" customHeight="false" outlineLevel="0" collapsed="false">
      <c r="A476" s="18" t="str">
        <f aca="false">IF(Veri_Guncel!A476="","",Veri_Guncel!A476)</f>
        <v/>
      </c>
      <c r="B476" s="18" t="str">
        <f aca="false">IF($A476="","",Veri_Guncel!B476)</f>
        <v/>
      </c>
      <c r="C476" s="18" t="str">
        <f aca="false">IF($A476="","",Veri_Guncel!C476)</f>
        <v/>
      </c>
      <c r="D476" s="18" t="str">
        <f aca="false">IF($A476="","",Veri_Guncel!D476)</f>
        <v/>
      </c>
      <c r="E476" s="19" t="str">
        <f aca="false">IF($A476="","",Veri_Guncel!E476)</f>
        <v/>
      </c>
      <c r="F476" s="19" t="str">
        <f aca="false">IF($A476="","",Veri_Guncel!F476)</f>
        <v/>
      </c>
      <c r="G476" s="14" t="str">
        <f aca="false">IF(A476="","",IF(COUNTIF(Ayarlar!$A$15:$A$20,C476)&gt;0,1,0))</f>
        <v/>
      </c>
      <c r="H476" s="14" t="str">
        <f aca="false">IF(A476="","",DATEDIF(E476,Ayarlar!$B$3,"y"))</f>
        <v/>
      </c>
      <c r="I476" s="14" t="str">
        <f aca="false">IF(OR(A476="",F476=""),"",DATEDIF(F476,Ayarlar!$B$3,"y"))</f>
        <v/>
      </c>
      <c r="J476" s="14" t="str">
        <f aca="false">IF(A476="","",IF(H476&lt;1,0,MAX(IF(H476&lt;5,14,IF(H476&lt;15,20,26)),IF(AND(I476&lt;&gt;"",OR(I476&lt;=18,I476&gt;=50)),20,0))))</f>
        <v/>
      </c>
      <c r="K476" s="17" t="str">
        <f aca="false">IF(A476="","",EDATE(E476,12*(H476+1)))</f>
        <v/>
      </c>
      <c r="L476" s="14" t="str">
        <f aca="false">IF(A476="","",K476-Ayarlar!$B$3)</f>
        <v/>
      </c>
      <c r="M476" s="18" t="str">
        <f aca="false">IF(A476="","",Veri_Guncel!H476)</f>
        <v/>
      </c>
      <c r="N476" s="18" t="str">
        <f aca="false">IF(A476="","",IFERROR(INDEX(Veri_Onceki!$H:$H,MATCH(A476,Veri_Onceki!$A:$A,0)),""))</f>
        <v/>
      </c>
      <c r="O476" s="14" t="str">
        <f aca="false">IF(A476="","",IF(AND(H476&gt;=1,EDATE(E476,12*H476)&gt;Ayarlar!$B$4,EDATE(E476,12*H476)&lt;=Ayarlar!$B$3),J476,0))</f>
        <v/>
      </c>
      <c r="P476" s="14" t="str">
        <f aca="false">IF(OR(A476="",N476=""),"",N476+O476-M476)</f>
        <v/>
      </c>
      <c r="Q476" s="16" t="str">
        <f aca="false">IF(A476="","",IF(M476&gt;=Ayarlar!$B$7,"ALARM",IF(M476&gt;=Ayarlar!$B$6,"Planla","")))</f>
        <v/>
      </c>
      <c r="R476" s="14" t="str">
        <f aca="false">IF(A476="","",IF(AND(L476&gt;=0,L476&lt;=Ayarlar!$B$9),"Evet",""))</f>
        <v/>
      </c>
      <c r="S476" s="16" t="str">
        <f aca="false">IF(A476="","",IF(N476="","Yeni personel",IF(P476&lt;0,"Kontrol et","")))</f>
        <v/>
      </c>
      <c r="T476" s="14" t="str">
        <f aca="false">IF(A476="","",IF(AND(G476=1,M476&gt;=Ayarlar!$B$6,OR(Ayarlar!$B$11="Tümü",C476=Ayarlar!$B$11)),M476+ROW()/100000,""))</f>
        <v/>
      </c>
    </row>
    <row r="477" customFormat="false" ht="15" hidden="false" customHeight="false" outlineLevel="0" collapsed="false">
      <c r="A477" s="18" t="str">
        <f aca="false">IF(Veri_Guncel!A477="","",Veri_Guncel!A477)</f>
        <v/>
      </c>
      <c r="B477" s="18" t="str">
        <f aca="false">IF($A477="","",Veri_Guncel!B477)</f>
        <v/>
      </c>
      <c r="C477" s="18" t="str">
        <f aca="false">IF($A477="","",Veri_Guncel!C477)</f>
        <v/>
      </c>
      <c r="D477" s="18" t="str">
        <f aca="false">IF($A477="","",Veri_Guncel!D477)</f>
        <v/>
      </c>
      <c r="E477" s="19" t="str">
        <f aca="false">IF($A477="","",Veri_Guncel!E477)</f>
        <v/>
      </c>
      <c r="F477" s="19" t="str">
        <f aca="false">IF($A477="","",Veri_Guncel!F477)</f>
        <v/>
      </c>
      <c r="G477" s="14" t="str">
        <f aca="false">IF(A477="","",IF(COUNTIF(Ayarlar!$A$15:$A$20,C477)&gt;0,1,0))</f>
        <v/>
      </c>
      <c r="H477" s="14" t="str">
        <f aca="false">IF(A477="","",DATEDIF(E477,Ayarlar!$B$3,"y"))</f>
        <v/>
      </c>
      <c r="I477" s="14" t="str">
        <f aca="false">IF(OR(A477="",F477=""),"",DATEDIF(F477,Ayarlar!$B$3,"y"))</f>
        <v/>
      </c>
      <c r="J477" s="14" t="str">
        <f aca="false">IF(A477="","",IF(H477&lt;1,0,MAX(IF(H477&lt;5,14,IF(H477&lt;15,20,26)),IF(AND(I477&lt;&gt;"",OR(I477&lt;=18,I477&gt;=50)),20,0))))</f>
        <v/>
      </c>
      <c r="K477" s="17" t="str">
        <f aca="false">IF(A477="","",EDATE(E477,12*(H477+1)))</f>
        <v/>
      </c>
      <c r="L477" s="14" t="str">
        <f aca="false">IF(A477="","",K477-Ayarlar!$B$3)</f>
        <v/>
      </c>
      <c r="M477" s="18" t="str">
        <f aca="false">IF(A477="","",Veri_Guncel!H477)</f>
        <v/>
      </c>
      <c r="N477" s="18" t="str">
        <f aca="false">IF(A477="","",IFERROR(INDEX(Veri_Onceki!$H:$H,MATCH(A477,Veri_Onceki!$A:$A,0)),""))</f>
        <v/>
      </c>
      <c r="O477" s="14" t="str">
        <f aca="false">IF(A477="","",IF(AND(H477&gt;=1,EDATE(E477,12*H477)&gt;Ayarlar!$B$4,EDATE(E477,12*H477)&lt;=Ayarlar!$B$3),J477,0))</f>
        <v/>
      </c>
      <c r="P477" s="14" t="str">
        <f aca="false">IF(OR(A477="",N477=""),"",N477+O477-M477)</f>
        <v/>
      </c>
      <c r="Q477" s="16" t="str">
        <f aca="false">IF(A477="","",IF(M477&gt;=Ayarlar!$B$7,"ALARM",IF(M477&gt;=Ayarlar!$B$6,"Planla","")))</f>
        <v/>
      </c>
      <c r="R477" s="14" t="str">
        <f aca="false">IF(A477="","",IF(AND(L477&gt;=0,L477&lt;=Ayarlar!$B$9),"Evet",""))</f>
        <v/>
      </c>
      <c r="S477" s="16" t="str">
        <f aca="false">IF(A477="","",IF(N477="","Yeni personel",IF(P477&lt;0,"Kontrol et","")))</f>
        <v/>
      </c>
      <c r="T477" s="14" t="str">
        <f aca="false">IF(A477="","",IF(AND(G477=1,M477&gt;=Ayarlar!$B$6,OR(Ayarlar!$B$11="Tümü",C477=Ayarlar!$B$11)),M477+ROW()/100000,""))</f>
        <v/>
      </c>
    </row>
    <row r="478" customFormat="false" ht="15" hidden="false" customHeight="false" outlineLevel="0" collapsed="false">
      <c r="A478" s="18" t="str">
        <f aca="false">IF(Veri_Guncel!A478="","",Veri_Guncel!A478)</f>
        <v/>
      </c>
      <c r="B478" s="18" t="str">
        <f aca="false">IF($A478="","",Veri_Guncel!B478)</f>
        <v/>
      </c>
      <c r="C478" s="18" t="str">
        <f aca="false">IF($A478="","",Veri_Guncel!C478)</f>
        <v/>
      </c>
      <c r="D478" s="18" t="str">
        <f aca="false">IF($A478="","",Veri_Guncel!D478)</f>
        <v/>
      </c>
      <c r="E478" s="19" t="str">
        <f aca="false">IF($A478="","",Veri_Guncel!E478)</f>
        <v/>
      </c>
      <c r="F478" s="19" t="str">
        <f aca="false">IF($A478="","",Veri_Guncel!F478)</f>
        <v/>
      </c>
      <c r="G478" s="14" t="str">
        <f aca="false">IF(A478="","",IF(COUNTIF(Ayarlar!$A$15:$A$20,C478)&gt;0,1,0))</f>
        <v/>
      </c>
      <c r="H478" s="14" t="str">
        <f aca="false">IF(A478="","",DATEDIF(E478,Ayarlar!$B$3,"y"))</f>
        <v/>
      </c>
      <c r="I478" s="14" t="str">
        <f aca="false">IF(OR(A478="",F478=""),"",DATEDIF(F478,Ayarlar!$B$3,"y"))</f>
        <v/>
      </c>
      <c r="J478" s="14" t="str">
        <f aca="false">IF(A478="","",IF(H478&lt;1,0,MAX(IF(H478&lt;5,14,IF(H478&lt;15,20,26)),IF(AND(I478&lt;&gt;"",OR(I478&lt;=18,I478&gt;=50)),20,0))))</f>
        <v/>
      </c>
      <c r="K478" s="17" t="str">
        <f aca="false">IF(A478="","",EDATE(E478,12*(H478+1)))</f>
        <v/>
      </c>
      <c r="L478" s="14" t="str">
        <f aca="false">IF(A478="","",K478-Ayarlar!$B$3)</f>
        <v/>
      </c>
      <c r="M478" s="18" t="str">
        <f aca="false">IF(A478="","",Veri_Guncel!H478)</f>
        <v/>
      </c>
      <c r="N478" s="18" t="str">
        <f aca="false">IF(A478="","",IFERROR(INDEX(Veri_Onceki!$H:$H,MATCH(A478,Veri_Onceki!$A:$A,0)),""))</f>
        <v/>
      </c>
      <c r="O478" s="14" t="str">
        <f aca="false">IF(A478="","",IF(AND(H478&gt;=1,EDATE(E478,12*H478)&gt;Ayarlar!$B$4,EDATE(E478,12*H478)&lt;=Ayarlar!$B$3),J478,0))</f>
        <v/>
      </c>
      <c r="P478" s="14" t="str">
        <f aca="false">IF(OR(A478="",N478=""),"",N478+O478-M478)</f>
        <v/>
      </c>
      <c r="Q478" s="16" t="str">
        <f aca="false">IF(A478="","",IF(M478&gt;=Ayarlar!$B$7,"ALARM",IF(M478&gt;=Ayarlar!$B$6,"Planla","")))</f>
        <v/>
      </c>
      <c r="R478" s="14" t="str">
        <f aca="false">IF(A478="","",IF(AND(L478&gt;=0,L478&lt;=Ayarlar!$B$9),"Evet",""))</f>
        <v/>
      </c>
      <c r="S478" s="16" t="str">
        <f aca="false">IF(A478="","",IF(N478="","Yeni personel",IF(P478&lt;0,"Kontrol et","")))</f>
        <v/>
      </c>
      <c r="T478" s="14" t="str">
        <f aca="false">IF(A478="","",IF(AND(G478=1,M478&gt;=Ayarlar!$B$6,OR(Ayarlar!$B$11="Tümü",C478=Ayarlar!$B$11)),M478+ROW()/100000,""))</f>
        <v/>
      </c>
    </row>
    <row r="479" customFormat="false" ht="15" hidden="false" customHeight="false" outlineLevel="0" collapsed="false">
      <c r="A479" s="18" t="str">
        <f aca="false">IF(Veri_Guncel!A479="","",Veri_Guncel!A479)</f>
        <v/>
      </c>
      <c r="B479" s="18" t="str">
        <f aca="false">IF($A479="","",Veri_Guncel!B479)</f>
        <v/>
      </c>
      <c r="C479" s="18" t="str">
        <f aca="false">IF($A479="","",Veri_Guncel!C479)</f>
        <v/>
      </c>
      <c r="D479" s="18" t="str">
        <f aca="false">IF($A479="","",Veri_Guncel!D479)</f>
        <v/>
      </c>
      <c r="E479" s="19" t="str">
        <f aca="false">IF($A479="","",Veri_Guncel!E479)</f>
        <v/>
      </c>
      <c r="F479" s="19" t="str">
        <f aca="false">IF($A479="","",Veri_Guncel!F479)</f>
        <v/>
      </c>
      <c r="G479" s="14" t="str">
        <f aca="false">IF(A479="","",IF(COUNTIF(Ayarlar!$A$15:$A$20,C479)&gt;0,1,0))</f>
        <v/>
      </c>
      <c r="H479" s="14" t="str">
        <f aca="false">IF(A479="","",DATEDIF(E479,Ayarlar!$B$3,"y"))</f>
        <v/>
      </c>
      <c r="I479" s="14" t="str">
        <f aca="false">IF(OR(A479="",F479=""),"",DATEDIF(F479,Ayarlar!$B$3,"y"))</f>
        <v/>
      </c>
      <c r="J479" s="14" t="str">
        <f aca="false">IF(A479="","",IF(H479&lt;1,0,MAX(IF(H479&lt;5,14,IF(H479&lt;15,20,26)),IF(AND(I479&lt;&gt;"",OR(I479&lt;=18,I479&gt;=50)),20,0))))</f>
        <v/>
      </c>
      <c r="K479" s="17" t="str">
        <f aca="false">IF(A479="","",EDATE(E479,12*(H479+1)))</f>
        <v/>
      </c>
      <c r="L479" s="14" t="str">
        <f aca="false">IF(A479="","",K479-Ayarlar!$B$3)</f>
        <v/>
      </c>
      <c r="M479" s="18" t="str">
        <f aca="false">IF(A479="","",Veri_Guncel!H479)</f>
        <v/>
      </c>
      <c r="N479" s="18" t="str">
        <f aca="false">IF(A479="","",IFERROR(INDEX(Veri_Onceki!$H:$H,MATCH(A479,Veri_Onceki!$A:$A,0)),""))</f>
        <v/>
      </c>
      <c r="O479" s="14" t="str">
        <f aca="false">IF(A479="","",IF(AND(H479&gt;=1,EDATE(E479,12*H479)&gt;Ayarlar!$B$4,EDATE(E479,12*H479)&lt;=Ayarlar!$B$3),J479,0))</f>
        <v/>
      </c>
      <c r="P479" s="14" t="str">
        <f aca="false">IF(OR(A479="",N479=""),"",N479+O479-M479)</f>
        <v/>
      </c>
      <c r="Q479" s="16" t="str">
        <f aca="false">IF(A479="","",IF(M479&gt;=Ayarlar!$B$7,"ALARM",IF(M479&gt;=Ayarlar!$B$6,"Planla","")))</f>
        <v/>
      </c>
      <c r="R479" s="14" t="str">
        <f aca="false">IF(A479="","",IF(AND(L479&gt;=0,L479&lt;=Ayarlar!$B$9),"Evet",""))</f>
        <v/>
      </c>
      <c r="S479" s="16" t="str">
        <f aca="false">IF(A479="","",IF(N479="","Yeni personel",IF(P479&lt;0,"Kontrol et","")))</f>
        <v/>
      </c>
      <c r="T479" s="14" t="str">
        <f aca="false">IF(A479="","",IF(AND(G479=1,M479&gt;=Ayarlar!$B$6,OR(Ayarlar!$B$11="Tümü",C479=Ayarlar!$B$11)),M479+ROW()/100000,""))</f>
        <v/>
      </c>
    </row>
    <row r="480" customFormat="false" ht="15" hidden="false" customHeight="false" outlineLevel="0" collapsed="false">
      <c r="A480" s="18" t="str">
        <f aca="false">IF(Veri_Guncel!A480="","",Veri_Guncel!A480)</f>
        <v/>
      </c>
      <c r="B480" s="18" t="str">
        <f aca="false">IF($A480="","",Veri_Guncel!B480)</f>
        <v/>
      </c>
      <c r="C480" s="18" t="str">
        <f aca="false">IF($A480="","",Veri_Guncel!C480)</f>
        <v/>
      </c>
      <c r="D480" s="18" t="str">
        <f aca="false">IF($A480="","",Veri_Guncel!D480)</f>
        <v/>
      </c>
      <c r="E480" s="19" t="str">
        <f aca="false">IF($A480="","",Veri_Guncel!E480)</f>
        <v/>
      </c>
      <c r="F480" s="19" t="str">
        <f aca="false">IF($A480="","",Veri_Guncel!F480)</f>
        <v/>
      </c>
      <c r="G480" s="14" t="str">
        <f aca="false">IF(A480="","",IF(COUNTIF(Ayarlar!$A$15:$A$20,C480)&gt;0,1,0))</f>
        <v/>
      </c>
      <c r="H480" s="14" t="str">
        <f aca="false">IF(A480="","",DATEDIF(E480,Ayarlar!$B$3,"y"))</f>
        <v/>
      </c>
      <c r="I480" s="14" t="str">
        <f aca="false">IF(OR(A480="",F480=""),"",DATEDIF(F480,Ayarlar!$B$3,"y"))</f>
        <v/>
      </c>
      <c r="J480" s="14" t="str">
        <f aca="false">IF(A480="","",IF(H480&lt;1,0,MAX(IF(H480&lt;5,14,IF(H480&lt;15,20,26)),IF(AND(I480&lt;&gt;"",OR(I480&lt;=18,I480&gt;=50)),20,0))))</f>
        <v/>
      </c>
      <c r="K480" s="17" t="str">
        <f aca="false">IF(A480="","",EDATE(E480,12*(H480+1)))</f>
        <v/>
      </c>
      <c r="L480" s="14" t="str">
        <f aca="false">IF(A480="","",K480-Ayarlar!$B$3)</f>
        <v/>
      </c>
      <c r="M480" s="18" t="str">
        <f aca="false">IF(A480="","",Veri_Guncel!H480)</f>
        <v/>
      </c>
      <c r="N480" s="18" t="str">
        <f aca="false">IF(A480="","",IFERROR(INDEX(Veri_Onceki!$H:$H,MATCH(A480,Veri_Onceki!$A:$A,0)),""))</f>
        <v/>
      </c>
      <c r="O480" s="14" t="str">
        <f aca="false">IF(A480="","",IF(AND(H480&gt;=1,EDATE(E480,12*H480)&gt;Ayarlar!$B$4,EDATE(E480,12*H480)&lt;=Ayarlar!$B$3),J480,0))</f>
        <v/>
      </c>
      <c r="P480" s="14" t="str">
        <f aca="false">IF(OR(A480="",N480=""),"",N480+O480-M480)</f>
        <v/>
      </c>
      <c r="Q480" s="16" t="str">
        <f aca="false">IF(A480="","",IF(M480&gt;=Ayarlar!$B$7,"ALARM",IF(M480&gt;=Ayarlar!$B$6,"Planla","")))</f>
        <v/>
      </c>
      <c r="R480" s="14" t="str">
        <f aca="false">IF(A480="","",IF(AND(L480&gt;=0,L480&lt;=Ayarlar!$B$9),"Evet",""))</f>
        <v/>
      </c>
      <c r="S480" s="16" t="str">
        <f aca="false">IF(A480="","",IF(N480="","Yeni personel",IF(P480&lt;0,"Kontrol et","")))</f>
        <v/>
      </c>
      <c r="T480" s="14" t="str">
        <f aca="false">IF(A480="","",IF(AND(G480=1,M480&gt;=Ayarlar!$B$6,OR(Ayarlar!$B$11="Tümü",C480=Ayarlar!$B$11)),M480+ROW()/100000,""))</f>
        <v/>
      </c>
    </row>
    <row r="481" customFormat="false" ht="15" hidden="false" customHeight="false" outlineLevel="0" collapsed="false">
      <c r="A481" s="18" t="str">
        <f aca="false">IF(Veri_Guncel!A481="","",Veri_Guncel!A481)</f>
        <v/>
      </c>
      <c r="B481" s="18" t="str">
        <f aca="false">IF($A481="","",Veri_Guncel!B481)</f>
        <v/>
      </c>
      <c r="C481" s="18" t="str">
        <f aca="false">IF($A481="","",Veri_Guncel!C481)</f>
        <v/>
      </c>
      <c r="D481" s="18" t="str">
        <f aca="false">IF($A481="","",Veri_Guncel!D481)</f>
        <v/>
      </c>
      <c r="E481" s="19" t="str">
        <f aca="false">IF($A481="","",Veri_Guncel!E481)</f>
        <v/>
      </c>
      <c r="F481" s="19" t="str">
        <f aca="false">IF($A481="","",Veri_Guncel!F481)</f>
        <v/>
      </c>
      <c r="G481" s="14" t="str">
        <f aca="false">IF(A481="","",IF(COUNTIF(Ayarlar!$A$15:$A$20,C481)&gt;0,1,0))</f>
        <v/>
      </c>
      <c r="H481" s="14" t="str">
        <f aca="false">IF(A481="","",DATEDIF(E481,Ayarlar!$B$3,"y"))</f>
        <v/>
      </c>
      <c r="I481" s="14" t="str">
        <f aca="false">IF(OR(A481="",F481=""),"",DATEDIF(F481,Ayarlar!$B$3,"y"))</f>
        <v/>
      </c>
      <c r="J481" s="14" t="str">
        <f aca="false">IF(A481="","",IF(H481&lt;1,0,MAX(IF(H481&lt;5,14,IF(H481&lt;15,20,26)),IF(AND(I481&lt;&gt;"",OR(I481&lt;=18,I481&gt;=50)),20,0))))</f>
        <v/>
      </c>
      <c r="K481" s="17" t="str">
        <f aca="false">IF(A481="","",EDATE(E481,12*(H481+1)))</f>
        <v/>
      </c>
      <c r="L481" s="14" t="str">
        <f aca="false">IF(A481="","",K481-Ayarlar!$B$3)</f>
        <v/>
      </c>
      <c r="M481" s="18" t="str">
        <f aca="false">IF(A481="","",Veri_Guncel!H481)</f>
        <v/>
      </c>
      <c r="N481" s="18" t="str">
        <f aca="false">IF(A481="","",IFERROR(INDEX(Veri_Onceki!$H:$H,MATCH(A481,Veri_Onceki!$A:$A,0)),""))</f>
        <v/>
      </c>
      <c r="O481" s="14" t="str">
        <f aca="false">IF(A481="","",IF(AND(H481&gt;=1,EDATE(E481,12*H481)&gt;Ayarlar!$B$4,EDATE(E481,12*H481)&lt;=Ayarlar!$B$3),J481,0))</f>
        <v/>
      </c>
      <c r="P481" s="14" t="str">
        <f aca="false">IF(OR(A481="",N481=""),"",N481+O481-M481)</f>
        <v/>
      </c>
      <c r="Q481" s="16" t="str">
        <f aca="false">IF(A481="","",IF(M481&gt;=Ayarlar!$B$7,"ALARM",IF(M481&gt;=Ayarlar!$B$6,"Planla","")))</f>
        <v/>
      </c>
      <c r="R481" s="14" t="str">
        <f aca="false">IF(A481="","",IF(AND(L481&gt;=0,L481&lt;=Ayarlar!$B$9),"Evet",""))</f>
        <v/>
      </c>
      <c r="S481" s="16" t="str">
        <f aca="false">IF(A481="","",IF(N481="","Yeni personel",IF(P481&lt;0,"Kontrol et","")))</f>
        <v/>
      </c>
      <c r="T481" s="14" t="str">
        <f aca="false">IF(A481="","",IF(AND(G481=1,M481&gt;=Ayarlar!$B$6,OR(Ayarlar!$B$11="Tümü",C481=Ayarlar!$B$11)),M481+ROW()/100000,""))</f>
        <v/>
      </c>
    </row>
    <row r="482" customFormat="false" ht="15" hidden="false" customHeight="false" outlineLevel="0" collapsed="false">
      <c r="A482" s="18" t="str">
        <f aca="false">IF(Veri_Guncel!A482="","",Veri_Guncel!A482)</f>
        <v/>
      </c>
      <c r="B482" s="18" t="str">
        <f aca="false">IF($A482="","",Veri_Guncel!B482)</f>
        <v/>
      </c>
      <c r="C482" s="18" t="str">
        <f aca="false">IF($A482="","",Veri_Guncel!C482)</f>
        <v/>
      </c>
      <c r="D482" s="18" t="str">
        <f aca="false">IF($A482="","",Veri_Guncel!D482)</f>
        <v/>
      </c>
      <c r="E482" s="19" t="str">
        <f aca="false">IF($A482="","",Veri_Guncel!E482)</f>
        <v/>
      </c>
      <c r="F482" s="19" t="str">
        <f aca="false">IF($A482="","",Veri_Guncel!F482)</f>
        <v/>
      </c>
      <c r="G482" s="14" t="str">
        <f aca="false">IF(A482="","",IF(COUNTIF(Ayarlar!$A$15:$A$20,C482)&gt;0,1,0))</f>
        <v/>
      </c>
      <c r="H482" s="14" t="str">
        <f aca="false">IF(A482="","",DATEDIF(E482,Ayarlar!$B$3,"y"))</f>
        <v/>
      </c>
      <c r="I482" s="14" t="str">
        <f aca="false">IF(OR(A482="",F482=""),"",DATEDIF(F482,Ayarlar!$B$3,"y"))</f>
        <v/>
      </c>
      <c r="J482" s="14" t="str">
        <f aca="false">IF(A482="","",IF(H482&lt;1,0,MAX(IF(H482&lt;5,14,IF(H482&lt;15,20,26)),IF(AND(I482&lt;&gt;"",OR(I482&lt;=18,I482&gt;=50)),20,0))))</f>
        <v/>
      </c>
      <c r="K482" s="17" t="str">
        <f aca="false">IF(A482="","",EDATE(E482,12*(H482+1)))</f>
        <v/>
      </c>
      <c r="L482" s="14" t="str">
        <f aca="false">IF(A482="","",K482-Ayarlar!$B$3)</f>
        <v/>
      </c>
      <c r="M482" s="18" t="str">
        <f aca="false">IF(A482="","",Veri_Guncel!H482)</f>
        <v/>
      </c>
      <c r="N482" s="18" t="str">
        <f aca="false">IF(A482="","",IFERROR(INDEX(Veri_Onceki!$H:$H,MATCH(A482,Veri_Onceki!$A:$A,0)),""))</f>
        <v/>
      </c>
      <c r="O482" s="14" t="str">
        <f aca="false">IF(A482="","",IF(AND(H482&gt;=1,EDATE(E482,12*H482)&gt;Ayarlar!$B$4,EDATE(E482,12*H482)&lt;=Ayarlar!$B$3),J482,0))</f>
        <v/>
      </c>
      <c r="P482" s="14" t="str">
        <f aca="false">IF(OR(A482="",N482=""),"",N482+O482-M482)</f>
        <v/>
      </c>
      <c r="Q482" s="16" t="str">
        <f aca="false">IF(A482="","",IF(M482&gt;=Ayarlar!$B$7,"ALARM",IF(M482&gt;=Ayarlar!$B$6,"Planla","")))</f>
        <v/>
      </c>
      <c r="R482" s="14" t="str">
        <f aca="false">IF(A482="","",IF(AND(L482&gt;=0,L482&lt;=Ayarlar!$B$9),"Evet",""))</f>
        <v/>
      </c>
      <c r="S482" s="16" t="str">
        <f aca="false">IF(A482="","",IF(N482="","Yeni personel",IF(P482&lt;0,"Kontrol et","")))</f>
        <v/>
      </c>
      <c r="T482" s="14" t="str">
        <f aca="false">IF(A482="","",IF(AND(G482=1,M482&gt;=Ayarlar!$B$6,OR(Ayarlar!$B$11="Tümü",C482=Ayarlar!$B$11)),M482+ROW()/100000,""))</f>
        <v/>
      </c>
    </row>
    <row r="483" customFormat="false" ht="15" hidden="false" customHeight="false" outlineLevel="0" collapsed="false">
      <c r="A483" s="18" t="str">
        <f aca="false">IF(Veri_Guncel!A483="","",Veri_Guncel!A483)</f>
        <v/>
      </c>
      <c r="B483" s="18" t="str">
        <f aca="false">IF($A483="","",Veri_Guncel!B483)</f>
        <v/>
      </c>
      <c r="C483" s="18" t="str">
        <f aca="false">IF($A483="","",Veri_Guncel!C483)</f>
        <v/>
      </c>
      <c r="D483" s="18" t="str">
        <f aca="false">IF($A483="","",Veri_Guncel!D483)</f>
        <v/>
      </c>
      <c r="E483" s="19" t="str">
        <f aca="false">IF($A483="","",Veri_Guncel!E483)</f>
        <v/>
      </c>
      <c r="F483" s="19" t="str">
        <f aca="false">IF($A483="","",Veri_Guncel!F483)</f>
        <v/>
      </c>
      <c r="G483" s="14" t="str">
        <f aca="false">IF(A483="","",IF(COUNTIF(Ayarlar!$A$15:$A$20,C483)&gt;0,1,0))</f>
        <v/>
      </c>
      <c r="H483" s="14" t="str">
        <f aca="false">IF(A483="","",DATEDIF(E483,Ayarlar!$B$3,"y"))</f>
        <v/>
      </c>
      <c r="I483" s="14" t="str">
        <f aca="false">IF(OR(A483="",F483=""),"",DATEDIF(F483,Ayarlar!$B$3,"y"))</f>
        <v/>
      </c>
      <c r="J483" s="14" t="str">
        <f aca="false">IF(A483="","",IF(H483&lt;1,0,MAX(IF(H483&lt;5,14,IF(H483&lt;15,20,26)),IF(AND(I483&lt;&gt;"",OR(I483&lt;=18,I483&gt;=50)),20,0))))</f>
        <v/>
      </c>
      <c r="K483" s="17" t="str">
        <f aca="false">IF(A483="","",EDATE(E483,12*(H483+1)))</f>
        <v/>
      </c>
      <c r="L483" s="14" t="str">
        <f aca="false">IF(A483="","",K483-Ayarlar!$B$3)</f>
        <v/>
      </c>
      <c r="M483" s="18" t="str">
        <f aca="false">IF(A483="","",Veri_Guncel!H483)</f>
        <v/>
      </c>
      <c r="N483" s="18" t="str">
        <f aca="false">IF(A483="","",IFERROR(INDEX(Veri_Onceki!$H:$H,MATCH(A483,Veri_Onceki!$A:$A,0)),""))</f>
        <v/>
      </c>
      <c r="O483" s="14" t="str">
        <f aca="false">IF(A483="","",IF(AND(H483&gt;=1,EDATE(E483,12*H483)&gt;Ayarlar!$B$4,EDATE(E483,12*H483)&lt;=Ayarlar!$B$3),J483,0))</f>
        <v/>
      </c>
      <c r="P483" s="14" t="str">
        <f aca="false">IF(OR(A483="",N483=""),"",N483+O483-M483)</f>
        <v/>
      </c>
      <c r="Q483" s="16" t="str">
        <f aca="false">IF(A483="","",IF(M483&gt;=Ayarlar!$B$7,"ALARM",IF(M483&gt;=Ayarlar!$B$6,"Planla","")))</f>
        <v/>
      </c>
      <c r="R483" s="14" t="str">
        <f aca="false">IF(A483="","",IF(AND(L483&gt;=0,L483&lt;=Ayarlar!$B$9),"Evet",""))</f>
        <v/>
      </c>
      <c r="S483" s="16" t="str">
        <f aca="false">IF(A483="","",IF(N483="","Yeni personel",IF(P483&lt;0,"Kontrol et","")))</f>
        <v/>
      </c>
      <c r="T483" s="14" t="str">
        <f aca="false">IF(A483="","",IF(AND(G483=1,M483&gt;=Ayarlar!$B$6,OR(Ayarlar!$B$11="Tümü",C483=Ayarlar!$B$11)),M483+ROW()/100000,""))</f>
        <v/>
      </c>
    </row>
    <row r="484" customFormat="false" ht="15" hidden="false" customHeight="false" outlineLevel="0" collapsed="false">
      <c r="A484" s="18" t="str">
        <f aca="false">IF(Veri_Guncel!A484="","",Veri_Guncel!A484)</f>
        <v/>
      </c>
      <c r="B484" s="18" t="str">
        <f aca="false">IF($A484="","",Veri_Guncel!B484)</f>
        <v/>
      </c>
      <c r="C484" s="18" t="str">
        <f aca="false">IF($A484="","",Veri_Guncel!C484)</f>
        <v/>
      </c>
      <c r="D484" s="18" t="str">
        <f aca="false">IF($A484="","",Veri_Guncel!D484)</f>
        <v/>
      </c>
      <c r="E484" s="19" t="str">
        <f aca="false">IF($A484="","",Veri_Guncel!E484)</f>
        <v/>
      </c>
      <c r="F484" s="19" t="str">
        <f aca="false">IF($A484="","",Veri_Guncel!F484)</f>
        <v/>
      </c>
      <c r="G484" s="14" t="str">
        <f aca="false">IF(A484="","",IF(COUNTIF(Ayarlar!$A$15:$A$20,C484)&gt;0,1,0))</f>
        <v/>
      </c>
      <c r="H484" s="14" t="str">
        <f aca="false">IF(A484="","",DATEDIF(E484,Ayarlar!$B$3,"y"))</f>
        <v/>
      </c>
      <c r="I484" s="14" t="str">
        <f aca="false">IF(OR(A484="",F484=""),"",DATEDIF(F484,Ayarlar!$B$3,"y"))</f>
        <v/>
      </c>
      <c r="J484" s="14" t="str">
        <f aca="false">IF(A484="","",IF(H484&lt;1,0,MAX(IF(H484&lt;5,14,IF(H484&lt;15,20,26)),IF(AND(I484&lt;&gt;"",OR(I484&lt;=18,I484&gt;=50)),20,0))))</f>
        <v/>
      </c>
      <c r="K484" s="17" t="str">
        <f aca="false">IF(A484="","",EDATE(E484,12*(H484+1)))</f>
        <v/>
      </c>
      <c r="L484" s="14" t="str">
        <f aca="false">IF(A484="","",K484-Ayarlar!$B$3)</f>
        <v/>
      </c>
      <c r="M484" s="18" t="str">
        <f aca="false">IF(A484="","",Veri_Guncel!H484)</f>
        <v/>
      </c>
      <c r="N484" s="18" t="str">
        <f aca="false">IF(A484="","",IFERROR(INDEX(Veri_Onceki!$H:$H,MATCH(A484,Veri_Onceki!$A:$A,0)),""))</f>
        <v/>
      </c>
      <c r="O484" s="14" t="str">
        <f aca="false">IF(A484="","",IF(AND(H484&gt;=1,EDATE(E484,12*H484)&gt;Ayarlar!$B$4,EDATE(E484,12*H484)&lt;=Ayarlar!$B$3),J484,0))</f>
        <v/>
      </c>
      <c r="P484" s="14" t="str">
        <f aca="false">IF(OR(A484="",N484=""),"",N484+O484-M484)</f>
        <v/>
      </c>
      <c r="Q484" s="16" t="str">
        <f aca="false">IF(A484="","",IF(M484&gt;=Ayarlar!$B$7,"ALARM",IF(M484&gt;=Ayarlar!$B$6,"Planla","")))</f>
        <v/>
      </c>
      <c r="R484" s="14" t="str">
        <f aca="false">IF(A484="","",IF(AND(L484&gt;=0,L484&lt;=Ayarlar!$B$9),"Evet",""))</f>
        <v/>
      </c>
      <c r="S484" s="16" t="str">
        <f aca="false">IF(A484="","",IF(N484="","Yeni personel",IF(P484&lt;0,"Kontrol et","")))</f>
        <v/>
      </c>
      <c r="T484" s="14" t="str">
        <f aca="false">IF(A484="","",IF(AND(G484=1,M484&gt;=Ayarlar!$B$6,OR(Ayarlar!$B$11="Tümü",C484=Ayarlar!$B$11)),M484+ROW()/100000,""))</f>
        <v/>
      </c>
    </row>
    <row r="485" customFormat="false" ht="15" hidden="false" customHeight="false" outlineLevel="0" collapsed="false">
      <c r="A485" s="18" t="str">
        <f aca="false">IF(Veri_Guncel!A485="","",Veri_Guncel!A485)</f>
        <v/>
      </c>
      <c r="B485" s="18" t="str">
        <f aca="false">IF($A485="","",Veri_Guncel!B485)</f>
        <v/>
      </c>
      <c r="C485" s="18" t="str">
        <f aca="false">IF($A485="","",Veri_Guncel!C485)</f>
        <v/>
      </c>
      <c r="D485" s="18" t="str">
        <f aca="false">IF($A485="","",Veri_Guncel!D485)</f>
        <v/>
      </c>
      <c r="E485" s="19" t="str">
        <f aca="false">IF($A485="","",Veri_Guncel!E485)</f>
        <v/>
      </c>
      <c r="F485" s="19" t="str">
        <f aca="false">IF($A485="","",Veri_Guncel!F485)</f>
        <v/>
      </c>
      <c r="G485" s="14" t="str">
        <f aca="false">IF(A485="","",IF(COUNTIF(Ayarlar!$A$15:$A$20,C485)&gt;0,1,0))</f>
        <v/>
      </c>
      <c r="H485" s="14" t="str">
        <f aca="false">IF(A485="","",DATEDIF(E485,Ayarlar!$B$3,"y"))</f>
        <v/>
      </c>
      <c r="I485" s="14" t="str">
        <f aca="false">IF(OR(A485="",F485=""),"",DATEDIF(F485,Ayarlar!$B$3,"y"))</f>
        <v/>
      </c>
      <c r="J485" s="14" t="str">
        <f aca="false">IF(A485="","",IF(H485&lt;1,0,MAX(IF(H485&lt;5,14,IF(H485&lt;15,20,26)),IF(AND(I485&lt;&gt;"",OR(I485&lt;=18,I485&gt;=50)),20,0))))</f>
        <v/>
      </c>
      <c r="K485" s="17" t="str">
        <f aca="false">IF(A485="","",EDATE(E485,12*(H485+1)))</f>
        <v/>
      </c>
      <c r="L485" s="14" t="str">
        <f aca="false">IF(A485="","",K485-Ayarlar!$B$3)</f>
        <v/>
      </c>
      <c r="M485" s="18" t="str">
        <f aca="false">IF(A485="","",Veri_Guncel!H485)</f>
        <v/>
      </c>
      <c r="N485" s="18" t="str">
        <f aca="false">IF(A485="","",IFERROR(INDEX(Veri_Onceki!$H:$H,MATCH(A485,Veri_Onceki!$A:$A,0)),""))</f>
        <v/>
      </c>
      <c r="O485" s="14" t="str">
        <f aca="false">IF(A485="","",IF(AND(H485&gt;=1,EDATE(E485,12*H485)&gt;Ayarlar!$B$4,EDATE(E485,12*H485)&lt;=Ayarlar!$B$3),J485,0))</f>
        <v/>
      </c>
      <c r="P485" s="14" t="str">
        <f aca="false">IF(OR(A485="",N485=""),"",N485+O485-M485)</f>
        <v/>
      </c>
      <c r="Q485" s="16" t="str">
        <f aca="false">IF(A485="","",IF(M485&gt;=Ayarlar!$B$7,"ALARM",IF(M485&gt;=Ayarlar!$B$6,"Planla","")))</f>
        <v/>
      </c>
      <c r="R485" s="14" t="str">
        <f aca="false">IF(A485="","",IF(AND(L485&gt;=0,L485&lt;=Ayarlar!$B$9),"Evet",""))</f>
        <v/>
      </c>
      <c r="S485" s="16" t="str">
        <f aca="false">IF(A485="","",IF(N485="","Yeni personel",IF(P485&lt;0,"Kontrol et","")))</f>
        <v/>
      </c>
      <c r="T485" s="14" t="str">
        <f aca="false">IF(A485="","",IF(AND(G485=1,M485&gt;=Ayarlar!$B$6,OR(Ayarlar!$B$11="Tümü",C485=Ayarlar!$B$11)),M485+ROW()/100000,""))</f>
        <v/>
      </c>
    </row>
    <row r="486" customFormat="false" ht="15" hidden="false" customHeight="false" outlineLevel="0" collapsed="false">
      <c r="A486" s="18" t="str">
        <f aca="false">IF(Veri_Guncel!A486="","",Veri_Guncel!A486)</f>
        <v/>
      </c>
      <c r="B486" s="18" t="str">
        <f aca="false">IF($A486="","",Veri_Guncel!B486)</f>
        <v/>
      </c>
      <c r="C486" s="18" t="str">
        <f aca="false">IF($A486="","",Veri_Guncel!C486)</f>
        <v/>
      </c>
      <c r="D486" s="18" t="str">
        <f aca="false">IF($A486="","",Veri_Guncel!D486)</f>
        <v/>
      </c>
      <c r="E486" s="19" t="str">
        <f aca="false">IF($A486="","",Veri_Guncel!E486)</f>
        <v/>
      </c>
      <c r="F486" s="19" t="str">
        <f aca="false">IF($A486="","",Veri_Guncel!F486)</f>
        <v/>
      </c>
      <c r="G486" s="14" t="str">
        <f aca="false">IF(A486="","",IF(COUNTIF(Ayarlar!$A$15:$A$20,C486)&gt;0,1,0))</f>
        <v/>
      </c>
      <c r="H486" s="14" t="str">
        <f aca="false">IF(A486="","",DATEDIF(E486,Ayarlar!$B$3,"y"))</f>
        <v/>
      </c>
      <c r="I486" s="14" t="str">
        <f aca="false">IF(OR(A486="",F486=""),"",DATEDIF(F486,Ayarlar!$B$3,"y"))</f>
        <v/>
      </c>
      <c r="J486" s="14" t="str">
        <f aca="false">IF(A486="","",IF(H486&lt;1,0,MAX(IF(H486&lt;5,14,IF(H486&lt;15,20,26)),IF(AND(I486&lt;&gt;"",OR(I486&lt;=18,I486&gt;=50)),20,0))))</f>
        <v/>
      </c>
      <c r="K486" s="17" t="str">
        <f aca="false">IF(A486="","",EDATE(E486,12*(H486+1)))</f>
        <v/>
      </c>
      <c r="L486" s="14" t="str">
        <f aca="false">IF(A486="","",K486-Ayarlar!$B$3)</f>
        <v/>
      </c>
      <c r="M486" s="18" t="str">
        <f aca="false">IF(A486="","",Veri_Guncel!H486)</f>
        <v/>
      </c>
      <c r="N486" s="18" t="str">
        <f aca="false">IF(A486="","",IFERROR(INDEX(Veri_Onceki!$H:$H,MATCH(A486,Veri_Onceki!$A:$A,0)),""))</f>
        <v/>
      </c>
      <c r="O486" s="14" t="str">
        <f aca="false">IF(A486="","",IF(AND(H486&gt;=1,EDATE(E486,12*H486)&gt;Ayarlar!$B$4,EDATE(E486,12*H486)&lt;=Ayarlar!$B$3),J486,0))</f>
        <v/>
      </c>
      <c r="P486" s="14" t="str">
        <f aca="false">IF(OR(A486="",N486=""),"",N486+O486-M486)</f>
        <v/>
      </c>
      <c r="Q486" s="16" t="str">
        <f aca="false">IF(A486="","",IF(M486&gt;=Ayarlar!$B$7,"ALARM",IF(M486&gt;=Ayarlar!$B$6,"Planla","")))</f>
        <v/>
      </c>
      <c r="R486" s="14" t="str">
        <f aca="false">IF(A486="","",IF(AND(L486&gt;=0,L486&lt;=Ayarlar!$B$9),"Evet",""))</f>
        <v/>
      </c>
      <c r="S486" s="16" t="str">
        <f aca="false">IF(A486="","",IF(N486="","Yeni personel",IF(P486&lt;0,"Kontrol et","")))</f>
        <v/>
      </c>
      <c r="T486" s="14" t="str">
        <f aca="false">IF(A486="","",IF(AND(G486=1,M486&gt;=Ayarlar!$B$6,OR(Ayarlar!$B$11="Tümü",C486=Ayarlar!$B$11)),M486+ROW()/100000,""))</f>
        <v/>
      </c>
    </row>
    <row r="487" customFormat="false" ht="15" hidden="false" customHeight="false" outlineLevel="0" collapsed="false">
      <c r="A487" s="18" t="str">
        <f aca="false">IF(Veri_Guncel!A487="","",Veri_Guncel!A487)</f>
        <v/>
      </c>
      <c r="B487" s="18" t="str">
        <f aca="false">IF($A487="","",Veri_Guncel!B487)</f>
        <v/>
      </c>
      <c r="C487" s="18" t="str">
        <f aca="false">IF($A487="","",Veri_Guncel!C487)</f>
        <v/>
      </c>
      <c r="D487" s="18" t="str">
        <f aca="false">IF($A487="","",Veri_Guncel!D487)</f>
        <v/>
      </c>
      <c r="E487" s="19" t="str">
        <f aca="false">IF($A487="","",Veri_Guncel!E487)</f>
        <v/>
      </c>
      <c r="F487" s="19" t="str">
        <f aca="false">IF($A487="","",Veri_Guncel!F487)</f>
        <v/>
      </c>
      <c r="G487" s="14" t="str">
        <f aca="false">IF(A487="","",IF(COUNTIF(Ayarlar!$A$15:$A$20,C487)&gt;0,1,0))</f>
        <v/>
      </c>
      <c r="H487" s="14" t="str">
        <f aca="false">IF(A487="","",DATEDIF(E487,Ayarlar!$B$3,"y"))</f>
        <v/>
      </c>
      <c r="I487" s="14" t="str">
        <f aca="false">IF(OR(A487="",F487=""),"",DATEDIF(F487,Ayarlar!$B$3,"y"))</f>
        <v/>
      </c>
      <c r="J487" s="14" t="str">
        <f aca="false">IF(A487="","",IF(H487&lt;1,0,MAX(IF(H487&lt;5,14,IF(H487&lt;15,20,26)),IF(AND(I487&lt;&gt;"",OR(I487&lt;=18,I487&gt;=50)),20,0))))</f>
        <v/>
      </c>
      <c r="K487" s="17" t="str">
        <f aca="false">IF(A487="","",EDATE(E487,12*(H487+1)))</f>
        <v/>
      </c>
      <c r="L487" s="14" t="str">
        <f aca="false">IF(A487="","",K487-Ayarlar!$B$3)</f>
        <v/>
      </c>
      <c r="M487" s="18" t="str">
        <f aca="false">IF(A487="","",Veri_Guncel!H487)</f>
        <v/>
      </c>
      <c r="N487" s="18" t="str">
        <f aca="false">IF(A487="","",IFERROR(INDEX(Veri_Onceki!$H:$H,MATCH(A487,Veri_Onceki!$A:$A,0)),""))</f>
        <v/>
      </c>
      <c r="O487" s="14" t="str">
        <f aca="false">IF(A487="","",IF(AND(H487&gt;=1,EDATE(E487,12*H487)&gt;Ayarlar!$B$4,EDATE(E487,12*H487)&lt;=Ayarlar!$B$3),J487,0))</f>
        <v/>
      </c>
      <c r="P487" s="14" t="str">
        <f aca="false">IF(OR(A487="",N487=""),"",N487+O487-M487)</f>
        <v/>
      </c>
      <c r="Q487" s="16" t="str">
        <f aca="false">IF(A487="","",IF(M487&gt;=Ayarlar!$B$7,"ALARM",IF(M487&gt;=Ayarlar!$B$6,"Planla","")))</f>
        <v/>
      </c>
      <c r="R487" s="14" t="str">
        <f aca="false">IF(A487="","",IF(AND(L487&gt;=0,L487&lt;=Ayarlar!$B$9),"Evet",""))</f>
        <v/>
      </c>
      <c r="S487" s="16" t="str">
        <f aca="false">IF(A487="","",IF(N487="","Yeni personel",IF(P487&lt;0,"Kontrol et","")))</f>
        <v/>
      </c>
      <c r="T487" s="14" t="str">
        <f aca="false">IF(A487="","",IF(AND(G487=1,M487&gt;=Ayarlar!$B$6,OR(Ayarlar!$B$11="Tümü",C487=Ayarlar!$B$11)),M487+ROW()/100000,""))</f>
        <v/>
      </c>
    </row>
    <row r="488" customFormat="false" ht="15" hidden="false" customHeight="false" outlineLevel="0" collapsed="false">
      <c r="A488" s="18" t="str">
        <f aca="false">IF(Veri_Guncel!A488="","",Veri_Guncel!A488)</f>
        <v/>
      </c>
      <c r="B488" s="18" t="str">
        <f aca="false">IF($A488="","",Veri_Guncel!B488)</f>
        <v/>
      </c>
      <c r="C488" s="18" t="str">
        <f aca="false">IF($A488="","",Veri_Guncel!C488)</f>
        <v/>
      </c>
      <c r="D488" s="18" t="str">
        <f aca="false">IF($A488="","",Veri_Guncel!D488)</f>
        <v/>
      </c>
      <c r="E488" s="19" t="str">
        <f aca="false">IF($A488="","",Veri_Guncel!E488)</f>
        <v/>
      </c>
      <c r="F488" s="19" t="str">
        <f aca="false">IF($A488="","",Veri_Guncel!F488)</f>
        <v/>
      </c>
      <c r="G488" s="14" t="str">
        <f aca="false">IF(A488="","",IF(COUNTIF(Ayarlar!$A$15:$A$20,C488)&gt;0,1,0))</f>
        <v/>
      </c>
      <c r="H488" s="14" t="str">
        <f aca="false">IF(A488="","",DATEDIF(E488,Ayarlar!$B$3,"y"))</f>
        <v/>
      </c>
      <c r="I488" s="14" t="str">
        <f aca="false">IF(OR(A488="",F488=""),"",DATEDIF(F488,Ayarlar!$B$3,"y"))</f>
        <v/>
      </c>
      <c r="J488" s="14" t="str">
        <f aca="false">IF(A488="","",IF(H488&lt;1,0,MAX(IF(H488&lt;5,14,IF(H488&lt;15,20,26)),IF(AND(I488&lt;&gt;"",OR(I488&lt;=18,I488&gt;=50)),20,0))))</f>
        <v/>
      </c>
      <c r="K488" s="17" t="str">
        <f aca="false">IF(A488="","",EDATE(E488,12*(H488+1)))</f>
        <v/>
      </c>
      <c r="L488" s="14" t="str">
        <f aca="false">IF(A488="","",K488-Ayarlar!$B$3)</f>
        <v/>
      </c>
      <c r="M488" s="18" t="str">
        <f aca="false">IF(A488="","",Veri_Guncel!H488)</f>
        <v/>
      </c>
      <c r="N488" s="18" t="str">
        <f aca="false">IF(A488="","",IFERROR(INDEX(Veri_Onceki!$H:$H,MATCH(A488,Veri_Onceki!$A:$A,0)),""))</f>
        <v/>
      </c>
      <c r="O488" s="14" t="str">
        <f aca="false">IF(A488="","",IF(AND(H488&gt;=1,EDATE(E488,12*H488)&gt;Ayarlar!$B$4,EDATE(E488,12*H488)&lt;=Ayarlar!$B$3),J488,0))</f>
        <v/>
      </c>
      <c r="P488" s="14" t="str">
        <f aca="false">IF(OR(A488="",N488=""),"",N488+O488-M488)</f>
        <v/>
      </c>
      <c r="Q488" s="16" t="str">
        <f aca="false">IF(A488="","",IF(M488&gt;=Ayarlar!$B$7,"ALARM",IF(M488&gt;=Ayarlar!$B$6,"Planla","")))</f>
        <v/>
      </c>
      <c r="R488" s="14" t="str">
        <f aca="false">IF(A488="","",IF(AND(L488&gt;=0,L488&lt;=Ayarlar!$B$9),"Evet",""))</f>
        <v/>
      </c>
      <c r="S488" s="16" t="str">
        <f aca="false">IF(A488="","",IF(N488="","Yeni personel",IF(P488&lt;0,"Kontrol et","")))</f>
        <v/>
      </c>
      <c r="T488" s="14" t="str">
        <f aca="false">IF(A488="","",IF(AND(G488=1,M488&gt;=Ayarlar!$B$6,OR(Ayarlar!$B$11="Tümü",C488=Ayarlar!$B$11)),M488+ROW()/100000,""))</f>
        <v/>
      </c>
    </row>
    <row r="489" customFormat="false" ht="15" hidden="false" customHeight="false" outlineLevel="0" collapsed="false">
      <c r="A489" s="18" t="str">
        <f aca="false">IF(Veri_Guncel!A489="","",Veri_Guncel!A489)</f>
        <v/>
      </c>
      <c r="B489" s="18" t="str">
        <f aca="false">IF($A489="","",Veri_Guncel!B489)</f>
        <v/>
      </c>
      <c r="C489" s="18" t="str">
        <f aca="false">IF($A489="","",Veri_Guncel!C489)</f>
        <v/>
      </c>
      <c r="D489" s="18" t="str">
        <f aca="false">IF($A489="","",Veri_Guncel!D489)</f>
        <v/>
      </c>
      <c r="E489" s="19" t="str">
        <f aca="false">IF($A489="","",Veri_Guncel!E489)</f>
        <v/>
      </c>
      <c r="F489" s="19" t="str">
        <f aca="false">IF($A489="","",Veri_Guncel!F489)</f>
        <v/>
      </c>
      <c r="G489" s="14" t="str">
        <f aca="false">IF(A489="","",IF(COUNTIF(Ayarlar!$A$15:$A$20,C489)&gt;0,1,0))</f>
        <v/>
      </c>
      <c r="H489" s="14" t="str">
        <f aca="false">IF(A489="","",DATEDIF(E489,Ayarlar!$B$3,"y"))</f>
        <v/>
      </c>
      <c r="I489" s="14" t="str">
        <f aca="false">IF(OR(A489="",F489=""),"",DATEDIF(F489,Ayarlar!$B$3,"y"))</f>
        <v/>
      </c>
      <c r="J489" s="14" t="str">
        <f aca="false">IF(A489="","",IF(H489&lt;1,0,MAX(IF(H489&lt;5,14,IF(H489&lt;15,20,26)),IF(AND(I489&lt;&gt;"",OR(I489&lt;=18,I489&gt;=50)),20,0))))</f>
        <v/>
      </c>
      <c r="K489" s="17" t="str">
        <f aca="false">IF(A489="","",EDATE(E489,12*(H489+1)))</f>
        <v/>
      </c>
      <c r="L489" s="14" t="str">
        <f aca="false">IF(A489="","",K489-Ayarlar!$B$3)</f>
        <v/>
      </c>
      <c r="M489" s="18" t="str">
        <f aca="false">IF(A489="","",Veri_Guncel!H489)</f>
        <v/>
      </c>
      <c r="N489" s="18" t="str">
        <f aca="false">IF(A489="","",IFERROR(INDEX(Veri_Onceki!$H:$H,MATCH(A489,Veri_Onceki!$A:$A,0)),""))</f>
        <v/>
      </c>
      <c r="O489" s="14" t="str">
        <f aca="false">IF(A489="","",IF(AND(H489&gt;=1,EDATE(E489,12*H489)&gt;Ayarlar!$B$4,EDATE(E489,12*H489)&lt;=Ayarlar!$B$3),J489,0))</f>
        <v/>
      </c>
      <c r="P489" s="14" t="str">
        <f aca="false">IF(OR(A489="",N489=""),"",N489+O489-M489)</f>
        <v/>
      </c>
      <c r="Q489" s="16" t="str">
        <f aca="false">IF(A489="","",IF(M489&gt;=Ayarlar!$B$7,"ALARM",IF(M489&gt;=Ayarlar!$B$6,"Planla","")))</f>
        <v/>
      </c>
      <c r="R489" s="14" t="str">
        <f aca="false">IF(A489="","",IF(AND(L489&gt;=0,L489&lt;=Ayarlar!$B$9),"Evet",""))</f>
        <v/>
      </c>
      <c r="S489" s="16" t="str">
        <f aca="false">IF(A489="","",IF(N489="","Yeni personel",IF(P489&lt;0,"Kontrol et","")))</f>
        <v/>
      </c>
      <c r="T489" s="14" t="str">
        <f aca="false">IF(A489="","",IF(AND(G489=1,M489&gt;=Ayarlar!$B$6,OR(Ayarlar!$B$11="Tümü",C489=Ayarlar!$B$11)),M489+ROW()/100000,""))</f>
        <v/>
      </c>
    </row>
    <row r="490" customFormat="false" ht="15" hidden="false" customHeight="false" outlineLevel="0" collapsed="false">
      <c r="A490" s="18" t="str">
        <f aca="false">IF(Veri_Guncel!A490="","",Veri_Guncel!A490)</f>
        <v/>
      </c>
      <c r="B490" s="18" t="str">
        <f aca="false">IF($A490="","",Veri_Guncel!B490)</f>
        <v/>
      </c>
      <c r="C490" s="18" t="str">
        <f aca="false">IF($A490="","",Veri_Guncel!C490)</f>
        <v/>
      </c>
      <c r="D490" s="18" t="str">
        <f aca="false">IF($A490="","",Veri_Guncel!D490)</f>
        <v/>
      </c>
      <c r="E490" s="19" t="str">
        <f aca="false">IF($A490="","",Veri_Guncel!E490)</f>
        <v/>
      </c>
      <c r="F490" s="19" t="str">
        <f aca="false">IF($A490="","",Veri_Guncel!F490)</f>
        <v/>
      </c>
      <c r="G490" s="14" t="str">
        <f aca="false">IF(A490="","",IF(COUNTIF(Ayarlar!$A$15:$A$20,C490)&gt;0,1,0))</f>
        <v/>
      </c>
      <c r="H490" s="14" t="str">
        <f aca="false">IF(A490="","",DATEDIF(E490,Ayarlar!$B$3,"y"))</f>
        <v/>
      </c>
      <c r="I490" s="14" t="str">
        <f aca="false">IF(OR(A490="",F490=""),"",DATEDIF(F490,Ayarlar!$B$3,"y"))</f>
        <v/>
      </c>
      <c r="J490" s="14" t="str">
        <f aca="false">IF(A490="","",IF(H490&lt;1,0,MAX(IF(H490&lt;5,14,IF(H490&lt;15,20,26)),IF(AND(I490&lt;&gt;"",OR(I490&lt;=18,I490&gt;=50)),20,0))))</f>
        <v/>
      </c>
      <c r="K490" s="17" t="str">
        <f aca="false">IF(A490="","",EDATE(E490,12*(H490+1)))</f>
        <v/>
      </c>
      <c r="L490" s="14" t="str">
        <f aca="false">IF(A490="","",K490-Ayarlar!$B$3)</f>
        <v/>
      </c>
      <c r="M490" s="18" t="str">
        <f aca="false">IF(A490="","",Veri_Guncel!H490)</f>
        <v/>
      </c>
      <c r="N490" s="18" t="str">
        <f aca="false">IF(A490="","",IFERROR(INDEX(Veri_Onceki!$H:$H,MATCH(A490,Veri_Onceki!$A:$A,0)),""))</f>
        <v/>
      </c>
      <c r="O490" s="14" t="str">
        <f aca="false">IF(A490="","",IF(AND(H490&gt;=1,EDATE(E490,12*H490)&gt;Ayarlar!$B$4,EDATE(E490,12*H490)&lt;=Ayarlar!$B$3),J490,0))</f>
        <v/>
      </c>
      <c r="P490" s="14" t="str">
        <f aca="false">IF(OR(A490="",N490=""),"",N490+O490-M490)</f>
        <v/>
      </c>
      <c r="Q490" s="16" t="str">
        <f aca="false">IF(A490="","",IF(M490&gt;=Ayarlar!$B$7,"ALARM",IF(M490&gt;=Ayarlar!$B$6,"Planla","")))</f>
        <v/>
      </c>
      <c r="R490" s="14" t="str">
        <f aca="false">IF(A490="","",IF(AND(L490&gt;=0,L490&lt;=Ayarlar!$B$9),"Evet",""))</f>
        <v/>
      </c>
      <c r="S490" s="16" t="str">
        <f aca="false">IF(A490="","",IF(N490="","Yeni personel",IF(P490&lt;0,"Kontrol et","")))</f>
        <v/>
      </c>
      <c r="T490" s="14" t="str">
        <f aca="false">IF(A490="","",IF(AND(G490=1,M490&gt;=Ayarlar!$B$6,OR(Ayarlar!$B$11="Tümü",C490=Ayarlar!$B$11)),M490+ROW()/100000,""))</f>
        <v/>
      </c>
    </row>
    <row r="491" customFormat="false" ht="15" hidden="false" customHeight="false" outlineLevel="0" collapsed="false">
      <c r="A491" s="18" t="str">
        <f aca="false">IF(Veri_Guncel!A491="","",Veri_Guncel!A491)</f>
        <v/>
      </c>
      <c r="B491" s="18" t="str">
        <f aca="false">IF($A491="","",Veri_Guncel!B491)</f>
        <v/>
      </c>
      <c r="C491" s="18" t="str">
        <f aca="false">IF($A491="","",Veri_Guncel!C491)</f>
        <v/>
      </c>
      <c r="D491" s="18" t="str">
        <f aca="false">IF($A491="","",Veri_Guncel!D491)</f>
        <v/>
      </c>
      <c r="E491" s="19" t="str">
        <f aca="false">IF($A491="","",Veri_Guncel!E491)</f>
        <v/>
      </c>
      <c r="F491" s="19" t="str">
        <f aca="false">IF($A491="","",Veri_Guncel!F491)</f>
        <v/>
      </c>
      <c r="G491" s="14" t="str">
        <f aca="false">IF(A491="","",IF(COUNTIF(Ayarlar!$A$15:$A$20,C491)&gt;0,1,0))</f>
        <v/>
      </c>
      <c r="H491" s="14" t="str">
        <f aca="false">IF(A491="","",DATEDIF(E491,Ayarlar!$B$3,"y"))</f>
        <v/>
      </c>
      <c r="I491" s="14" t="str">
        <f aca="false">IF(OR(A491="",F491=""),"",DATEDIF(F491,Ayarlar!$B$3,"y"))</f>
        <v/>
      </c>
      <c r="J491" s="14" t="str">
        <f aca="false">IF(A491="","",IF(H491&lt;1,0,MAX(IF(H491&lt;5,14,IF(H491&lt;15,20,26)),IF(AND(I491&lt;&gt;"",OR(I491&lt;=18,I491&gt;=50)),20,0))))</f>
        <v/>
      </c>
      <c r="K491" s="17" t="str">
        <f aca="false">IF(A491="","",EDATE(E491,12*(H491+1)))</f>
        <v/>
      </c>
      <c r="L491" s="14" t="str">
        <f aca="false">IF(A491="","",K491-Ayarlar!$B$3)</f>
        <v/>
      </c>
      <c r="M491" s="18" t="str">
        <f aca="false">IF(A491="","",Veri_Guncel!H491)</f>
        <v/>
      </c>
      <c r="N491" s="18" t="str">
        <f aca="false">IF(A491="","",IFERROR(INDEX(Veri_Onceki!$H:$H,MATCH(A491,Veri_Onceki!$A:$A,0)),""))</f>
        <v/>
      </c>
      <c r="O491" s="14" t="str">
        <f aca="false">IF(A491="","",IF(AND(H491&gt;=1,EDATE(E491,12*H491)&gt;Ayarlar!$B$4,EDATE(E491,12*H491)&lt;=Ayarlar!$B$3),J491,0))</f>
        <v/>
      </c>
      <c r="P491" s="14" t="str">
        <f aca="false">IF(OR(A491="",N491=""),"",N491+O491-M491)</f>
        <v/>
      </c>
      <c r="Q491" s="16" t="str">
        <f aca="false">IF(A491="","",IF(M491&gt;=Ayarlar!$B$7,"ALARM",IF(M491&gt;=Ayarlar!$B$6,"Planla","")))</f>
        <v/>
      </c>
      <c r="R491" s="14" t="str">
        <f aca="false">IF(A491="","",IF(AND(L491&gt;=0,L491&lt;=Ayarlar!$B$9),"Evet",""))</f>
        <v/>
      </c>
      <c r="S491" s="16" t="str">
        <f aca="false">IF(A491="","",IF(N491="","Yeni personel",IF(P491&lt;0,"Kontrol et","")))</f>
        <v/>
      </c>
      <c r="T491" s="14" t="str">
        <f aca="false">IF(A491="","",IF(AND(G491=1,M491&gt;=Ayarlar!$B$6,OR(Ayarlar!$B$11="Tümü",C491=Ayarlar!$B$11)),M491+ROW()/100000,""))</f>
        <v/>
      </c>
    </row>
    <row r="492" customFormat="false" ht="15" hidden="false" customHeight="false" outlineLevel="0" collapsed="false">
      <c r="A492" s="18" t="str">
        <f aca="false">IF(Veri_Guncel!A492="","",Veri_Guncel!A492)</f>
        <v/>
      </c>
      <c r="B492" s="18" t="str">
        <f aca="false">IF($A492="","",Veri_Guncel!B492)</f>
        <v/>
      </c>
      <c r="C492" s="18" t="str">
        <f aca="false">IF($A492="","",Veri_Guncel!C492)</f>
        <v/>
      </c>
      <c r="D492" s="18" t="str">
        <f aca="false">IF($A492="","",Veri_Guncel!D492)</f>
        <v/>
      </c>
      <c r="E492" s="19" t="str">
        <f aca="false">IF($A492="","",Veri_Guncel!E492)</f>
        <v/>
      </c>
      <c r="F492" s="19" t="str">
        <f aca="false">IF($A492="","",Veri_Guncel!F492)</f>
        <v/>
      </c>
      <c r="G492" s="14" t="str">
        <f aca="false">IF(A492="","",IF(COUNTIF(Ayarlar!$A$15:$A$20,C492)&gt;0,1,0))</f>
        <v/>
      </c>
      <c r="H492" s="14" t="str">
        <f aca="false">IF(A492="","",DATEDIF(E492,Ayarlar!$B$3,"y"))</f>
        <v/>
      </c>
      <c r="I492" s="14" t="str">
        <f aca="false">IF(OR(A492="",F492=""),"",DATEDIF(F492,Ayarlar!$B$3,"y"))</f>
        <v/>
      </c>
      <c r="J492" s="14" t="str">
        <f aca="false">IF(A492="","",IF(H492&lt;1,0,MAX(IF(H492&lt;5,14,IF(H492&lt;15,20,26)),IF(AND(I492&lt;&gt;"",OR(I492&lt;=18,I492&gt;=50)),20,0))))</f>
        <v/>
      </c>
      <c r="K492" s="17" t="str">
        <f aca="false">IF(A492="","",EDATE(E492,12*(H492+1)))</f>
        <v/>
      </c>
      <c r="L492" s="14" t="str">
        <f aca="false">IF(A492="","",K492-Ayarlar!$B$3)</f>
        <v/>
      </c>
      <c r="M492" s="18" t="str">
        <f aca="false">IF(A492="","",Veri_Guncel!H492)</f>
        <v/>
      </c>
      <c r="N492" s="18" t="str">
        <f aca="false">IF(A492="","",IFERROR(INDEX(Veri_Onceki!$H:$H,MATCH(A492,Veri_Onceki!$A:$A,0)),""))</f>
        <v/>
      </c>
      <c r="O492" s="14" t="str">
        <f aca="false">IF(A492="","",IF(AND(H492&gt;=1,EDATE(E492,12*H492)&gt;Ayarlar!$B$4,EDATE(E492,12*H492)&lt;=Ayarlar!$B$3),J492,0))</f>
        <v/>
      </c>
      <c r="P492" s="14" t="str">
        <f aca="false">IF(OR(A492="",N492=""),"",N492+O492-M492)</f>
        <v/>
      </c>
      <c r="Q492" s="16" t="str">
        <f aca="false">IF(A492="","",IF(M492&gt;=Ayarlar!$B$7,"ALARM",IF(M492&gt;=Ayarlar!$B$6,"Planla","")))</f>
        <v/>
      </c>
      <c r="R492" s="14" t="str">
        <f aca="false">IF(A492="","",IF(AND(L492&gt;=0,L492&lt;=Ayarlar!$B$9),"Evet",""))</f>
        <v/>
      </c>
      <c r="S492" s="16" t="str">
        <f aca="false">IF(A492="","",IF(N492="","Yeni personel",IF(P492&lt;0,"Kontrol et","")))</f>
        <v/>
      </c>
      <c r="T492" s="14" t="str">
        <f aca="false">IF(A492="","",IF(AND(G492=1,M492&gt;=Ayarlar!$B$6,OR(Ayarlar!$B$11="Tümü",C492=Ayarlar!$B$11)),M492+ROW()/100000,""))</f>
        <v/>
      </c>
    </row>
    <row r="493" customFormat="false" ht="15" hidden="false" customHeight="false" outlineLevel="0" collapsed="false">
      <c r="A493" s="18" t="str">
        <f aca="false">IF(Veri_Guncel!A493="","",Veri_Guncel!A493)</f>
        <v/>
      </c>
      <c r="B493" s="18" t="str">
        <f aca="false">IF($A493="","",Veri_Guncel!B493)</f>
        <v/>
      </c>
      <c r="C493" s="18" t="str">
        <f aca="false">IF($A493="","",Veri_Guncel!C493)</f>
        <v/>
      </c>
      <c r="D493" s="18" t="str">
        <f aca="false">IF($A493="","",Veri_Guncel!D493)</f>
        <v/>
      </c>
      <c r="E493" s="19" t="str">
        <f aca="false">IF($A493="","",Veri_Guncel!E493)</f>
        <v/>
      </c>
      <c r="F493" s="19" t="str">
        <f aca="false">IF($A493="","",Veri_Guncel!F493)</f>
        <v/>
      </c>
      <c r="G493" s="14" t="str">
        <f aca="false">IF(A493="","",IF(COUNTIF(Ayarlar!$A$15:$A$20,C493)&gt;0,1,0))</f>
        <v/>
      </c>
      <c r="H493" s="14" t="str">
        <f aca="false">IF(A493="","",DATEDIF(E493,Ayarlar!$B$3,"y"))</f>
        <v/>
      </c>
      <c r="I493" s="14" t="str">
        <f aca="false">IF(OR(A493="",F493=""),"",DATEDIF(F493,Ayarlar!$B$3,"y"))</f>
        <v/>
      </c>
      <c r="J493" s="14" t="str">
        <f aca="false">IF(A493="","",IF(H493&lt;1,0,MAX(IF(H493&lt;5,14,IF(H493&lt;15,20,26)),IF(AND(I493&lt;&gt;"",OR(I493&lt;=18,I493&gt;=50)),20,0))))</f>
        <v/>
      </c>
      <c r="K493" s="17" t="str">
        <f aca="false">IF(A493="","",EDATE(E493,12*(H493+1)))</f>
        <v/>
      </c>
      <c r="L493" s="14" t="str">
        <f aca="false">IF(A493="","",K493-Ayarlar!$B$3)</f>
        <v/>
      </c>
      <c r="M493" s="18" t="str">
        <f aca="false">IF(A493="","",Veri_Guncel!H493)</f>
        <v/>
      </c>
      <c r="N493" s="18" t="str">
        <f aca="false">IF(A493="","",IFERROR(INDEX(Veri_Onceki!$H:$H,MATCH(A493,Veri_Onceki!$A:$A,0)),""))</f>
        <v/>
      </c>
      <c r="O493" s="14" t="str">
        <f aca="false">IF(A493="","",IF(AND(H493&gt;=1,EDATE(E493,12*H493)&gt;Ayarlar!$B$4,EDATE(E493,12*H493)&lt;=Ayarlar!$B$3),J493,0))</f>
        <v/>
      </c>
      <c r="P493" s="14" t="str">
        <f aca="false">IF(OR(A493="",N493=""),"",N493+O493-M493)</f>
        <v/>
      </c>
      <c r="Q493" s="16" t="str">
        <f aca="false">IF(A493="","",IF(M493&gt;=Ayarlar!$B$7,"ALARM",IF(M493&gt;=Ayarlar!$B$6,"Planla","")))</f>
        <v/>
      </c>
      <c r="R493" s="14" t="str">
        <f aca="false">IF(A493="","",IF(AND(L493&gt;=0,L493&lt;=Ayarlar!$B$9),"Evet",""))</f>
        <v/>
      </c>
      <c r="S493" s="16" t="str">
        <f aca="false">IF(A493="","",IF(N493="","Yeni personel",IF(P493&lt;0,"Kontrol et","")))</f>
        <v/>
      </c>
      <c r="T493" s="14" t="str">
        <f aca="false">IF(A493="","",IF(AND(G493=1,M493&gt;=Ayarlar!$B$6,OR(Ayarlar!$B$11="Tümü",C493=Ayarlar!$B$11)),M493+ROW()/100000,""))</f>
        <v/>
      </c>
    </row>
    <row r="494" customFormat="false" ht="15" hidden="false" customHeight="false" outlineLevel="0" collapsed="false">
      <c r="A494" s="18" t="str">
        <f aca="false">IF(Veri_Guncel!A494="","",Veri_Guncel!A494)</f>
        <v/>
      </c>
      <c r="B494" s="18" t="str">
        <f aca="false">IF($A494="","",Veri_Guncel!B494)</f>
        <v/>
      </c>
      <c r="C494" s="18" t="str">
        <f aca="false">IF($A494="","",Veri_Guncel!C494)</f>
        <v/>
      </c>
      <c r="D494" s="18" t="str">
        <f aca="false">IF($A494="","",Veri_Guncel!D494)</f>
        <v/>
      </c>
      <c r="E494" s="19" t="str">
        <f aca="false">IF($A494="","",Veri_Guncel!E494)</f>
        <v/>
      </c>
      <c r="F494" s="19" t="str">
        <f aca="false">IF($A494="","",Veri_Guncel!F494)</f>
        <v/>
      </c>
      <c r="G494" s="14" t="str">
        <f aca="false">IF(A494="","",IF(COUNTIF(Ayarlar!$A$15:$A$20,C494)&gt;0,1,0))</f>
        <v/>
      </c>
      <c r="H494" s="14" t="str">
        <f aca="false">IF(A494="","",DATEDIF(E494,Ayarlar!$B$3,"y"))</f>
        <v/>
      </c>
      <c r="I494" s="14" t="str">
        <f aca="false">IF(OR(A494="",F494=""),"",DATEDIF(F494,Ayarlar!$B$3,"y"))</f>
        <v/>
      </c>
      <c r="J494" s="14" t="str">
        <f aca="false">IF(A494="","",IF(H494&lt;1,0,MAX(IF(H494&lt;5,14,IF(H494&lt;15,20,26)),IF(AND(I494&lt;&gt;"",OR(I494&lt;=18,I494&gt;=50)),20,0))))</f>
        <v/>
      </c>
      <c r="K494" s="17" t="str">
        <f aca="false">IF(A494="","",EDATE(E494,12*(H494+1)))</f>
        <v/>
      </c>
      <c r="L494" s="14" t="str">
        <f aca="false">IF(A494="","",K494-Ayarlar!$B$3)</f>
        <v/>
      </c>
      <c r="M494" s="18" t="str">
        <f aca="false">IF(A494="","",Veri_Guncel!H494)</f>
        <v/>
      </c>
      <c r="N494" s="18" t="str">
        <f aca="false">IF(A494="","",IFERROR(INDEX(Veri_Onceki!$H:$H,MATCH(A494,Veri_Onceki!$A:$A,0)),""))</f>
        <v/>
      </c>
      <c r="O494" s="14" t="str">
        <f aca="false">IF(A494="","",IF(AND(H494&gt;=1,EDATE(E494,12*H494)&gt;Ayarlar!$B$4,EDATE(E494,12*H494)&lt;=Ayarlar!$B$3),J494,0))</f>
        <v/>
      </c>
      <c r="P494" s="14" t="str">
        <f aca="false">IF(OR(A494="",N494=""),"",N494+O494-M494)</f>
        <v/>
      </c>
      <c r="Q494" s="16" t="str">
        <f aca="false">IF(A494="","",IF(M494&gt;=Ayarlar!$B$7,"ALARM",IF(M494&gt;=Ayarlar!$B$6,"Planla","")))</f>
        <v/>
      </c>
      <c r="R494" s="14" t="str">
        <f aca="false">IF(A494="","",IF(AND(L494&gt;=0,L494&lt;=Ayarlar!$B$9),"Evet",""))</f>
        <v/>
      </c>
      <c r="S494" s="16" t="str">
        <f aca="false">IF(A494="","",IF(N494="","Yeni personel",IF(P494&lt;0,"Kontrol et","")))</f>
        <v/>
      </c>
      <c r="T494" s="14" t="str">
        <f aca="false">IF(A494="","",IF(AND(G494=1,M494&gt;=Ayarlar!$B$6,OR(Ayarlar!$B$11="Tümü",C494=Ayarlar!$B$11)),M494+ROW()/100000,""))</f>
        <v/>
      </c>
    </row>
    <row r="495" customFormat="false" ht="15" hidden="false" customHeight="false" outlineLevel="0" collapsed="false">
      <c r="A495" s="18" t="str">
        <f aca="false">IF(Veri_Guncel!A495="","",Veri_Guncel!A495)</f>
        <v/>
      </c>
      <c r="B495" s="18" t="str">
        <f aca="false">IF($A495="","",Veri_Guncel!B495)</f>
        <v/>
      </c>
      <c r="C495" s="18" t="str">
        <f aca="false">IF($A495="","",Veri_Guncel!C495)</f>
        <v/>
      </c>
      <c r="D495" s="18" t="str">
        <f aca="false">IF($A495="","",Veri_Guncel!D495)</f>
        <v/>
      </c>
      <c r="E495" s="19" t="str">
        <f aca="false">IF($A495="","",Veri_Guncel!E495)</f>
        <v/>
      </c>
      <c r="F495" s="19" t="str">
        <f aca="false">IF($A495="","",Veri_Guncel!F495)</f>
        <v/>
      </c>
      <c r="G495" s="14" t="str">
        <f aca="false">IF(A495="","",IF(COUNTIF(Ayarlar!$A$15:$A$20,C495)&gt;0,1,0))</f>
        <v/>
      </c>
      <c r="H495" s="14" t="str">
        <f aca="false">IF(A495="","",DATEDIF(E495,Ayarlar!$B$3,"y"))</f>
        <v/>
      </c>
      <c r="I495" s="14" t="str">
        <f aca="false">IF(OR(A495="",F495=""),"",DATEDIF(F495,Ayarlar!$B$3,"y"))</f>
        <v/>
      </c>
      <c r="J495" s="14" t="str">
        <f aca="false">IF(A495="","",IF(H495&lt;1,0,MAX(IF(H495&lt;5,14,IF(H495&lt;15,20,26)),IF(AND(I495&lt;&gt;"",OR(I495&lt;=18,I495&gt;=50)),20,0))))</f>
        <v/>
      </c>
      <c r="K495" s="17" t="str">
        <f aca="false">IF(A495="","",EDATE(E495,12*(H495+1)))</f>
        <v/>
      </c>
      <c r="L495" s="14" t="str">
        <f aca="false">IF(A495="","",K495-Ayarlar!$B$3)</f>
        <v/>
      </c>
      <c r="M495" s="18" t="str">
        <f aca="false">IF(A495="","",Veri_Guncel!H495)</f>
        <v/>
      </c>
      <c r="N495" s="18" t="str">
        <f aca="false">IF(A495="","",IFERROR(INDEX(Veri_Onceki!$H:$H,MATCH(A495,Veri_Onceki!$A:$A,0)),""))</f>
        <v/>
      </c>
      <c r="O495" s="14" t="str">
        <f aca="false">IF(A495="","",IF(AND(H495&gt;=1,EDATE(E495,12*H495)&gt;Ayarlar!$B$4,EDATE(E495,12*H495)&lt;=Ayarlar!$B$3),J495,0))</f>
        <v/>
      </c>
      <c r="P495" s="14" t="str">
        <f aca="false">IF(OR(A495="",N495=""),"",N495+O495-M495)</f>
        <v/>
      </c>
      <c r="Q495" s="16" t="str">
        <f aca="false">IF(A495="","",IF(M495&gt;=Ayarlar!$B$7,"ALARM",IF(M495&gt;=Ayarlar!$B$6,"Planla","")))</f>
        <v/>
      </c>
      <c r="R495" s="14" t="str">
        <f aca="false">IF(A495="","",IF(AND(L495&gt;=0,L495&lt;=Ayarlar!$B$9),"Evet",""))</f>
        <v/>
      </c>
      <c r="S495" s="16" t="str">
        <f aca="false">IF(A495="","",IF(N495="","Yeni personel",IF(P495&lt;0,"Kontrol et","")))</f>
        <v/>
      </c>
      <c r="T495" s="14" t="str">
        <f aca="false">IF(A495="","",IF(AND(G495=1,M495&gt;=Ayarlar!$B$6,OR(Ayarlar!$B$11="Tümü",C495=Ayarlar!$B$11)),M495+ROW()/100000,""))</f>
        <v/>
      </c>
    </row>
    <row r="496" customFormat="false" ht="15" hidden="false" customHeight="false" outlineLevel="0" collapsed="false">
      <c r="A496" s="18" t="str">
        <f aca="false">IF(Veri_Guncel!A496="","",Veri_Guncel!A496)</f>
        <v/>
      </c>
      <c r="B496" s="18" t="str">
        <f aca="false">IF($A496="","",Veri_Guncel!B496)</f>
        <v/>
      </c>
      <c r="C496" s="18" t="str">
        <f aca="false">IF($A496="","",Veri_Guncel!C496)</f>
        <v/>
      </c>
      <c r="D496" s="18" t="str">
        <f aca="false">IF($A496="","",Veri_Guncel!D496)</f>
        <v/>
      </c>
      <c r="E496" s="19" t="str">
        <f aca="false">IF($A496="","",Veri_Guncel!E496)</f>
        <v/>
      </c>
      <c r="F496" s="19" t="str">
        <f aca="false">IF($A496="","",Veri_Guncel!F496)</f>
        <v/>
      </c>
      <c r="G496" s="14" t="str">
        <f aca="false">IF(A496="","",IF(COUNTIF(Ayarlar!$A$15:$A$20,C496)&gt;0,1,0))</f>
        <v/>
      </c>
      <c r="H496" s="14" t="str">
        <f aca="false">IF(A496="","",DATEDIF(E496,Ayarlar!$B$3,"y"))</f>
        <v/>
      </c>
      <c r="I496" s="14" t="str">
        <f aca="false">IF(OR(A496="",F496=""),"",DATEDIF(F496,Ayarlar!$B$3,"y"))</f>
        <v/>
      </c>
      <c r="J496" s="14" t="str">
        <f aca="false">IF(A496="","",IF(H496&lt;1,0,MAX(IF(H496&lt;5,14,IF(H496&lt;15,20,26)),IF(AND(I496&lt;&gt;"",OR(I496&lt;=18,I496&gt;=50)),20,0))))</f>
        <v/>
      </c>
      <c r="K496" s="17" t="str">
        <f aca="false">IF(A496="","",EDATE(E496,12*(H496+1)))</f>
        <v/>
      </c>
      <c r="L496" s="14" t="str">
        <f aca="false">IF(A496="","",K496-Ayarlar!$B$3)</f>
        <v/>
      </c>
      <c r="M496" s="18" t="str">
        <f aca="false">IF(A496="","",Veri_Guncel!H496)</f>
        <v/>
      </c>
      <c r="N496" s="18" t="str">
        <f aca="false">IF(A496="","",IFERROR(INDEX(Veri_Onceki!$H:$H,MATCH(A496,Veri_Onceki!$A:$A,0)),""))</f>
        <v/>
      </c>
      <c r="O496" s="14" t="str">
        <f aca="false">IF(A496="","",IF(AND(H496&gt;=1,EDATE(E496,12*H496)&gt;Ayarlar!$B$4,EDATE(E496,12*H496)&lt;=Ayarlar!$B$3),J496,0))</f>
        <v/>
      </c>
      <c r="P496" s="14" t="str">
        <f aca="false">IF(OR(A496="",N496=""),"",N496+O496-M496)</f>
        <v/>
      </c>
      <c r="Q496" s="16" t="str">
        <f aca="false">IF(A496="","",IF(M496&gt;=Ayarlar!$B$7,"ALARM",IF(M496&gt;=Ayarlar!$B$6,"Planla","")))</f>
        <v/>
      </c>
      <c r="R496" s="14" t="str">
        <f aca="false">IF(A496="","",IF(AND(L496&gt;=0,L496&lt;=Ayarlar!$B$9),"Evet",""))</f>
        <v/>
      </c>
      <c r="S496" s="16" t="str">
        <f aca="false">IF(A496="","",IF(N496="","Yeni personel",IF(P496&lt;0,"Kontrol et","")))</f>
        <v/>
      </c>
      <c r="T496" s="14" t="str">
        <f aca="false">IF(A496="","",IF(AND(G496=1,M496&gt;=Ayarlar!$B$6,OR(Ayarlar!$B$11="Tümü",C496=Ayarlar!$B$11)),M496+ROW()/100000,""))</f>
        <v/>
      </c>
    </row>
    <row r="497" customFormat="false" ht="15" hidden="false" customHeight="false" outlineLevel="0" collapsed="false">
      <c r="A497" s="18" t="str">
        <f aca="false">IF(Veri_Guncel!A497="","",Veri_Guncel!A497)</f>
        <v/>
      </c>
      <c r="B497" s="18" t="str">
        <f aca="false">IF($A497="","",Veri_Guncel!B497)</f>
        <v/>
      </c>
      <c r="C497" s="18" t="str">
        <f aca="false">IF($A497="","",Veri_Guncel!C497)</f>
        <v/>
      </c>
      <c r="D497" s="18" t="str">
        <f aca="false">IF($A497="","",Veri_Guncel!D497)</f>
        <v/>
      </c>
      <c r="E497" s="19" t="str">
        <f aca="false">IF($A497="","",Veri_Guncel!E497)</f>
        <v/>
      </c>
      <c r="F497" s="19" t="str">
        <f aca="false">IF($A497="","",Veri_Guncel!F497)</f>
        <v/>
      </c>
      <c r="G497" s="14" t="str">
        <f aca="false">IF(A497="","",IF(COUNTIF(Ayarlar!$A$15:$A$20,C497)&gt;0,1,0))</f>
        <v/>
      </c>
      <c r="H497" s="14" t="str">
        <f aca="false">IF(A497="","",DATEDIF(E497,Ayarlar!$B$3,"y"))</f>
        <v/>
      </c>
      <c r="I497" s="14" t="str">
        <f aca="false">IF(OR(A497="",F497=""),"",DATEDIF(F497,Ayarlar!$B$3,"y"))</f>
        <v/>
      </c>
      <c r="J497" s="14" t="str">
        <f aca="false">IF(A497="","",IF(H497&lt;1,0,MAX(IF(H497&lt;5,14,IF(H497&lt;15,20,26)),IF(AND(I497&lt;&gt;"",OR(I497&lt;=18,I497&gt;=50)),20,0))))</f>
        <v/>
      </c>
      <c r="K497" s="17" t="str">
        <f aca="false">IF(A497="","",EDATE(E497,12*(H497+1)))</f>
        <v/>
      </c>
      <c r="L497" s="14" t="str">
        <f aca="false">IF(A497="","",K497-Ayarlar!$B$3)</f>
        <v/>
      </c>
      <c r="M497" s="18" t="str">
        <f aca="false">IF(A497="","",Veri_Guncel!H497)</f>
        <v/>
      </c>
      <c r="N497" s="18" t="str">
        <f aca="false">IF(A497="","",IFERROR(INDEX(Veri_Onceki!$H:$H,MATCH(A497,Veri_Onceki!$A:$A,0)),""))</f>
        <v/>
      </c>
      <c r="O497" s="14" t="str">
        <f aca="false">IF(A497="","",IF(AND(H497&gt;=1,EDATE(E497,12*H497)&gt;Ayarlar!$B$4,EDATE(E497,12*H497)&lt;=Ayarlar!$B$3),J497,0))</f>
        <v/>
      </c>
      <c r="P497" s="14" t="str">
        <f aca="false">IF(OR(A497="",N497=""),"",N497+O497-M497)</f>
        <v/>
      </c>
      <c r="Q497" s="16" t="str">
        <f aca="false">IF(A497="","",IF(M497&gt;=Ayarlar!$B$7,"ALARM",IF(M497&gt;=Ayarlar!$B$6,"Planla","")))</f>
        <v/>
      </c>
      <c r="R497" s="14" t="str">
        <f aca="false">IF(A497="","",IF(AND(L497&gt;=0,L497&lt;=Ayarlar!$B$9),"Evet",""))</f>
        <v/>
      </c>
      <c r="S497" s="16" t="str">
        <f aca="false">IF(A497="","",IF(N497="","Yeni personel",IF(P497&lt;0,"Kontrol et","")))</f>
        <v/>
      </c>
      <c r="T497" s="14" t="str">
        <f aca="false">IF(A497="","",IF(AND(G497=1,M497&gt;=Ayarlar!$B$6,OR(Ayarlar!$B$11="Tümü",C497=Ayarlar!$B$11)),M497+ROW()/100000,""))</f>
        <v/>
      </c>
    </row>
    <row r="498" customFormat="false" ht="15" hidden="false" customHeight="false" outlineLevel="0" collapsed="false">
      <c r="A498" s="18" t="str">
        <f aca="false">IF(Veri_Guncel!A498="","",Veri_Guncel!A498)</f>
        <v/>
      </c>
      <c r="B498" s="18" t="str">
        <f aca="false">IF($A498="","",Veri_Guncel!B498)</f>
        <v/>
      </c>
      <c r="C498" s="18" t="str">
        <f aca="false">IF($A498="","",Veri_Guncel!C498)</f>
        <v/>
      </c>
      <c r="D498" s="18" t="str">
        <f aca="false">IF($A498="","",Veri_Guncel!D498)</f>
        <v/>
      </c>
      <c r="E498" s="19" t="str">
        <f aca="false">IF($A498="","",Veri_Guncel!E498)</f>
        <v/>
      </c>
      <c r="F498" s="19" t="str">
        <f aca="false">IF($A498="","",Veri_Guncel!F498)</f>
        <v/>
      </c>
      <c r="G498" s="14" t="str">
        <f aca="false">IF(A498="","",IF(COUNTIF(Ayarlar!$A$15:$A$20,C498)&gt;0,1,0))</f>
        <v/>
      </c>
      <c r="H498" s="14" t="str">
        <f aca="false">IF(A498="","",DATEDIF(E498,Ayarlar!$B$3,"y"))</f>
        <v/>
      </c>
      <c r="I498" s="14" t="str">
        <f aca="false">IF(OR(A498="",F498=""),"",DATEDIF(F498,Ayarlar!$B$3,"y"))</f>
        <v/>
      </c>
      <c r="J498" s="14" t="str">
        <f aca="false">IF(A498="","",IF(H498&lt;1,0,MAX(IF(H498&lt;5,14,IF(H498&lt;15,20,26)),IF(AND(I498&lt;&gt;"",OR(I498&lt;=18,I498&gt;=50)),20,0))))</f>
        <v/>
      </c>
      <c r="K498" s="17" t="str">
        <f aca="false">IF(A498="","",EDATE(E498,12*(H498+1)))</f>
        <v/>
      </c>
      <c r="L498" s="14" t="str">
        <f aca="false">IF(A498="","",K498-Ayarlar!$B$3)</f>
        <v/>
      </c>
      <c r="M498" s="18" t="str">
        <f aca="false">IF(A498="","",Veri_Guncel!H498)</f>
        <v/>
      </c>
      <c r="N498" s="18" t="str">
        <f aca="false">IF(A498="","",IFERROR(INDEX(Veri_Onceki!$H:$H,MATCH(A498,Veri_Onceki!$A:$A,0)),""))</f>
        <v/>
      </c>
      <c r="O498" s="14" t="str">
        <f aca="false">IF(A498="","",IF(AND(H498&gt;=1,EDATE(E498,12*H498)&gt;Ayarlar!$B$4,EDATE(E498,12*H498)&lt;=Ayarlar!$B$3),J498,0))</f>
        <v/>
      </c>
      <c r="P498" s="14" t="str">
        <f aca="false">IF(OR(A498="",N498=""),"",N498+O498-M498)</f>
        <v/>
      </c>
      <c r="Q498" s="16" t="str">
        <f aca="false">IF(A498="","",IF(M498&gt;=Ayarlar!$B$7,"ALARM",IF(M498&gt;=Ayarlar!$B$6,"Planla","")))</f>
        <v/>
      </c>
      <c r="R498" s="14" t="str">
        <f aca="false">IF(A498="","",IF(AND(L498&gt;=0,L498&lt;=Ayarlar!$B$9),"Evet",""))</f>
        <v/>
      </c>
      <c r="S498" s="16" t="str">
        <f aca="false">IF(A498="","",IF(N498="","Yeni personel",IF(P498&lt;0,"Kontrol et","")))</f>
        <v/>
      </c>
      <c r="T498" s="14" t="str">
        <f aca="false">IF(A498="","",IF(AND(G498=1,M498&gt;=Ayarlar!$B$6,OR(Ayarlar!$B$11="Tümü",C498=Ayarlar!$B$11)),M498+ROW()/100000,""))</f>
        <v/>
      </c>
    </row>
    <row r="499" customFormat="false" ht="15" hidden="false" customHeight="false" outlineLevel="0" collapsed="false">
      <c r="A499" s="18" t="str">
        <f aca="false">IF(Veri_Guncel!A499="","",Veri_Guncel!A499)</f>
        <v/>
      </c>
      <c r="B499" s="18" t="str">
        <f aca="false">IF($A499="","",Veri_Guncel!B499)</f>
        <v/>
      </c>
      <c r="C499" s="18" t="str">
        <f aca="false">IF($A499="","",Veri_Guncel!C499)</f>
        <v/>
      </c>
      <c r="D499" s="18" t="str">
        <f aca="false">IF($A499="","",Veri_Guncel!D499)</f>
        <v/>
      </c>
      <c r="E499" s="19" t="str">
        <f aca="false">IF($A499="","",Veri_Guncel!E499)</f>
        <v/>
      </c>
      <c r="F499" s="19" t="str">
        <f aca="false">IF($A499="","",Veri_Guncel!F499)</f>
        <v/>
      </c>
      <c r="G499" s="14" t="str">
        <f aca="false">IF(A499="","",IF(COUNTIF(Ayarlar!$A$15:$A$20,C499)&gt;0,1,0))</f>
        <v/>
      </c>
      <c r="H499" s="14" t="str">
        <f aca="false">IF(A499="","",DATEDIF(E499,Ayarlar!$B$3,"y"))</f>
        <v/>
      </c>
      <c r="I499" s="14" t="str">
        <f aca="false">IF(OR(A499="",F499=""),"",DATEDIF(F499,Ayarlar!$B$3,"y"))</f>
        <v/>
      </c>
      <c r="J499" s="14" t="str">
        <f aca="false">IF(A499="","",IF(H499&lt;1,0,MAX(IF(H499&lt;5,14,IF(H499&lt;15,20,26)),IF(AND(I499&lt;&gt;"",OR(I499&lt;=18,I499&gt;=50)),20,0))))</f>
        <v/>
      </c>
      <c r="K499" s="17" t="str">
        <f aca="false">IF(A499="","",EDATE(E499,12*(H499+1)))</f>
        <v/>
      </c>
      <c r="L499" s="14" t="str">
        <f aca="false">IF(A499="","",K499-Ayarlar!$B$3)</f>
        <v/>
      </c>
      <c r="M499" s="18" t="str">
        <f aca="false">IF(A499="","",Veri_Guncel!H499)</f>
        <v/>
      </c>
      <c r="N499" s="18" t="str">
        <f aca="false">IF(A499="","",IFERROR(INDEX(Veri_Onceki!$H:$H,MATCH(A499,Veri_Onceki!$A:$A,0)),""))</f>
        <v/>
      </c>
      <c r="O499" s="14" t="str">
        <f aca="false">IF(A499="","",IF(AND(H499&gt;=1,EDATE(E499,12*H499)&gt;Ayarlar!$B$4,EDATE(E499,12*H499)&lt;=Ayarlar!$B$3),J499,0))</f>
        <v/>
      </c>
      <c r="P499" s="14" t="str">
        <f aca="false">IF(OR(A499="",N499=""),"",N499+O499-M499)</f>
        <v/>
      </c>
      <c r="Q499" s="16" t="str">
        <f aca="false">IF(A499="","",IF(M499&gt;=Ayarlar!$B$7,"ALARM",IF(M499&gt;=Ayarlar!$B$6,"Planla","")))</f>
        <v/>
      </c>
      <c r="R499" s="14" t="str">
        <f aca="false">IF(A499="","",IF(AND(L499&gt;=0,L499&lt;=Ayarlar!$B$9),"Evet",""))</f>
        <v/>
      </c>
      <c r="S499" s="16" t="str">
        <f aca="false">IF(A499="","",IF(N499="","Yeni personel",IF(P499&lt;0,"Kontrol et","")))</f>
        <v/>
      </c>
      <c r="T499" s="14" t="str">
        <f aca="false">IF(A499="","",IF(AND(G499=1,M499&gt;=Ayarlar!$B$6,OR(Ayarlar!$B$11="Tümü",C499=Ayarlar!$B$11)),M499+ROW()/100000,""))</f>
        <v/>
      </c>
    </row>
    <row r="500" customFormat="false" ht="15" hidden="false" customHeight="false" outlineLevel="0" collapsed="false">
      <c r="A500" s="18" t="str">
        <f aca="false">IF(Veri_Guncel!A500="","",Veri_Guncel!A500)</f>
        <v/>
      </c>
      <c r="B500" s="18" t="str">
        <f aca="false">IF($A500="","",Veri_Guncel!B500)</f>
        <v/>
      </c>
      <c r="C500" s="18" t="str">
        <f aca="false">IF($A500="","",Veri_Guncel!C500)</f>
        <v/>
      </c>
      <c r="D500" s="18" t="str">
        <f aca="false">IF($A500="","",Veri_Guncel!D500)</f>
        <v/>
      </c>
      <c r="E500" s="19" t="str">
        <f aca="false">IF($A500="","",Veri_Guncel!E500)</f>
        <v/>
      </c>
      <c r="F500" s="19" t="str">
        <f aca="false">IF($A500="","",Veri_Guncel!F500)</f>
        <v/>
      </c>
      <c r="G500" s="14" t="str">
        <f aca="false">IF(A500="","",IF(COUNTIF(Ayarlar!$A$15:$A$20,C500)&gt;0,1,0))</f>
        <v/>
      </c>
      <c r="H500" s="14" t="str">
        <f aca="false">IF(A500="","",DATEDIF(E500,Ayarlar!$B$3,"y"))</f>
        <v/>
      </c>
      <c r="I500" s="14" t="str">
        <f aca="false">IF(OR(A500="",F500=""),"",DATEDIF(F500,Ayarlar!$B$3,"y"))</f>
        <v/>
      </c>
      <c r="J500" s="14" t="str">
        <f aca="false">IF(A500="","",IF(H500&lt;1,0,MAX(IF(H500&lt;5,14,IF(H500&lt;15,20,26)),IF(AND(I500&lt;&gt;"",OR(I500&lt;=18,I500&gt;=50)),20,0))))</f>
        <v/>
      </c>
      <c r="K500" s="17" t="str">
        <f aca="false">IF(A500="","",EDATE(E500,12*(H500+1)))</f>
        <v/>
      </c>
      <c r="L500" s="14" t="str">
        <f aca="false">IF(A500="","",K500-Ayarlar!$B$3)</f>
        <v/>
      </c>
      <c r="M500" s="18" t="str">
        <f aca="false">IF(A500="","",Veri_Guncel!H500)</f>
        <v/>
      </c>
      <c r="N500" s="18" t="str">
        <f aca="false">IF(A500="","",IFERROR(INDEX(Veri_Onceki!$H:$H,MATCH(A500,Veri_Onceki!$A:$A,0)),""))</f>
        <v/>
      </c>
      <c r="O500" s="14" t="str">
        <f aca="false">IF(A500="","",IF(AND(H500&gt;=1,EDATE(E500,12*H500)&gt;Ayarlar!$B$4,EDATE(E500,12*H500)&lt;=Ayarlar!$B$3),J500,0))</f>
        <v/>
      </c>
      <c r="P500" s="14" t="str">
        <f aca="false">IF(OR(A500="",N500=""),"",N500+O500-M500)</f>
        <v/>
      </c>
      <c r="Q500" s="16" t="str">
        <f aca="false">IF(A500="","",IF(M500&gt;=Ayarlar!$B$7,"ALARM",IF(M500&gt;=Ayarlar!$B$6,"Planla","")))</f>
        <v/>
      </c>
      <c r="R500" s="14" t="str">
        <f aca="false">IF(A500="","",IF(AND(L500&gt;=0,L500&lt;=Ayarlar!$B$9),"Evet",""))</f>
        <v/>
      </c>
      <c r="S500" s="16" t="str">
        <f aca="false">IF(A500="","",IF(N500="","Yeni personel",IF(P500&lt;0,"Kontrol et","")))</f>
        <v/>
      </c>
      <c r="T500" s="14" t="str">
        <f aca="false">IF(A500="","",IF(AND(G500=1,M500&gt;=Ayarlar!$B$6,OR(Ayarlar!$B$11="Tümü",C500=Ayarlar!$B$11)),M500+ROW()/100000,""))</f>
        <v/>
      </c>
    </row>
    <row r="501" customFormat="false" ht="15" hidden="false" customHeight="false" outlineLevel="0" collapsed="false">
      <c r="A501" s="18" t="str">
        <f aca="false">IF(Veri_Guncel!A501="","",Veri_Guncel!A501)</f>
        <v/>
      </c>
      <c r="B501" s="18" t="str">
        <f aca="false">IF($A501="","",Veri_Guncel!B501)</f>
        <v/>
      </c>
      <c r="C501" s="18" t="str">
        <f aca="false">IF($A501="","",Veri_Guncel!C501)</f>
        <v/>
      </c>
      <c r="D501" s="18" t="str">
        <f aca="false">IF($A501="","",Veri_Guncel!D501)</f>
        <v/>
      </c>
      <c r="E501" s="19" t="str">
        <f aca="false">IF($A501="","",Veri_Guncel!E501)</f>
        <v/>
      </c>
      <c r="F501" s="19" t="str">
        <f aca="false">IF($A501="","",Veri_Guncel!F501)</f>
        <v/>
      </c>
      <c r="G501" s="14" t="str">
        <f aca="false">IF(A501="","",IF(COUNTIF(Ayarlar!$A$15:$A$20,C501)&gt;0,1,0))</f>
        <v/>
      </c>
      <c r="H501" s="14" t="str">
        <f aca="false">IF(A501="","",DATEDIF(E501,Ayarlar!$B$3,"y"))</f>
        <v/>
      </c>
      <c r="I501" s="14" t="str">
        <f aca="false">IF(OR(A501="",F501=""),"",DATEDIF(F501,Ayarlar!$B$3,"y"))</f>
        <v/>
      </c>
      <c r="J501" s="14" t="str">
        <f aca="false">IF(A501="","",IF(H501&lt;1,0,MAX(IF(H501&lt;5,14,IF(H501&lt;15,20,26)),IF(AND(I501&lt;&gt;"",OR(I501&lt;=18,I501&gt;=50)),20,0))))</f>
        <v/>
      </c>
      <c r="K501" s="17" t="str">
        <f aca="false">IF(A501="","",EDATE(E501,12*(H501+1)))</f>
        <v/>
      </c>
      <c r="L501" s="14" t="str">
        <f aca="false">IF(A501="","",K501-Ayarlar!$B$3)</f>
        <v/>
      </c>
      <c r="M501" s="18" t="str">
        <f aca="false">IF(A501="","",Veri_Guncel!H501)</f>
        <v/>
      </c>
      <c r="N501" s="18" t="str">
        <f aca="false">IF(A501="","",IFERROR(INDEX(Veri_Onceki!$H:$H,MATCH(A501,Veri_Onceki!$A:$A,0)),""))</f>
        <v/>
      </c>
      <c r="O501" s="14" t="str">
        <f aca="false">IF(A501="","",IF(AND(H501&gt;=1,EDATE(E501,12*H501)&gt;Ayarlar!$B$4,EDATE(E501,12*H501)&lt;=Ayarlar!$B$3),J501,0))</f>
        <v/>
      </c>
      <c r="P501" s="14" t="str">
        <f aca="false">IF(OR(A501="",N501=""),"",N501+O501-M501)</f>
        <v/>
      </c>
      <c r="Q501" s="16" t="str">
        <f aca="false">IF(A501="","",IF(M501&gt;=Ayarlar!$B$7,"ALARM",IF(M501&gt;=Ayarlar!$B$6,"Planla","")))</f>
        <v/>
      </c>
      <c r="R501" s="14" t="str">
        <f aca="false">IF(A501="","",IF(AND(L501&gt;=0,L501&lt;=Ayarlar!$B$9),"Evet",""))</f>
        <v/>
      </c>
      <c r="S501" s="16" t="str">
        <f aca="false">IF(A501="","",IF(N501="","Yeni personel",IF(P501&lt;0,"Kontrol et","")))</f>
        <v/>
      </c>
      <c r="T501" s="14" t="str">
        <f aca="false">IF(A501="","",IF(AND(G501=1,M501&gt;=Ayarlar!$B$6,OR(Ayarlar!$B$11="Tümü",C501=Ayarlar!$B$11)),M501+ROW()/100000,""))</f>
        <v/>
      </c>
    </row>
  </sheetData>
  <conditionalFormatting sqref="Q2:Q501">
    <cfRule type="expression" priority="2" aboveAverage="0" equalAverage="0" bottom="0" percent="0" rank="0" text="" dxfId="2">
      <formula>Q2="ALARM"</formula>
    </cfRule>
    <cfRule type="expression" priority="3" aboveAverage="0" equalAverage="0" bottom="0" percent="0" rank="0" text="" dxfId="1">
      <formula>Q2="Planla"</formula>
    </cfRule>
  </conditionalFormatting>
  <conditionalFormatting sqref="S2:S501">
    <cfRule type="expression" priority="4" aboveAverage="0" equalAverage="0" bottom="0" percent="0" rank="0" text="" dxfId="2">
      <formula>S2="Kontrol 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4" t="s">
        <v>55</v>
      </c>
      <c r="B3" s="20" t="n">
        <v>46279</v>
      </c>
    </row>
    <row r="4" customFormat="false" ht="15" hidden="false" customHeight="false" outlineLevel="0" collapsed="false">
      <c r="A4" s="4" t="s">
        <v>56</v>
      </c>
      <c r="B4" s="20" t="n">
        <v>46234</v>
      </c>
    </row>
    <row r="6" customFormat="false" ht="15" hidden="false" customHeight="false" outlineLevel="0" collapsed="false">
      <c r="A6" s="4" t="s">
        <v>57</v>
      </c>
      <c r="B6" s="21" t="n">
        <v>14</v>
      </c>
      <c r="C6" s="22" t="s">
        <v>58</v>
      </c>
    </row>
    <row r="7" customFormat="false" ht="15" hidden="false" customHeight="false" outlineLevel="0" collapsed="false">
      <c r="A7" s="4" t="s">
        <v>59</v>
      </c>
      <c r="B7" s="21" t="n">
        <v>20</v>
      </c>
    </row>
    <row r="8" customFormat="false" ht="15" hidden="false" customHeight="false" outlineLevel="0" collapsed="false">
      <c r="A8" s="4" t="s">
        <v>60</v>
      </c>
      <c r="B8" s="21" t="n">
        <v>5</v>
      </c>
      <c r="C8" s="22" t="s">
        <v>61</v>
      </c>
    </row>
    <row r="9" customFormat="false" ht="15" hidden="false" customHeight="false" outlineLevel="0" collapsed="false">
      <c r="A9" s="4" t="s">
        <v>62</v>
      </c>
      <c r="B9" s="21" t="n">
        <v>60</v>
      </c>
    </row>
    <row r="11" customFormat="false" ht="15" hidden="false" customHeight="false" outlineLevel="0" collapsed="false">
      <c r="A11" s="4" t="s">
        <v>63</v>
      </c>
      <c r="B11" s="23" t="s">
        <v>64</v>
      </c>
      <c r="C11" s="22" t="s">
        <v>65</v>
      </c>
    </row>
    <row r="14" customFormat="false" ht="15" hidden="false" customHeight="false" outlineLevel="0" collapsed="false">
      <c r="A14" s="4" t="s">
        <v>66</v>
      </c>
      <c r="E14" s="24" t="s">
        <v>67</v>
      </c>
    </row>
    <row r="15" customFormat="false" ht="15" hidden="false" customHeight="false" outlineLevel="0" collapsed="false">
      <c r="A15" s="21" t="s">
        <v>68</v>
      </c>
      <c r="B15" s="22" t="s">
        <v>69</v>
      </c>
      <c r="E15" s="24" t="s">
        <v>64</v>
      </c>
    </row>
    <row r="16" customFormat="false" ht="15" hidden="false" customHeight="false" outlineLevel="0" collapsed="false">
      <c r="A16" s="21" t="s">
        <v>70</v>
      </c>
      <c r="E16" s="24" t="str">
        <f aca="false">A15</f>
        <v>Bölge 1</v>
      </c>
    </row>
    <row r="17" customFormat="false" ht="15" hidden="false" customHeight="false" outlineLevel="0" collapsed="false">
      <c r="A17" s="21" t="s">
        <v>71</v>
      </c>
      <c r="E17" s="24" t="str">
        <f aca="false">A16</f>
        <v>Bölge 2</v>
      </c>
    </row>
    <row r="18" customFormat="false" ht="15" hidden="false" customHeight="false" outlineLevel="0" collapsed="false">
      <c r="A18" s="21" t="s">
        <v>72</v>
      </c>
      <c r="E18" s="24" t="str">
        <f aca="false">A17</f>
        <v>Bölge 3</v>
      </c>
    </row>
    <row r="19" customFormat="false" ht="15" hidden="false" customHeight="false" outlineLevel="0" collapsed="false">
      <c r="A19" s="21" t="s">
        <v>73</v>
      </c>
      <c r="E19" s="24" t="str">
        <f aca="false">A18</f>
        <v>Bölge 4</v>
      </c>
    </row>
    <row r="20" customFormat="false" ht="15" hidden="false" customHeight="false" outlineLevel="0" collapsed="false">
      <c r="A20" s="21" t="s">
        <v>74</v>
      </c>
      <c r="E20" s="24" t="str">
        <f aca="false">A19</f>
        <v>Bölge 5</v>
      </c>
    </row>
    <row r="21" customFormat="false" ht="15" hidden="false" customHeight="false" outlineLevel="0" collapsed="false">
      <c r="E21" s="24" t="str">
        <f aca="false">A20</f>
        <v>Bölge 6</v>
      </c>
    </row>
  </sheetData>
  <dataValidations count="1">
    <dataValidation allowBlank="false" errorStyle="stop" operator="between" showDropDown="false" showErrorMessage="false" showInputMessage="false" sqref="B11" type="list">
      <formula1>$E$15:$E$21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9" min="8" style="0" width="14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14</v>
      </c>
      <c r="D1" s="5" t="s">
        <v>34</v>
      </c>
      <c r="E1" s="5" t="s">
        <v>75</v>
      </c>
      <c r="F1" s="5" t="s">
        <v>41</v>
      </c>
      <c r="G1" s="5" t="s">
        <v>76</v>
      </c>
      <c r="H1" s="5" t="s">
        <v>77</v>
      </c>
    </row>
    <row r="2" customFormat="false" ht="15" hidden="false" customHeight="false" outlineLevel="0" collapsed="false">
      <c r="A2" s="25" t="s">
        <v>78</v>
      </c>
      <c r="B2" s="25" t="s">
        <v>79</v>
      </c>
      <c r="C2" s="25" t="s">
        <v>68</v>
      </c>
      <c r="D2" s="25" t="s">
        <v>80</v>
      </c>
      <c r="E2" s="26" t="n">
        <v>45606</v>
      </c>
      <c r="F2" s="26" t="n">
        <v>37372</v>
      </c>
      <c r="G2" s="25" t="s">
        <v>81</v>
      </c>
      <c r="H2" s="25" t="n">
        <v>14</v>
      </c>
    </row>
    <row r="3" customFormat="false" ht="15" hidden="false" customHeight="false" outlineLevel="0" collapsed="false">
      <c r="A3" s="25" t="s">
        <v>82</v>
      </c>
      <c r="B3" s="25" t="s">
        <v>83</v>
      </c>
      <c r="C3" s="25" t="s">
        <v>68</v>
      </c>
      <c r="D3" s="25" t="s">
        <v>80</v>
      </c>
      <c r="E3" s="26" t="n">
        <v>43101</v>
      </c>
      <c r="F3" s="26" t="n">
        <v>34986</v>
      </c>
      <c r="G3" s="25" t="s">
        <v>84</v>
      </c>
      <c r="H3" s="25" t="n">
        <v>2</v>
      </c>
    </row>
    <row r="4" customFormat="false" ht="15" hidden="false" customHeight="false" outlineLevel="0" collapsed="false">
      <c r="A4" s="25" t="s">
        <v>85</v>
      </c>
      <c r="B4" s="25" t="s">
        <v>86</v>
      </c>
      <c r="C4" s="25" t="s">
        <v>68</v>
      </c>
      <c r="D4" s="25" t="s">
        <v>80</v>
      </c>
      <c r="E4" s="26" t="n">
        <v>43436</v>
      </c>
      <c r="F4" s="26" t="n">
        <v>36519</v>
      </c>
      <c r="G4" s="25" t="s">
        <v>87</v>
      </c>
      <c r="H4" s="25" t="n">
        <v>12</v>
      </c>
    </row>
    <row r="5" customFormat="false" ht="15" hidden="false" customHeight="false" outlineLevel="0" collapsed="false">
      <c r="A5" s="25" t="s">
        <v>88</v>
      </c>
      <c r="B5" s="25" t="s">
        <v>89</v>
      </c>
      <c r="C5" s="25" t="s">
        <v>68</v>
      </c>
      <c r="D5" s="25" t="s">
        <v>80</v>
      </c>
      <c r="E5" s="26" t="n">
        <v>41078</v>
      </c>
      <c r="F5" s="26" t="n">
        <v>37959</v>
      </c>
      <c r="G5" s="25" t="s">
        <v>87</v>
      </c>
      <c r="H5" s="25" t="n">
        <v>19</v>
      </c>
    </row>
    <row r="6" customFormat="false" ht="15" hidden="false" customHeight="false" outlineLevel="0" collapsed="false">
      <c r="A6" s="25" t="s">
        <v>90</v>
      </c>
      <c r="B6" s="25" t="s">
        <v>91</v>
      </c>
      <c r="C6" s="25" t="s">
        <v>68</v>
      </c>
      <c r="D6" s="25" t="s">
        <v>80</v>
      </c>
      <c r="E6" s="26" t="n">
        <v>42365</v>
      </c>
      <c r="F6" s="26" t="n">
        <v>28182</v>
      </c>
      <c r="G6" s="25" t="s">
        <v>87</v>
      </c>
      <c r="H6" s="25" t="n">
        <v>0</v>
      </c>
    </row>
    <row r="7" customFormat="false" ht="15" hidden="false" customHeight="false" outlineLevel="0" collapsed="false">
      <c r="A7" s="25" t="s">
        <v>92</v>
      </c>
      <c r="B7" s="25" t="s">
        <v>93</v>
      </c>
      <c r="C7" s="25" t="s">
        <v>68</v>
      </c>
      <c r="D7" s="25" t="s">
        <v>80</v>
      </c>
      <c r="E7" s="26" t="n">
        <v>44393</v>
      </c>
      <c r="F7" s="26" t="n">
        <v>29667</v>
      </c>
      <c r="G7" s="25" t="s">
        <v>87</v>
      </c>
      <c r="H7" s="25" t="n">
        <v>0</v>
      </c>
    </row>
    <row r="8" customFormat="false" ht="15" hidden="false" customHeight="false" outlineLevel="0" collapsed="false">
      <c r="A8" s="25" t="s">
        <v>94</v>
      </c>
      <c r="B8" s="25" t="s">
        <v>95</v>
      </c>
      <c r="C8" s="25" t="s">
        <v>68</v>
      </c>
      <c r="D8" s="25" t="s">
        <v>80</v>
      </c>
      <c r="E8" s="26" t="n">
        <v>41371</v>
      </c>
      <c r="F8" s="26" t="n">
        <v>27808</v>
      </c>
      <c r="G8" s="25" t="s">
        <v>84</v>
      </c>
      <c r="H8" s="25" t="n">
        <v>14</v>
      </c>
    </row>
    <row r="9" customFormat="false" ht="15" hidden="false" customHeight="false" outlineLevel="0" collapsed="false">
      <c r="A9" s="25" t="s">
        <v>96</v>
      </c>
      <c r="B9" s="25" t="s">
        <v>97</v>
      </c>
      <c r="C9" s="25" t="s">
        <v>68</v>
      </c>
      <c r="D9" s="25" t="s">
        <v>80</v>
      </c>
      <c r="E9" s="26" t="n">
        <v>42891</v>
      </c>
      <c r="F9" s="26" t="n">
        <v>38908</v>
      </c>
      <c r="G9" s="25" t="s">
        <v>81</v>
      </c>
      <c r="H9" s="25" t="n">
        <v>10</v>
      </c>
    </row>
    <row r="10" customFormat="false" ht="15" hidden="false" customHeight="false" outlineLevel="0" collapsed="false">
      <c r="A10" s="25" t="s">
        <v>98</v>
      </c>
      <c r="B10" s="25" t="s">
        <v>99</v>
      </c>
      <c r="C10" s="25" t="s">
        <v>68</v>
      </c>
      <c r="D10" s="25" t="s">
        <v>100</v>
      </c>
      <c r="E10" s="26" t="n">
        <v>46212</v>
      </c>
      <c r="F10" s="26" t="n">
        <v>26701</v>
      </c>
      <c r="G10" s="25" t="s">
        <v>84</v>
      </c>
      <c r="H10" s="25" t="n">
        <v>0</v>
      </c>
    </row>
    <row r="11" customFormat="false" ht="15" hidden="false" customHeight="false" outlineLevel="0" collapsed="false">
      <c r="A11" s="25" t="s">
        <v>101</v>
      </c>
      <c r="B11" s="25" t="s">
        <v>102</v>
      </c>
      <c r="C11" s="25" t="s">
        <v>68</v>
      </c>
      <c r="D11" s="25" t="s">
        <v>100</v>
      </c>
      <c r="E11" s="26" t="n">
        <v>40758</v>
      </c>
      <c r="F11" s="26" t="n">
        <v>39379</v>
      </c>
      <c r="G11" s="25" t="s">
        <v>84</v>
      </c>
      <c r="H11" s="25" t="n">
        <v>15</v>
      </c>
    </row>
    <row r="12" customFormat="false" ht="15" hidden="false" customHeight="false" outlineLevel="0" collapsed="false">
      <c r="A12" s="25" t="s">
        <v>103</v>
      </c>
      <c r="B12" s="25" t="s">
        <v>104</v>
      </c>
      <c r="C12" s="25" t="s">
        <v>68</v>
      </c>
      <c r="D12" s="25" t="s">
        <v>100</v>
      </c>
      <c r="E12" s="26" t="n">
        <v>41720</v>
      </c>
      <c r="F12" s="26" t="n">
        <v>30267</v>
      </c>
      <c r="G12" s="25" t="s">
        <v>84</v>
      </c>
      <c r="H12" s="25" t="n">
        <v>28</v>
      </c>
    </row>
    <row r="13" customFormat="false" ht="15" hidden="false" customHeight="false" outlineLevel="0" collapsed="false">
      <c r="A13" s="25" t="s">
        <v>105</v>
      </c>
      <c r="B13" s="25" t="s">
        <v>106</v>
      </c>
      <c r="C13" s="25" t="s">
        <v>68</v>
      </c>
      <c r="D13" s="25" t="s">
        <v>100</v>
      </c>
      <c r="E13" s="26" t="n">
        <v>43925</v>
      </c>
      <c r="F13" s="26" t="n">
        <v>30009</v>
      </c>
      <c r="G13" s="25" t="s">
        <v>87</v>
      </c>
      <c r="H13" s="25" t="n">
        <v>4</v>
      </c>
    </row>
    <row r="14" customFormat="false" ht="15" hidden="false" customHeight="false" outlineLevel="0" collapsed="false">
      <c r="A14" s="25" t="s">
        <v>107</v>
      </c>
      <c r="B14" s="25" t="s">
        <v>108</v>
      </c>
      <c r="C14" s="25" t="s">
        <v>68</v>
      </c>
      <c r="D14" s="25" t="s">
        <v>100</v>
      </c>
      <c r="E14" s="26" t="n">
        <v>42676</v>
      </c>
      <c r="F14" s="26" t="n">
        <v>38664</v>
      </c>
      <c r="G14" s="25" t="s">
        <v>81</v>
      </c>
      <c r="H14" s="25" t="n">
        <v>12</v>
      </c>
    </row>
    <row r="15" customFormat="false" ht="15" hidden="false" customHeight="false" outlineLevel="0" collapsed="false">
      <c r="A15" s="25" t="s">
        <v>109</v>
      </c>
      <c r="B15" s="25" t="s">
        <v>110</v>
      </c>
      <c r="C15" s="25" t="s">
        <v>68</v>
      </c>
      <c r="D15" s="25" t="s">
        <v>100</v>
      </c>
      <c r="E15" s="26" t="n">
        <v>44790</v>
      </c>
      <c r="F15" s="26" t="n">
        <v>35377</v>
      </c>
      <c r="G15" s="25" t="s">
        <v>81</v>
      </c>
      <c r="H15" s="25" t="n">
        <v>6</v>
      </c>
    </row>
    <row r="16" customFormat="false" ht="15" hidden="false" customHeight="false" outlineLevel="0" collapsed="false">
      <c r="A16" s="25" t="s">
        <v>111</v>
      </c>
      <c r="B16" s="25" t="s">
        <v>112</v>
      </c>
      <c r="C16" s="25" t="s">
        <v>68</v>
      </c>
      <c r="D16" s="25" t="s">
        <v>100</v>
      </c>
      <c r="E16" s="26" t="n">
        <v>45863</v>
      </c>
      <c r="F16" s="26" t="n">
        <v>37283</v>
      </c>
      <c r="G16" s="25" t="s">
        <v>81</v>
      </c>
      <c r="H16" s="25" t="n">
        <v>8</v>
      </c>
    </row>
    <row r="17" customFormat="false" ht="15" hidden="false" customHeight="false" outlineLevel="0" collapsed="false">
      <c r="A17" s="25" t="s">
        <v>113</v>
      </c>
      <c r="B17" s="25" t="s">
        <v>114</v>
      </c>
      <c r="C17" s="25" t="s">
        <v>68</v>
      </c>
      <c r="D17" s="25" t="s">
        <v>115</v>
      </c>
      <c r="E17" s="26" t="n">
        <v>41098</v>
      </c>
      <c r="F17" s="26" t="n">
        <v>30135</v>
      </c>
      <c r="G17" s="25" t="s">
        <v>84</v>
      </c>
      <c r="H17" s="25" t="n">
        <v>28</v>
      </c>
    </row>
    <row r="18" customFormat="false" ht="15" hidden="false" customHeight="false" outlineLevel="0" collapsed="false">
      <c r="A18" s="25" t="s">
        <v>116</v>
      </c>
      <c r="B18" s="25" t="s">
        <v>117</v>
      </c>
      <c r="C18" s="25" t="s">
        <v>68</v>
      </c>
      <c r="D18" s="25" t="s">
        <v>115</v>
      </c>
      <c r="E18" s="26" t="n">
        <v>42362</v>
      </c>
      <c r="F18" s="26" t="n">
        <v>37265</v>
      </c>
      <c r="G18" s="25" t="s">
        <v>81</v>
      </c>
      <c r="H18" s="25" t="n">
        <v>4</v>
      </c>
    </row>
    <row r="19" customFormat="false" ht="15" hidden="false" customHeight="false" outlineLevel="0" collapsed="false">
      <c r="A19" s="25" t="s">
        <v>118</v>
      </c>
      <c r="B19" s="25" t="s">
        <v>119</v>
      </c>
      <c r="C19" s="25" t="s">
        <v>68</v>
      </c>
      <c r="D19" s="25" t="s">
        <v>115</v>
      </c>
      <c r="E19" s="26" t="n">
        <v>40660</v>
      </c>
      <c r="F19" s="26" t="n">
        <v>34770</v>
      </c>
      <c r="G19" s="25" t="s">
        <v>84</v>
      </c>
      <c r="H19" s="25" t="n">
        <v>17</v>
      </c>
    </row>
    <row r="20" customFormat="false" ht="15" hidden="false" customHeight="false" outlineLevel="0" collapsed="false">
      <c r="A20" s="25" t="s">
        <v>120</v>
      </c>
      <c r="B20" s="25" t="s">
        <v>121</v>
      </c>
      <c r="C20" s="25" t="s">
        <v>68</v>
      </c>
      <c r="D20" s="25" t="s">
        <v>115</v>
      </c>
      <c r="E20" s="26" t="n">
        <v>46147</v>
      </c>
      <c r="F20" s="26" t="n">
        <v>38999</v>
      </c>
      <c r="G20" s="25" t="s">
        <v>87</v>
      </c>
      <c r="H20" s="25" t="n">
        <v>0</v>
      </c>
    </row>
    <row r="21" customFormat="false" ht="15" hidden="false" customHeight="false" outlineLevel="0" collapsed="false">
      <c r="A21" s="25" t="s">
        <v>122</v>
      </c>
      <c r="B21" s="25" t="s">
        <v>123</v>
      </c>
      <c r="C21" s="25" t="s">
        <v>68</v>
      </c>
      <c r="D21" s="25" t="s">
        <v>115</v>
      </c>
      <c r="E21" s="26" t="n">
        <v>45235</v>
      </c>
      <c r="F21" s="26" t="n">
        <v>26803</v>
      </c>
      <c r="G21" s="25" t="s">
        <v>87</v>
      </c>
      <c r="H21" s="25" t="n">
        <v>10</v>
      </c>
    </row>
    <row r="22" customFormat="false" ht="15" hidden="false" customHeight="false" outlineLevel="0" collapsed="false">
      <c r="A22" s="25" t="s">
        <v>124</v>
      </c>
      <c r="B22" s="25" t="s">
        <v>125</v>
      </c>
      <c r="C22" s="25" t="s">
        <v>68</v>
      </c>
      <c r="D22" s="25" t="s">
        <v>115</v>
      </c>
      <c r="E22" s="26" t="n">
        <v>45434</v>
      </c>
      <c r="F22" s="26" t="n">
        <v>35494</v>
      </c>
      <c r="G22" s="25" t="s">
        <v>87</v>
      </c>
      <c r="H22" s="25" t="n">
        <v>4</v>
      </c>
    </row>
    <row r="23" customFormat="false" ht="15" hidden="false" customHeight="false" outlineLevel="0" collapsed="false">
      <c r="A23" s="25" t="s">
        <v>126</v>
      </c>
      <c r="B23" s="25" t="s">
        <v>127</v>
      </c>
      <c r="C23" s="25" t="s">
        <v>68</v>
      </c>
      <c r="D23" s="25" t="s">
        <v>115</v>
      </c>
      <c r="E23" s="26" t="n">
        <v>41699</v>
      </c>
      <c r="F23" s="26" t="n">
        <v>36588</v>
      </c>
      <c r="G23" s="25" t="s">
        <v>81</v>
      </c>
      <c r="H23" s="25" t="n">
        <v>28</v>
      </c>
    </row>
    <row r="24" customFormat="false" ht="15" hidden="false" customHeight="false" outlineLevel="0" collapsed="false">
      <c r="A24" s="25" t="s">
        <v>128</v>
      </c>
      <c r="B24" s="25" t="s">
        <v>129</v>
      </c>
      <c r="C24" s="25" t="s">
        <v>70</v>
      </c>
      <c r="D24" s="25" t="s">
        <v>130</v>
      </c>
      <c r="E24" s="26" t="n">
        <v>44393</v>
      </c>
      <c r="F24" s="26" t="n">
        <v>31691</v>
      </c>
      <c r="G24" s="25" t="s">
        <v>87</v>
      </c>
      <c r="H24" s="25" t="n">
        <v>4</v>
      </c>
    </row>
    <row r="25" customFormat="false" ht="15" hidden="false" customHeight="false" outlineLevel="0" collapsed="false">
      <c r="A25" s="25" t="s">
        <v>131</v>
      </c>
      <c r="B25" s="25" t="s">
        <v>132</v>
      </c>
      <c r="C25" s="25" t="s">
        <v>70</v>
      </c>
      <c r="D25" s="25" t="s">
        <v>130</v>
      </c>
      <c r="E25" s="26" t="n">
        <v>43093</v>
      </c>
      <c r="F25" s="26" t="n">
        <v>39102</v>
      </c>
      <c r="G25" s="25" t="s">
        <v>81</v>
      </c>
      <c r="H25" s="25" t="n">
        <v>21</v>
      </c>
    </row>
    <row r="26" customFormat="false" ht="15" hidden="false" customHeight="false" outlineLevel="0" collapsed="false">
      <c r="A26" s="25" t="s">
        <v>133</v>
      </c>
      <c r="B26" s="25" t="s">
        <v>134</v>
      </c>
      <c r="C26" s="25" t="s">
        <v>70</v>
      </c>
      <c r="D26" s="25" t="s">
        <v>130</v>
      </c>
      <c r="E26" s="26" t="n">
        <v>40739</v>
      </c>
      <c r="F26" s="26" t="n">
        <v>27966</v>
      </c>
      <c r="G26" s="25" t="s">
        <v>81</v>
      </c>
      <c r="H26" s="25" t="n">
        <v>17</v>
      </c>
    </row>
    <row r="27" customFormat="false" ht="15" hidden="false" customHeight="false" outlineLevel="0" collapsed="false">
      <c r="A27" s="25" t="s">
        <v>135</v>
      </c>
      <c r="B27" s="25" t="s">
        <v>136</v>
      </c>
      <c r="C27" s="25" t="s">
        <v>70</v>
      </c>
      <c r="D27" s="25" t="s">
        <v>130</v>
      </c>
      <c r="E27" s="26" t="n">
        <v>43819</v>
      </c>
      <c r="F27" s="26" t="n">
        <v>33940</v>
      </c>
      <c r="G27" s="25" t="s">
        <v>87</v>
      </c>
      <c r="H27" s="25" t="n">
        <v>6</v>
      </c>
    </row>
    <row r="28" customFormat="false" ht="15" hidden="false" customHeight="false" outlineLevel="0" collapsed="false">
      <c r="A28" s="25" t="s">
        <v>137</v>
      </c>
      <c r="B28" s="25" t="s">
        <v>138</v>
      </c>
      <c r="C28" s="25" t="s">
        <v>70</v>
      </c>
      <c r="D28" s="25" t="s">
        <v>130</v>
      </c>
      <c r="E28" s="26" t="n">
        <v>44175</v>
      </c>
      <c r="F28" s="26" t="n">
        <v>38246</v>
      </c>
      <c r="G28" s="25" t="s">
        <v>84</v>
      </c>
      <c r="H28" s="25" t="n">
        <v>17</v>
      </c>
    </row>
    <row r="29" customFormat="false" ht="15" hidden="false" customHeight="false" outlineLevel="0" collapsed="false">
      <c r="A29" s="25" t="s">
        <v>139</v>
      </c>
      <c r="B29" s="25" t="s">
        <v>140</v>
      </c>
      <c r="C29" s="25" t="s">
        <v>70</v>
      </c>
      <c r="D29" s="25" t="s">
        <v>130</v>
      </c>
      <c r="E29" s="26" t="n">
        <v>44449</v>
      </c>
      <c r="F29" s="26" t="n">
        <v>33227</v>
      </c>
      <c r="G29" s="25" t="s">
        <v>81</v>
      </c>
      <c r="H29" s="25" t="n">
        <v>15</v>
      </c>
    </row>
    <row r="30" customFormat="false" ht="15" hidden="false" customHeight="false" outlineLevel="0" collapsed="false">
      <c r="A30" s="25" t="s">
        <v>141</v>
      </c>
      <c r="B30" s="25" t="s">
        <v>142</v>
      </c>
      <c r="C30" s="25" t="s">
        <v>70</v>
      </c>
      <c r="D30" s="25" t="s">
        <v>130</v>
      </c>
      <c r="E30" s="26" t="n">
        <v>41574</v>
      </c>
      <c r="F30" s="26" t="n">
        <v>33706</v>
      </c>
      <c r="G30" s="25" t="s">
        <v>87</v>
      </c>
      <c r="H30" s="25" t="n">
        <v>2</v>
      </c>
    </row>
    <row r="31" customFormat="false" ht="15" hidden="false" customHeight="false" outlineLevel="0" collapsed="false">
      <c r="A31" s="25" t="s">
        <v>143</v>
      </c>
      <c r="B31" s="25" t="s">
        <v>144</v>
      </c>
      <c r="C31" s="25" t="s">
        <v>70</v>
      </c>
      <c r="D31" s="25" t="s">
        <v>145</v>
      </c>
      <c r="E31" s="26" t="n">
        <v>41581</v>
      </c>
      <c r="F31" s="26" t="n">
        <v>36789</v>
      </c>
      <c r="G31" s="25" t="s">
        <v>87</v>
      </c>
      <c r="H31" s="25" t="n">
        <v>0</v>
      </c>
    </row>
    <row r="32" customFormat="false" ht="15" hidden="false" customHeight="false" outlineLevel="0" collapsed="false">
      <c r="A32" s="25" t="s">
        <v>146</v>
      </c>
      <c r="B32" s="25" t="s">
        <v>147</v>
      </c>
      <c r="C32" s="25" t="s">
        <v>70</v>
      </c>
      <c r="D32" s="25" t="s">
        <v>145</v>
      </c>
      <c r="E32" s="26" t="n">
        <v>46060</v>
      </c>
      <c r="F32" s="26" t="n">
        <v>35469</v>
      </c>
      <c r="G32" s="25" t="s">
        <v>84</v>
      </c>
      <c r="H32" s="25" t="n">
        <v>0</v>
      </c>
    </row>
    <row r="33" customFormat="false" ht="15" hidden="false" customHeight="false" outlineLevel="0" collapsed="false">
      <c r="A33" s="25" t="s">
        <v>148</v>
      </c>
      <c r="B33" s="25" t="s">
        <v>149</v>
      </c>
      <c r="C33" s="25" t="s">
        <v>70</v>
      </c>
      <c r="D33" s="25" t="s">
        <v>145</v>
      </c>
      <c r="E33" s="26" t="n">
        <v>45299</v>
      </c>
      <c r="F33" s="26" t="n">
        <v>32861</v>
      </c>
      <c r="G33" s="25" t="s">
        <v>87</v>
      </c>
      <c r="H33" s="25" t="n">
        <v>28</v>
      </c>
    </row>
    <row r="34" customFormat="false" ht="15" hidden="false" customHeight="false" outlineLevel="0" collapsed="false">
      <c r="A34" s="25" t="s">
        <v>150</v>
      </c>
      <c r="B34" s="25" t="s">
        <v>151</v>
      </c>
      <c r="C34" s="25" t="s">
        <v>70</v>
      </c>
      <c r="D34" s="25" t="s">
        <v>145</v>
      </c>
      <c r="E34" s="26" t="n">
        <v>45760</v>
      </c>
      <c r="F34" s="26" t="n">
        <v>35232</v>
      </c>
      <c r="G34" s="25" t="s">
        <v>81</v>
      </c>
      <c r="H34" s="25" t="n">
        <v>6</v>
      </c>
    </row>
    <row r="35" customFormat="false" ht="15" hidden="false" customHeight="false" outlineLevel="0" collapsed="false">
      <c r="A35" s="25" t="s">
        <v>152</v>
      </c>
      <c r="B35" s="25" t="s">
        <v>153</v>
      </c>
      <c r="C35" s="25" t="s">
        <v>70</v>
      </c>
      <c r="D35" s="25" t="s">
        <v>145</v>
      </c>
      <c r="E35" s="26" t="n">
        <v>41127</v>
      </c>
      <c r="F35" s="26" t="n">
        <v>37795</v>
      </c>
      <c r="G35" s="25" t="s">
        <v>84</v>
      </c>
      <c r="H35" s="25" t="n">
        <v>17</v>
      </c>
    </row>
    <row r="36" customFormat="false" ht="15" hidden="false" customHeight="false" outlineLevel="0" collapsed="false">
      <c r="A36" s="25" t="s">
        <v>154</v>
      </c>
      <c r="B36" s="25" t="s">
        <v>155</v>
      </c>
      <c r="C36" s="25" t="s">
        <v>70</v>
      </c>
      <c r="D36" s="25" t="s">
        <v>156</v>
      </c>
      <c r="E36" s="26" t="n">
        <v>43328</v>
      </c>
      <c r="F36" s="26" t="n">
        <v>35205</v>
      </c>
      <c r="G36" s="25" t="s">
        <v>84</v>
      </c>
      <c r="H36" s="25" t="n">
        <v>12</v>
      </c>
    </row>
    <row r="37" customFormat="false" ht="15" hidden="false" customHeight="false" outlineLevel="0" collapsed="false">
      <c r="A37" s="25" t="s">
        <v>157</v>
      </c>
      <c r="B37" s="25" t="s">
        <v>158</v>
      </c>
      <c r="C37" s="25" t="s">
        <v>70</v>
      </c>
      <c r="D37" s="25" t="s">
        <v>156</v>
      </c>
      <c r="E37" s="26" t="n">
        <v>42528</v>
      </c>
      <c r="F37" s="26" t="n">
        <v>33442</v>
      </c>
      <c r="G37" s="25" t="s">
        <v>81</v>
      </c>
      <c r="H37" s="25" t="n">
        <v>4</v>
      </c>
    </row>
    <row r="38" customFormat="false" ht="15" hidden="false" customHeight="false" outlineLevel="0" collapsed="false">
      <c r="A38" s="25" t="s">
        <v>159</v>
      </c>
      <c r="B38" s="25" t="s">
        <v>160</v>
      </c>
      <c r="C38" s="25" t="s">
        <v>70</v>
      </c>
      <c r="D38" s="25" t="s">
        <v>156</v>
      </c>
      <c r="E38" s="26" t="n">
        <v>41527</v>
      </c>
      <c r="F38" s="26" t="n">
        <v>35423</v>
      </c>
      <c r="G38" s="25" t="s">
        <v>87</v>
      </c>
      <c r="H38" s="25" t="n">
        <v>14</v>
      </c>
    </row>
    <row r="39" customFormat="false" ht="15" hidden="false" customHeight="false" outlineLevel="0" collapsed="false">
      <c r="A39" s="25" t="s">
        <v>161</v>
      </c>
      <c r="B39" s="25" t="s">
        <v>162</v>
      </c>
      <c r="C39" s="25" t="s">
        <v>70</v>
      </c>
      <c r="D39" s="25" t="s">
        <v>156</v>
      </c>
      <c r="E39" s="26" t="n">
        <v>45404</v>
      </c>
      <c r="F39" s="26" t="n">
        <v>34141</v>
      </c>
      <c r="G39" s="25" t="s">
        <v>87</v>
      </c>
      <c r="H39" s="25" t="n">
        <v>17</v>
      </c>
    </row>
    <row r="40" customFormat="false" ht="15" hidden="false" customHeight="false" outlineLevel="0" collapsed="false">
      <c r="A40" s="25" t="s">
        <v>163</v>
      </c>
      <c r="B40" s="25" t="s">
        <v>164</v>
      </c>
      <c r="C40" s="25" t="s">
        <v>70</v>
      </c>
      <c r="D40" s="25" t="s">
        <v>156</v>
      </c>
      <c r="E40" s="26" t="n">
        <v>43497</v>
      </c>
      <c r="F40" s="26" t="n">
        <v>33856</v>
      </c>
      <c r="G40" s="25" t="s">
        <v>87</v>
      </c>
      <c r="H40" s="25" t="n">
        <v>28</v>
      </c>
    </row>
    <row r="41" customFormat="false" ht="15" hidden="false" customHeight="false" outlineLevel="0" collapsed="false">
      <c r="A41" s="25" t="s">
        <v>165</v>
      </c>
      <c r="B41" s="25" t="s">
        <v>166</v>
      </c>
      <c r="C41" s="25" t="s">
        <v>70</v>
      </c>
      <c r="D41" s="25" t="s">
        <v>156</v>
      </c>
      <c r="E41" s="26" t="n">
        <v>43396</v>
      </c>
      <c r="F41" s="26" t="n">
        <v>32855</v>
      </c>
      <c r="G41" s="25" t="s">
        <v>87</v>
      </c>
      <c r="H41" s="25" t="n">
        <v>4</v>
      </c>
    </row>
    <row r="42" customFormat="false" ht="15" hidden="false" customHeight="false" outlineLevel="0" collapsed="false">
      <c r="A42" s="25" t="s">
        <v>167</v>
      </c>
      <c r="B42" s="25" t="s">
        <v>168</v>
      </c>
      <c r="C42" s="25" t="s">
        <v>70</v>
      </c>
      <c r="D42" s="25" t="s">
        <v>156</v>
      </c>
      <c r="E42" s="26" t="n">
        <v>45122</v>
      </c>
      <c r="F42" s="26" t="n">
        <v>32818</v>
      </c>
      <c r="G42" s="25" t="s">
        <v>84</v>
      </c>
      <c r="H42" s="25" t="n">
        <v>19</v>
      </c>
    </row>
    <row r="43" customFormat="false" ht="15" hidden="false" customHeight="false" outlineLevel="0" collapsed="false">
      <c r="A43" s="25" t="s">
        <v>169</v>
      </c>
      <c r="B43" s="25" t="s">
        <v>170</v>
      </c>
      <c r="C43" s="25" t="s">
        <v>71</v>
      </c>
      <c r="D43" s="25" t="s">
        <v>171</v>
      </c>
      <c r="E43" s="26" t="n">
        <v>42747</v>
      </c>
      <c r="F43" s="26" t="n">
        <v>34702</v>
      </c>
      <c r="G43" s="25" t="s">
        <v>87</v>
      </c>
      <c r="H43" s="25" t="n">
        <v>15</v>
      </c>
    </row>
    <row r="44" customFormat="false" ht="15" hidden="false" customHeight="false" outlineLevel="0" collapsed="false">
      <c r="A44" s="25" t="s">
        <v>172</v>
      </c>
      <c r="B44" s="25" t="s">
        <v>173</v>
      </c>
      <c r="C44" s="25" t="s">
        <v>71</v>
      </c>
      <c r="D44" s="25" t="s">
        <v>171</v>
      </c>
      <c r="E44" s="26" t="n">
        <v>45214</v>
      </c>
      <c r="F44" s="26" t="n">
        <v>36617</v>
      </c>
      <c r="G44" s="25" t="s">
        <v>84</v>
      </c>
      <c r="H44" s="25" t="n">
        <v>15</v>
      </c>
    </row>
    <row r="45" customFormat="false" ht="15" hidden="false" customHeight="false" outlineLevel="0" collapsed="false">
      <c r="A45" s="25" t="s">
        <v>174</v>
      </c>
      <c r="B45" s="25" t="s">
        <v>175</v>
      </c>
      <c r="C45" s="25" t="s">
        <v>71</v>
      </c>
      <c r="D45" s="25" t="s">
        <v>171</v>
      </c>
      <c r="E45" s="26" t="n">
        <v>43936</v>
      </c>
      <c r="F45" s="26" t="n">
        <v>34711</v>
      </c>
      <c r="G45" s="25" t="s">
        <v>87</v>
      </c>
      <c r="H45" s="25" t="n">
        <v>4</v>
      </c>
    </row>
    <row r="46" customFormat="false" ht="15" hidden="false" customHeight="false" outlineLevel="0" collapsed="false">
      <c r="A46" s="25" t="s">
        <v>176</v>
      </c>
      <c r="B46" s="25" t="s">
        <v>177</v>
      </c>
      <c r="C46" s="25" t="s">
        <v>71</v>
      </c>
      <c r="D46" s="25" t="s">
        <v>171</v>
      </c>
      <c r="E46" s="26" t="n">
        <v>41036</v>
      </c>
      <c r="F46" s="26" t="n">
        <v>35994</v>
      </c>
      <c r="G46" s="25" t="s">
        <v>87</v>
      </c>
      <c r="H46" s="25" t="n">
        <v>6</v>
      </c>
    </row>
    <row r="47" customFormat="false" ht="15" hidden="false" customHeight="false" outlineLevel="0" collapsed="false">
      <c r="A47" s="25" t="s">
        <v>178</v>
      </c>
      <c r="B47" s="25" t="s">
        <v>179</v>
      </c>
      <c r="C47" s="25" t="s">
        <v>71</v>
      </c>
      <c r="D47" s="25" t="s">
        <v>171</v>
      </c>
      <c r="E47" s="26" t="n">
        <v>40866</v>
      </c>
      <c r="F47" s="26" t="n">
        <v>27804</v>
      </c>
      <c r="G47" s="25" t="s">
        <v>84</v>
      </c>
      <c r="H47" s="25" t="n">
        <v>28</v>
      </c>
    </row>
    <row r="48" customFormat="false" ht="15" hidden="false" customHeight="false" outlineLevel="0" collapsed="false">
      <c r="A48" s="25" t="s">
        <v>180</v>
      </c>
      <c r="B48" s="25" t="s">
        <v>181</v>
      </c>
      <c r="C48" s="25" t="s">
        <v>71</v>
      </c>
      <c r="D48" s="25" t="s">
        <v>171</v>
      </c>
      <c r="E48" s="26" t="n">
        <v>42020</v>
      </c>
      <c r="F48" s="26" t="n">
        <v>38643</v>
      </c>
      <c r="G48" s="25" t="s">
        <v>81</v>
      </c>
      <c r="H48" s="25" t="n">
        <v>17</v>
      </c>
    </row>
    <row r="49" customFormat="false" ht="15" hidden="false" customHeight="false" outlineLevel="0" collapsed="false">
      <c r="A49" s="25" t="s">
        <v>182</v>
      </c>
      <c r="B49" s="25" t="s">
        <v>183</v>
      </c>
      <c r="C49" s="25" t="s">
        <v>71</v>
      </c>
      <c r="D49" s="25" t="s">
        <v>184</v>
      </c>
      <c r="E49" s="26" t="n">
        <v>42129</v>
      </c>
      <c r="F49" s="26" t="n">
        <v>34464</v>
      </c>
      <c r="G49" s="25" t="s">
        <v>84</v>
      </c>
      <c r="H49" s="25" t="n">
        <v>19</v>
      </c>
    </row>
    <row r="50" customFormat="false" ht="15" hidden="false" customHeight="false" outlineLevel="0" collapsed="false">
      <c r="A50" s="25" t="s">
        <v>185</v>
      </c>
      <c r="B50" s="25" t="s">
        <v>186</v>
      </c>
      <c r="C50" s="25" t="s">
        <v>71</v>
      </c>
      <c r="D50" s="25" t="s">
        <v>184</v>
      </c>
      <c r="E50" s="26" t="n">
        <v>41581</v>
      </c>
      <c r="F50" s="26" t="n">
        <v>30563</v>
      </c>
      <c r="G50" s="25" t="s">
        <v>84</v>
      </c>
      <c r="H50" s="25" t="n">
        <v>19</v>
      </c>
    </row>
    <row r="51" customFormat="false" ht="15" hidden="false" customHeight="false" outlineLevel="0" collapsed="false">
      <c r="A51" s="25" t="s">
        <v>187</v>
      </c>
      <c r="B51" s="25" t="s">
        <v>188</v>
      </c>
      <c r="C51" s="25" t="s">
        <v>71</v>
      </c>
      <c r="D51" s="25" t="s">
        <v>184</v>
      </c>
      <c r="E51" s="26" t="n">
        <v>43618</v>
      </c>
      <c r="F51" s="26" t="n">
        <v>29970</v>
      </c>
      <c r="G51" s="25" t="s">
        <v>87</v>
      </c>
      <c r="H51" s="25" t="n">
        <v>14</v>
      </c>
    </row>
    <row r="52" customFormat="false" ht="15" hidden="false" customHeight="false" outlineLevel="0" collapsed="false">
      <c r="A52" s="25" t="s">
        <v>189</v>
      </c>
      <c r="B52" s="25" t="s">
        <v>190</v>
      </c>
      <c r="C52" s="25" t="s">
        <v>71</v>
      </c>
      <c r="D52" s="25" t="s">
        <v>184</v>
      </c>
      <c r="E52" s="26" t="n">
        <v>42373</v>
      </c>
      <c r="F52" s="26" t="n">
        <v>31581</v>
      </c>
      <c r="G52" s="25" t="s">
        <v>84</v>
      </c>
      <c r="H52" s="25" t="n">
        <v>8</v>
      </c>
    </row>
    <row r="53" customFormat="false" ht="15" hidden="false" customHeight="false" outlineLevel="0" collapsed="false">
      <c r="A53" s="25" t="s">
        <v>191</v>
      </c>
      <c r="B53" s="25" t="s">
        <v>192</v>
      </c>
      <c r="C53" s="25" t="s">
        <v>71</v>
      </c>
      <c r="D53" s="25" t="s">
        <v>184</v>
      </c>
      <c r="E53" s="26" t="n">
        <v>43086</v>
      </c>
      <c r="F53" s="26" t="n">
        <v>36202</v>
      </c>
      <c r="G53" s="25" t="s">
        <v>87</v>
      </c>
      <c r="H53" s="25" t="n">
        <v>28</v>
      </c>
    </row>
    <row r="54" customFormat="false" ht="15" hidden="false" customHeight="false" outlineLevel="0" collapsed="false">
      <c r="A54" s="25" t="s">
        <v>193</v>
      </c>
      <c r="B54" s="25" t="s">
        <v>108</v>
      </c>
      <c r="C54" s="25" t="s">
        <v>71</v>
      </c>
      <c r="D54" s="25" t="s">
        <v>184</v>
      </c>
      <c r="E54" s="26" t="n">
        <v>41255</v>
      </c>
      <c r="F54" s="26" t="n">
        <v>39042</v>
      </c>
      <c r="G54" s="25" t="s">
        <v>87</v>
      </c>
      <c r="H54" s="25" t="n">
        <v>19</v>
      </c>
    </row>
    <row r="55" customFormat="false" ht="15" hidden="false" customHeight="false" outlineLevel="0" collapsed="false">
      <c r="A55" s="25" t="s">
        <v>194</v>
      </c>
      <c r="B55" s="25" t="s">
        <v>195</v>
      </c>
      <c r="C55" s="25" t="s">
        <v>71</v>
      </c>
      <c r="D55" s="25" t="s">
        <v>184</v>
      </c>
      <c r="E55" s="26" t="n">
        <v>44789</v>
      </c>
      <c r="F55" s="26" t="n">
        <v>30189</v>
      </c>
      <c r="G55" s="25" t="s">
        <v>81</v>
      </c>
      <c r="H55" s="25" t="n">
        <v>0</v>
      </c>
    </row>
    <row r="56" customFormat="false" ht="15" hidden="false" customHeight="false" outlineLevel="0" collapsed="false">
      <c r="A56" s="25" t="s">
        <v>196</v>
      </c>
      <c r="B56" s="25" t="s">
        <v>89</v>
      </c>
      <c r="C56" s="25" t="s">
        <v>71</v>
      </c>
      <c r="D56" s="25" t="s">
        <v>197</v>
      </c>
      <c r="E56" s="26" t="n">
        <v>41772</v>
      </c>
      <c r="F56" s="26" t="n">
        <v>31282</v>
      </c>
      <c r="G56" s="25" t="s">
        <v>81</v>
      </c>
      <c r="H56" s="25" t="n">
        <v>24</v>
      </c>
    </row>
    <row r="57" customFormat="false" ht="15" hidden="false" customHeight="false" outlineLevel="0" collapsed="false">
      <c r="A57" s="25" t="s">
        <v>198</v>
      </c>
      <c r="B57" s="25" t="s">
        <v>199</v>
      </c>
      <c r="C57" s="25" t="s">
        <v>71</v>
      </c>
      <c r="D57" s="25" t="s">
        <v>197</v>
      </c>
      <c r="E57" s="26" t="n">
        <v>44640</v>
      </c>
      <c r="F57" s="26" t="n">
        <v>32417</v>
      </c>
      <c r="G57" s="25" t="s">
        <v>87</v>
      </c>
      <c r="H57" s="25" t="n">
        <v>24</v>
      </c>
    </row>
    <row r="58" customFormat="false" ht="15" hidden="false" customHeight="false" outlineLevel="0" collapsed="false">
      <c r="A58" s="25" t="s">
        <v>200</v>
      </c>
      <c r="B58" s="25" t="s">
        <v>201</v>
      </c>
      <c r="C58" s="25" t="s">
        <v>71</v>
      </c>
      <c r="D58" s="25" t="s">
        <v>197</v>
      </c>
      <c r="E58" s="26" t="n">
        <v>42630</v>
      </c>
      <c r="F58" s="26" t="n">
        <v>35893</v>
      </c>
      <c r="G58" s="25" t="s">
        <v>84</v>
      </c>
      <c r="H58" s="25" t="n">
        <v>15</v>
      </c>
    </row>
    <row r="59" customFormat="false" ht="15" hidden="false" customHeight="false" outlineLevel="0" collapsed="false">
      <c r="A59" s="25" t="s">
        <v>202</v>
      </c>
      <c r="B59" s="25" t="s">
        <v>199</v>
      </c>
      <c r="C59" s="25" t="s">
        <v>71</v>
      </c>
      <c r="D59" s="25" t="s">
        <v>197</v>
      </c>
      <c r="E59" s="26" t="n">
        <v>46016</v>
      </c>
      <c r="F59" s="26" t="n">
        <v>34738</v>
      </c>
      <c r="G59" s="25" t="s">
        <v>87</v>
      </c>
      <c r="H59" s="25" t="n">
        <v>0</v>
      </c>
    </row>
    <row r="60" customFormat="false" ht="15" hidden="false" customHeight="false" outlineLevel="0" collapsed="false">
      <c r="A60" s="25" t="s">
        <v>203</v>
      </c>
      <c r="B60" s="25" t="s">
        <v>204</v>
      </c>
      <c r="C60" s="25" t="s">
        <v>71</v>
      </c>
      <c r="D60" s="25" t="s">
        <v>197</v>
      </c>
      <c r="E60" s="26" t="n">
        <v>44826</v>
      </c>
      <c r="F60" s="26" t="n">
        <v>34977</v>
      </c>
      <c r="G60" s="25" t="s">
        <v>81</v>
      </c>
      <c r="H60" s="25" t="n">
        <v>0</v>
      </c>
    </row>
    <row r="61" customFormat="false" ht="15" hidden="false" customHeight="false" outlineLevel="0" collapsed="false">
      <c r="A61" s="25" t="s">
        <v>205</v>
      </c>
      <c r="B61" s="25" t="s">
        <v>206</v>
      </c>
      <c r="C61" s="25" t="s">
        <v>71</v>
      </c>
      <c r="D61" s="25" t="s">
        <v>197</v>
      </c>
      <c r="E61" s="26" t="n">
        <v>43073</v>
      </c>
      <c r="F61" s="26" t="n">
        <v>31307</v>
      </c>
      <c r="G61" s="25" t="s">
        <v>81</v>
      </c>
      <c r="H61" s="25" t="n">
        <v>10</v>
      </c>
    </row>
    <row r="62" customFormat="false" ht="15" hidden="false" customHeight="false" outlineLevel="0" collapsed="false">
      <c r="A62" s="25" t="s">
        <v>207</v>
      </c>
      <c r="B62" s="25" t="s">
        <v>208</v>
      </c>
      <c r="C62" s="25" t="s">
        <v>72</v>
      </c>
      <c r="D62" s="25" t="s">
        <v>209</v>
      </c>
      <c r="E62" s="26" t="n">
        <v>43418</v>
      </c>
      <c r="F62" s="26" t="n">
        <v>37128</v>
      </c>
      <c r="G62" s="25" t="s">
        <v>87</v>
      </c>
      <c r="H62" s="25" t="n">
        <v>6</v>
      </c>
    </row>
    <row r="63" customFormat="false" ht="15" hidden="false" customHeight="false" outlineLevel="0" collapsed="false">
      <c r="A63" s="25" t="s">
        <v>210</v>
      </c>
      <c r="B63" s="25" t="s">
        <v>195</v>
      </c>
      <c r="C63" s="25" t="s">
        <v>72</v>
      </c>
      <c r="D63" s="25" t="s">
        <v>209</v>
      </c>
      <c r="E63" s="26" t="n">
        <v>43538</v>
      </c>
      <c r="F63" s="26" t="n">
        <v>35171</v>
      </c>
      <c r="G63" s="25" t="s">
        <v>87</v>
      </c>
      <c r="H63" s="25" t="n">
        <v>14</v>
      </c>
    </row>
    <row r="64" customFormat="false" ht="15" hidden="false" customHeight="false" outlineLevel="0" collapsed="false">
      <c r="A64" s="25" t="s">
        <v>211</v>
      </c>
      <c r="B64" s="25" t="s">
        <v>212</v>
      </c>
      <c r="C64" s="25" t="s">
        <v>72</v>
      </c>
      <c r="D64" s="25" t="s">
        <v>209</v>
      </c>
      <c r="E64" s="26" t="n">
        <v>45749</v>
      </c>
      <c r="F64" s="26" t="n">
        <v>34257</v>
      </c>
      <c r="G64" s="25" t="s">
        <v>87</v>
      </c>
      <c r="H64" s="25" t="n">
        <v>24</v>
      </c>
    </row>
    <row r="65" customFormat="false" ht="15" hidden="false" customHeight="false" outlineLevel="0" collapsed="false">
      <c r="A65" s="25" t="s">
        <v>213</v>
      </c>
      <c r="B65" s="25" t="s">
        <v>214</v>
      </c>
      <c r="C65" s="25" t="s">
        <v>72</v>
      </c>
      <c r="D65" s="25" t="s">
        <v>209</v>
      </c>
      <c r="E65" s="26" t="n">
        <v>43172</v>
      </c>
      <c r="F65" s="26" t="n">
        <v>29769</v>
      </c>
      <c r="G65" s="25" t="s">
        <v>87</v>
      </c>
      <c r="H65" s="25" t="n">
        <v>0</v>
      </c>
    </row>
    <row r="66" customFormat="false" ht="15" hidden="false" customHeight="false" outlineLevel="0" collapsed="false">
      <c r="A66" s="25" t="s">
        <v>215</v>
      </c>
      <c r="B66" s="25" t="s">
        <v>216</v>
      </c>
      <c r="C66" s="25" t="s">
        <v>72</v>
      </c>
      <c r="D66" s="25" t="s">
        <v>209</v>
      </c>
      <c r="E66" s="26" t="n">
        <v>45763</v>
      </c>
      <c r="F66" s="26" t="n">
        <v>31764</v>
      </c>
      <c r="G66" s="25" t="s">
        <v>87</v>
      </c>
      <c r="H66" s="25" t="n">
        <v>24</v>
      </c>
    </row>
    <row r="67" customFormat="false" ht="15" hidden="false" customHeight="false" outlineLevel="0" collapsed="false">
      <c r="A67" s="25" t="s">
        <v>217</v>
      </c>
      <c r="B67" s="25" t="s">
        <v>218</v>
      </c>
      <c r="C67" s="25" t="s">
        <v>72</v>
      </c>
      <c r="D67" s="25" t="s">
        <v>209</v>
      </c>
      <c r="E67" s="26" t="n">
        <v>40721</v>
      </c>
      <c r="F67" s="26" t="n">
        <v>29444</v>
      </c>
      <c r="G67" s="25" t="s">
        <v>87</v>
      </c>
      <c r="H67" s="25" t="n">
        <v>14</v>
      </c>
    </row>
    <row r="68" customFormat="false" ht="15" hidden="false" customHeight="false" outlineLevel="0" collapsed="false">
      <c r="A68" s="25" t="s">
        <v>219</v>
      </c>
      <c r="B68" s="25" t="s">
        <v>220</v>
      </c>
      <c r="C68" s="25" t="s">
        <v>72</v>
      </c>
      <c r="D68" s="25" t="s">
        <v>221</v>
      </c>
      <c r="E68" s="26" t="n">
        <v>41419</v>
      </c>
      <c r="F68" s="26" t="n">
        <v>28662</v>
      </c>
      <c r="G68" s="25" t="s">
        <v>87</v>
      </c>
      <c r="H68" s="25" t="n">
        <v>8</v>
      </c>
    </row>
    <row r="69" customFormat="false" ht="15" hidden="false" customHeight="false" outlineLevel="0" collapsed="false">
      <c r="A69" s="25" t="s">
        <v>222</v>
      </c>
      <c r="B69" s="25" t="s">
        <v>223</v>
      </c>
      <c r="C69" s="25" t="s">
        <v>72</v>
      </c>
      <c r="D69" s="25" t="s">
        <v>221</v>
      </c>
      <c r="E69" s="26" t="n">
        <v>41749</v>
      </c>
      <c r="F69" s="26" t="n">
        <v>34024</v>
      </c>
      <c r="G69" s="25" t="s">
        <v>84</v>
      </c>
      <c r="H69" s="25" t="n">
        <v>8</v>
      </c>
    </row>
    <row r="70" customFormat="false" ht="15" hidden="false" customHeight="false" outlineLevel="0" collapsed="false">
      <c r="A70" s="25" t="s">
        <v>224</v>
      </c>
      <c r="B70" s="25" t="s">
        <v>225</v>
      </c>
      <c r="C70" s="25" t="s">
        <v>72</v>
      </c>
      <c r="D70" s="25" t="s">
        <v>221</v>
      </c>
      <c r="E70" s="26" t="n">
        <v>42128</v>
      </c>
      <c r="F70" s="26" t="n">
        <v>33184</v>
      </c>
      <c r="G70" s="25" t="s">
        <v>81</v>
      </c>
      <c r="H70" s="25" t="n">
        <v>15</v>
      </c>
    </row>
    <row r="71" customFormat="false" ht="15" hidden="false" customHeight="false" outlineLevel="0" collapsed="false">
      <c r="A71" s="25" t="s">
        <v>226</v>
      </c>
      <c r="B71" s="25" t="s">
        <v>227</v>
      </c>
      <c r="C71" s="25" t="s">
        <v>72</v>
      </c>
      <c r="D71" s="25" t="s">
        <v>221</v>
      </c>
      <c r="E71" s="26" t="n">
        <v>46148</v>
      </c>
      <c r="F71" s="26" t="n">
        <v>27344</v>
      </c>
      <c r="G71" s="25" t="s">
        <v>87</v>
      </c>
      <c r="H71" s="25" t="n">
        <v>0</v>
      </c>
    </row>
    <row r="72" customFormat="false" ht="15" hidden="false" customHeight="false" outlineLevel="0" collapsed="false">
      <c r="A72" s="25" t="s">
        <v>228</v>
      </c>
      <c r="B72" s="25" t="s">
        <v>229</v>
      </c>
      <c r="C72" s="25" t="s">
        <v>72</v>
      </c>
      <c r="D72" s="25" t="s">
        <v>221</v>
      </c>
      <c r="E72" s="26" t="n">
        <v>40660</v>
      </c>
      <c r="F72" s="26" t="n">
        <v>29708</v>
      </c>
      <c r="G72" s="25" t="s">
        <v>87</v>
      </c>
      <c r="H72" s="25" t="n">
        <v>8</v>
      </c>
    </row>
    <row r="73" customFormat="false" ht="15" hidden="false" customHeight="false" outlineLevel="0" collapsed="false">
      <c r="A73" s="25" t="s">
        <v>230</v>
      </c>
      <c r="B73" s="25" t="s">
        <v>86</v>
      </c>
      <c r="C73" s="25" t="s">
        <v>72</v>
      </c>
      <c r="D73" s="25" t="s">
        <v>221</v>
      </c>
      <c r="E73" s="26" t="n">
        <v>40964</v>
      </c>
      <c r="F73" s="26" t="n">
        <v>38010</v>
      </c>
      <c r="G73" s="25" t="s">
        <v>81</v>
      </c>
      <c r="H73" s="25" t="n">
        <v>6</v>
      </c>
    </row>
    <row r="74" customFormat="false" ht="15" hidden="false" customHeight="false" outlineLevel="0" collapsed="false">
      <c r="A74" s="25" t="s">
        <v>231</v>
      </c>
      <c r="B74" s="25" t="s">
        <v>232</v>
      </c>
      <c r="C74" s="25" t="s">
        <v>72</v>
      </c>
      <c r="D74" s="25" t="s">
        <v>221</v>
      </c>
      <c r="E74" s="26" t="n">
        <v>45979</v>
      </c>
      <c r="F74" s="26" t="n">
        <v>34901</v>
      </c>
      <c r="G74" s="25" t="s">
        <v>81</v>
      </c>
      <c r="H74" s="25" t="n">
        <v>0</v>
      </c>
    </row>
    <row r="75" customFormat="false" ht="15" hidden="false" customHeight="false" outlineLevel="0" collapsed="false">
      <c r="A75" s="25" t="s">
        <v>233</v>
      </c>
      <c r="B75" s="25" t="s">
        <v>234</v>
      </c>
      <c r="C75" s="25" t="s">
        <v>72</v>
      </c>
      <c r="D75" s="25" t="s">
        <v>221</v>
      </c>
      <c r="E75" s="26" t="n">
        <v>42168</v>
      </c>
      <c r="F75" s="26" t="n">
        <v>36851</v>
      </c>
      <c r="G75" s="25" t="s">
        <v>81</v>
      </c>
      <c r="H75" s="25" t="n">
        <v>14</v>
      </c>
    </row>
    <row r="76" customFormat="false" ht="15" hidden="false" customHeight="false" outlineLevel="0" collapsed="false">
      <c r="A76" s="25" t="s">
        <v>235</v>
      </c>
      <c r="B76" s="25" t="s">
        <v>236</v>
      </c>
      <c r="C76" s="25" t="s">
        <v>72</v>
      </c>
      <c r="D76" s="25" t="s">
        <v>237</v>
      </c>
      <c r="E76" s="26" t="n">
        <v>43128</v>
      </c>
      <c r="F76" s="26" t="n">
        <v>37006</v>
      </c>
      <c r="G76" s="25" t="s">
        <v>87</v>
      </c>
      <c r="H76" s="25" t="n">
        <v>17</v>
      </c>
    </row>
    <row r="77" customFormat="false" ht="15" hidden="false" customHeight="false" outlineLevel="0" collapsed="false">
      <c r="A77" s="25" t="s">
        <v>238</v>
      </c>
      <c r="B77" s="25" t="s">
        <v>239</v>
      </c>
      <c r="C77" s="25" t="s">
        <v>72</v>
      </c>
      <c r="D77" s="25" t="s">
        <v>237</v>
      </c>
      <c r="E77" s="26" t="n">
        <v>44778</v>
      </c>
      <c r="F77" s="26" t="n">
        <v>29977</v>
      </c>
      <c r="G77" s="25" t="s">
        <v>87</v>
      </c>
      <c r="H77" s="25" t="n">
        <v>8</v>
      </c>
    </row>
    <row r="78" customFormat="false" ht="15" hidden="false" customHeight="false" outlineLevel="0" collapsed="false">
      <c r="A78" s="25" t="s">
        <v>240</v>
      </c>
      <c r="B78" s="25" t="s">
        <v>241</v>
      </c>
      <c r="C78" s="25" t="s">
        <v>72</v>
      </c>
      <c r="D78" s="25" t="s">
        <v>237</v>
      </c>
      <c r="E78" s="26" t="n">
        <v>43923</v>
      </c>
      <c r="F78" s="26" t="n">
        <v>36957</v>
      </c>
      <c r="G78" s="25" t="s">
        <v>84</v>
      </c>
      <c r="H78" s="25" t="n">
        <v>4</v>
      </c>
    </row>
    <row r="79" customFormat="false" ht="15" hidden="false" customHeight="false" outlineLevel="0" collapsed="false">
      <c r="A79" s="25" t="s">
        <v>242</v>
      </c>
      <c r="B79" s="25" t="s">
        <v>125</v>
      </c>
      <c r="C79" s="25" t="s">
        <v>72</v>
      </c>
      <c r="D79" s="25" t="s">
        <v>237</v>
      </c>
      <c r="E79" s="26" t="n">
        <v>42112</v>
      </c>
      <c r="F79" s="26" t="n">
        <v>28932</v>
      </c>
      <c r="G79" s="25" t="s">
        <v>87</v>
      </c>
      <c r="H79" s="25" t="n">
        <v>19</v>
      </c>
    </row>
    <row r="80" customFormat="false" ht="15" hidden="false" customHeight="false" outlineLevel="0" collapsed="false">
      <c r="A80" s="25" t="s">
        <v>243</v>
      </c>
      <c r="B80" s="25" t="s">
        <v>244</v>
      </c>
      <c r="C80" s="25" t="s">
        <v>72</v>
      </c>
      <c r="D80" s="25" t="s">
        <v>237</v>
      </c>
      <c r="E80" s="26" t="n">
        <v>41677</v>
      </c>
      <c r="F80" s="26" t="n">
        <v>31291</v>
      </c>
      <c r="G80" s="25" t="s">
        <v>87</v>
      </c>
      <c r="H80" s="25" t="n">
        <v>2</v>
      </c>
    </row>
    <row r="81" customFormat="false" ht="15" hidden="false" customHeight="false" outlineLevel="0" collapsed="false">
      <c r="A81" s="25" t="s">
        <v>245</v>
      </c>
      <c r="B81" s="25" t="s">
        <v>155</v>
      </c>
      <c r="C81" s="25" t="s">
        <v>72</v>
      </c>
      <c r="D81" s="25" t="s">
        <v>237</v>
      </c>
      <c r="E81" s="26" t="n">
        <v>41736</v>
      </c>
      <c r="F81" s="26" t="n">
        <v>36459</v>
      </c>
      <c r="G81" s="25" t="s">
        <v>81</v>
      </c>
      <c r="H81" s="25" t="n">
        <v>28</v>
      </c>
    </row>
    <row r="82" customFormat="false" ht="15" hidden="false" customHeight="false" outlineLevel="0" collapsed="false">
      <c r="A82" s="25" t="s">
        <v>246</v>
      </c>
      <c r="B82" s="25" t="s">
        <v>216</v>
      </c>
      <c r="C82" s="25" t="s">
        <v>72</v>
      </c>
      <c r="D82" s="25" t="s">
        <v>237</v>
      </c>
      <c r="E82" s="26" t="n">
        <v>45057</v>
      </c>
      <c r="F82" s="26" t="n">
        <v>34517</v>
      </c>
      <c r="G82" s="25" t="s">
        <v>84</v>
      </c>
      <c r="H82" s="25" t="n">
        <v>17</v>
      </c>
    </row>
    <row r="83" customFormat="false" ht="15" hidden="false" customHeight="false" outlineLevel="0" collapsed="false">
      <c r="A83" s="25" t="s">
        <v>247</v>
      </c>
      <c r="B83" s="25" t="s">
        <v>248</v>
      </c>
      <c r="C83" s="25" t="s">
        <v>72</v>
      </c>
      <c r="D83" s="25" t="s">
        <v>237</v>
      </c>
      <c r="E83" s="26" t="n">
        <v>45215</v>
      </c>
      <c r="F83" s="26" t="n">
        <v>30337</v>
      </c>
      <c r="G83" s="25" t="s">
        <v>87</v>
      </c>
      <c r="H83" s="25" t="n">
        <v>2</v>
      </c>
    </row>
    <row r="84" customFormat="false" ht="15" hidden="false" customHeight="false" outlineLevel="0" collapsed="false">
      <c r="A84" s="25" t="s">
        <v>249</v>
      </c>
      <c r="B84" s="25" t="s">
        <v>250</v>
      </c>
      <c r="C84" s="25" t="s">
        <v>73</v>
      </c>
      <c r="D84" s="25" t="s">
        <v>251</v>
      </c>
      <c r="E84" s="26" t="n">
        <v>43994</v>
      </c>
      <c r="F84" s="26" t="n">
        <v>37934</v>
      </c>
      <c r="G84" s="25" t="s">
        <v>81</v>
      </c>
      <c r="H84" s="25" t="n">
        <v>12</v>
      </c>
    </row>
    <row r="85" customFormat="false" ht="15" hidden="false" customHeight="false" outlineLevel="0" collapsed="false">
      <c r="A85" s="25" t="s">
        <v>252</v>
      </c>
      <c r="B85" s="25" t="s">
        <v>253</v>
      </c>
      <c r="C85" s="25" t="s">
        <v>73</v>
      </c>
      <c r="D85" s="25" t="s">
        <v>251</v>
      </c>
      <c r="E85" s="26" t="n">
        <v>41778</v>
      </c>
      <c r="F85" s="26" t="n">
        <v>28348</v>
      </c>
      <c r="G85" s="25" t="s">
        <v>87</v>
      </c>
      <c r="H85" s="25" t="n">
        <v>28</v>
      </c>
    </row>
    <row r="86" customFormat="false" ht="15" hidden="false" customHeight="false" outlineLevel="0" collapsed="false">
      <c r="A86" s="25" t="s">
        <v>254</v>
      </c>
      <c r="B86" s="25" t="s">
        <v>255</v>
      </c>
      <c r="C86" s="25" t="s">
        <v>73</v>
      </c>
      <c r="D86" s="25" t="s">
        <v>251</v>
      </c>
      <c r="E86" s="26" t="n">
        <v>43964</v>
      </c>
      <c r="F86" s="26" t="n">
        <v>28997</v>
      </c>
      <c r="G86" s="25" t="s">
        <v>87</v>
      </c>
      <c r="H86" s="25" t="n">
        <v>19</v>
      </c>
    </row>
    <row r="87" customFormat="false" ht="15" hidden="false" customHeight="false" outlineLevel="0" collapsed="false">
      <c r="A87" s="25" t="s">
        <v>256</v>
      </c>
      <c r="B87" s="25" t="s">
        <v>117</v>
      </c>
      <c r="C87" s="25" t="s">
        <v>73</v>
      </c>
      <c r="D87" s="25" t="s">
        <v>251</v>
      </c>
      <c r="E87" s="26" t="n">
        <v>41084</v>
      </c>
      <c r="F87" s="26" t="n">
        <v>36426</v>
      </c>
      <c r="G87" s="25" t="s">
        <v>84</v>
      </c>
      <c r="H87" s="25" t="n">
        <v>2</v>
      </c>
    </row>
    <row r="88" customFormat="false" ht="15" hidden="false" customHeight="false" outlineLevel="0" collapsed="false">
      <c r="A88" s="25" t="s">
        <v>257</v>
      </c>
      <c r="B88" s="25" t="s">
        <v>258</v>
      </c>
      <c r="C88" s="25" t="s">
        <v>73</v>
      </c>
      <c r="D88" s="25" t="s">
        <v>251</v>
      </c>
      <c r="E88" s="26" t="n">
        <v>42990</v>
      </c>
      <c r="F88" s="26" t="n">
        <v>30697</v>
      </c>
      <c r="G88" s="25" t="s">
        <v>87</v>
      </c>
      <c r="H88" s="25" t="n">
        <v>19</v>
      </c>
    </row>
    <row r="89" customFormat="false" ht="15" hidden="false" customHeight="false" outlineLevel="0" collapsed="false">
      <c r="A89" s="25" t="s">
        <v>259</v>
      </c>
      <c r="B89" s="25" t="s">
        <v>260</v>
      </c>
      <c r="C89" s="25" t="s">
        <v>73</v>
      </c>
      <c r="D89" s="25" t="s">
        <v>251</v>
      </c>
      <c r="E89" s="26" t="n">
        <v>45376</v>
      </c>
      <c r="F89" s="26" t="n">
        <v>26862</v>
      </c>
      <c r="G89" s="25" t="s">
        <v>84</v>
      </c>
      <c r="H89" s="25" t="n">
        <v>6</v>
      </c>
    </row>
    <row r="90" customFormat="false" ht="15" hidden="false" customHeight="false" outlineLevel="0" collapsed="false">
      <c r="A90" s="25" t="s">
        <v>261</v>
      </c>
      <c r="B90" s="25" t="s">
        <v>177</v>
      </c>
      <c r="C90" s="25" t="s">
        <v>73</v>
      </c>
      <c r="D90" s="25" t="s">
        <v>262</v>
      </c>
      <c r="E90" s="26" t="n">
        <v>42822</v>
      </c>
      <c r="F90" s="26" t="n">
        <v>33991</v>
      </c>
      <c r="G90" s="25" t="s">
        <v>87</v>
      </c>
      <c r="H90" s="25" t="n">
        <v>24</v>
      </c>
    </row>
    <row r="91" customFormat="false" ht="15" hidden="false" customHeight="false" outlineLevel="0" collapsed="false">
      <c r="A91" s="25" t="s">
        <v>263</v>
      </c>
      <c r="B91" s="25" t="s">
        <v>264</v>
      </c>
      <c r="C91" s="25" t="s">
        <v>73</v>
      </c>
      <c r="D91" s="25" t="s">
        <v>262</v>
      </c>
      <c r="E91" s="26" t="n">
        <v>43446</v>
      </c>
      <c r="F91" s="26" t="n">
        <v>38540</v>
      </c>
      <c r="G91" s="25" t="s">
        <v>87</v>
      </c>
      <c r="H91" s="25" t="n">
        <v>8</v>
      </c>
    </row>
    <row r="92" customFormat="false" ht="15" hidden="false" customHeight="false" outlineLevel="0" collapsed="false">
      <c r="A92" s="25" t="s">
        <v>265</v>
      </c>
      <c r="B92" s="25" t="s">
        <v>266</v>
      </c>
      <c r="C92" s="25" t="s">
        <v>73</v>
      </c>
      <c r="D92" s="25" t="s">
        <v>262</v>
      </c>
      <c r="E92" s="26" t="n">
        <v>44778</v>
      </c>
      <c r="F92" s="26" t="n">
        <v>34148</v>
      </c>
      <c r="G92" s="25" t="s">
        <v>87</v>
      </c>
      <c r="H92" s="25" t="n">
        <v>19</v>
      </c>
    </row>
    <row r="93" customFormat="false" ht="15" hidden="false" customHeight="false" outlineLevel="0" collapsed="false">
      <c r="A93" s="25" t="s">
        <v>267</v>
      </c>
      <c r="B93" s="25" t="s">
        <v>129</v>
      </c>
      <c r="C93" s="25" t="s">
        <v>73</v>
      </c>
      <c r="D93" s="25" t="s">
        <v>262</v>
      </c>
      <c r="E93" s="26" t="n">
        <v>41282</v>
      </c>
      <c r="F93" s="26" t="n">
        <v>33407</v>
      </c>
      <c r="G93" s="25" t="s">
        <v>81</v>
      </c>
      <c r="H93" s="25" t="n">
        <v>12</v>
      </c>
    </row>
    <row r="94" customFormat="false" ht="15" hidden="false" customHeight="false" outlineLevel="0" collapsed="false">
      <c r="A94" s="25" t="s">
        <v>268</v>
      </c>
      <c r="B94" s="25" t="s">
        <v>269</v>
      </c>
      <c r="C94" s="25" t="s">
        <v>73</v>
      </c>
      <c r="D94" s="25" t="s">
        <v>262</v>
      </c>
      <c r="E94" s="26" t="n">
        <v>40866</v>
      </c>
      <c r="F94" s="26" t="n">
        <v>32635</v>
      </c>
      <c r="G94" s="25" t="s">
        <v>87</v>
      </c>
      <c r="H94" s="25" t="n">
        <v>24</v>
      </c>
    </row>
    <row r="95" customFormat="false" ht="15" hidden="false" customHeight="false" outlineLevel="0" collapsed="false">
      <c r="A95" s="25" t="s">
        <v>270</v>
      </c>
      <c r="B95" s="25" t="s">
        <v>271</v>
      </c>
      <c r="C95" s="25" t="s">
        <v>73</v>
      </c>
      <c r="D95" s="25" t="s">
        <v>262</v>
      </c>
      <c r="E95" s="26" t="n">
        <v>41646</v>
      </c>
      <c r="F95" s="26" t="n">
        <v>35171</v>
      </c>
      <c r="G95" s="25" t="s">
        <v>87</v>
      </c>
      <c r="H95" s="25" t="n">
        <v>19</v>
      </c>
    </row>
    <row r="96" customFormat="false" ht="15" hidden="false" customHeight="false" outlineLevel="0" collapsed="false">
      <c r="A96" s="25" t="s">
        <v>272</v>
      </c>
      <c r="B96" s="25" t="s">
        <v>273</v>
      </c>
      <c r="C96" s="25" t="s">
        <v>73</v>
      </c>
      <c r="D96" s="25" t="s">
        <v>274</v>
      </c>
      <c r="E96" s="26" t="n">
        <v>45495</v>
      </c>
      <c r="F96" s="26" t="n">
        <v>32949</v>
      </c>
      <c r="G96" s="25" t="s">
        <v>84</v>
      </c>
      <c r="H96" s="25" t="n">
        <v>12</v>
      </c>
    </row>
    <row r="97" customFormat="false" ht="15" hidden="false" customHeight="false" outlineLevel="0" collapsed="false">
      <c r="A97" s="25" t="s">
        <v>275</v>
      </c>
      <c r="B97" s="25" t="s">
        <v>276</v>
      </c>
      <c r="C97" s="25" t="s">
        <v>73</v>
      </c>
      <c r="D97" s="25" t="s">
        <v>274</v>
      </c>
      <c r="E97" s="26" t="n">
        <v>40580</v>
      </c>
      <c r="F97" s="26" t="n">
        <v>36947</v>
      </c>
      <c r="G97" s="25" t="s">
        <v>87</v>
      </c>
      <c r="H97" s="25" t="n">
        <v>14</v>
      </c>
    </row>
    <row r="98" customFormat="false" ht="15" hidden="false" customHeight="false" outlineLevel="0" collapsed="false">
      <c r="A98" s="25" t="s">
        <v>277</v>
      </c>
      <c r="B98" s="25" t="s">
        <v>278</v>
      </c>
      <c r="C98" s="25" t="s">
        <v>73</v>
      </c>
      <c r="D98" s="25" t="s">
        <v>274</v>
      </c>
      <c r="E98" s="26" t="n">
        <v>44233</v>
      </c>
      <c r="F98" s="26" t="n">
        <v>38270</v>
      </c>
      <c r="G98" s="25" t="s">
        <v>87</v>
      </c>
      <c r="H98" s="25" t="n">
        <v>19</v>
      </c>
    </row>
    <row r="99" customFormat="false" ht="15" hidden="false" customHeight="false" outlineLevel="0" collapsed="false">
      <c r="A99" s="25" t="s">
        <v>279</v>
      </c>
      <c r="B99" s="25" t="s">
        <v>280</v>
      </c>
      <c r="C99" s="25" t="s">
        <v>73</v>
      </c>
      <c r="D99" s="25" t="s">
        <v>274</v>
      </c>
      <c r="E99" s="26" t="n">
        <v>45497</v>
      </c>
      <c r="F99" s="26" t="n">
        <v>39122</v>
      </c>
      <c r="G99" s="25" t="s">
        <v>84</v>
      </c>
      <c r="H99" s="25" t="n">
        <v>10</v>
      </c>
    </row>
    <row r="100" customFormat="false" ht="15" hidden="false" customHeight="false" outlineLevel="0" collapsed="false">
      <c r="A100" s="25" t="s">
        <v>281</v>
      </c>
      <c r="B100" s="25" t="s">
        <v>282</v>
      </c>
      <c r="C100" s="25" t="s">
        <v>73</v>
      </c>
      <c r="D100" s="25" t="s">
        <v>274</v>
      </c>
      <c r="E100" s="26" t="n">
        <v>43698</v>
      </c>
      <c r="F100" s="26" t="n">
        <v>33947</v>
      </c>
      <c r="G100" s="25" t="s">
        <v>87</v>
      </c>
      <c r="H100" s="25" t="n">
        <v>28</v>
      </c>
    </row>
    <row r="101" customFormat="false" ht="15" hidden="false" customHeight="false" outlineLevel="0" collapsed="false">
      <c r="A101" s="25" t="s">
        <v>283</v>
      </c>
      <c r="B101" s="25" t="s">
        <v>284</v>
      </c>
      <c r="C101" s="25" t="s">
        <v>73</v>
      </c>
      <c r="D101" s="25" t="s">
        <v>274</v>
      </c>
      <c r="E101" s="26" t="n">
        <v>44886</v>
      </c>
      <c r="F101" s="26" t="n">
        <v>34445</v>
      </c>
      <c r="G101" s="25" t="s">
        <v>87</v>
      </c>
      <c r="H101" s="25" t="n">
        <v>4</v>
      </c>
    </row>
    <row r="102" customFormat="false" ht="15" hidden="false" customHeight="false" outlineLevel="0" collapsed="false">
      <c r="A102" s="25" t="s">
        <v>285</v>
      </c>
      <c r="B102" s="25" t="s">
        <v>155</v>
      </c>
      <c r="C102" s="25" t="s">
        <v>73</v>
      </c>
      <c r="D102" s="25" t="s">
        <v>286</v>
      </c>
      <c r="E102" s="26" t="n">
        <v>40696</v>
      </c>
      <c r="F102" s="26" t="n">
        <v>30125</v>
      </c>
      <c r="G102" s="25" t="s">
        <v>84</v>
      </c>
      <c r="H102" s="25" t="n">
        <v>6</v>
      </c>
    </row>
    <row r="103" customFormat="false" ht="15" hidden="false" customHeight="false" outlineLevel="0" collapsed="false">
      <c r="A103" s="25" t="s">
        <v>287</v>
      </c>
      <c r="B103" s="25" t="s">
        <v>223</v>
      </c>
      <c r="C103" s="25" t="s">
        <v>73</v>
      </c>
      <c r="D103" s="25" t="s">
        <v>286</v>
      </c>
      <c r="E103" s="26" t="n">
        <v>40914</v>
      </c>
      <c r="F103" s="26" t="n">
        <v>33899</v>
      </c>
      <c r="G103" s="25" t="s">
        <v>87</v>
      </c>
      <c r="H103" s="25" t="n">
        <v>15</v>
      </c>
    </row>
    <row r="104" customFormat="false" ht="15" hidden="false" customHeight="false" outlineLevel="0" collapsed="false">
      <c r="A104" s="25" t="s">
        <v>288</v>
      </c>
      <c r="B104" s="25" t="s">
        <v>160</v>
      </c>
      <c r="C104" s="25" t="s">
        <v>73</v>
      </c>
      <c r="D104" s="25" t="s">
        <v>286</v>
      </c>
      <c r="E104" s="26" t="n">
        <v>44492</v>
      </c>
      <c r="F104" s="26" t="n">
        <v>30249</v>
      </c>
      <c r="G104" s="25" t="s">
        <v>81</v>
      </c>
      <c r="H104" s="25" t="n">
        <v>6</v>
      </c>
    </row>
    <row r="105" customFormat="false" ht="15" hidden="false" customHeight="false" outlineLevel="0" collapsed="false">
      <c r="A105" s="25" t="s">
        <v>289</v>
      </c>
      <c r="B105" s="25" t="s">
        <v>290</v>
      </c>
      <c r="C105" s="25" t="s">
        <v>73</v>
      </c>
      <c r="D105" s="25" t="s">
        <v>286</v>
      </c>
      <c r="E105" s="26" t="n">
        <v>44021</v>
      </c>
      <c r="F105" s="26" t="n">
        <v>33718</v>
      </c>
      <c r="G105" s="25" t="s">
        <v>84</v>
      </c>
      <c r="H105" s="25" t="n">
        <v>12</v>
      </c>
    </row>
    <row r="106" customFormat="false" ht="15" hidden="false" customHeight="false" outlineLevel="0" collapsed="false">
      <c r="A106" s="25" t="s">
        <v>291</v>
      </c>
      <c r="B106" s="25" t="s">
        <v>190</v>
      </c>
      <c r="C106" s="25" t="s">
        <v>73</v>
      </c>
      <c r="D106" s="25" t="s">
        <v>286</v>
      </c>
      <c r="E106" s="26" t="n">
        <v>41009</v>
      </c>
      <c r="F106" s="26" t="n">
        <v>33704</v>
      </c>
      <c r="G106" s="25" t="s">
        <v>81</v>
      </c>
      <c r="H106" s="25" t="n">
        <v>28</v>
      </c>
    </row>
    <row r="107" customFormat="false" ht="15" hidden="false" customHeight="false" outlineLevel="0" collapsed="false">
      <c r="A107" s="25" t="s">
        <v>292</v>
      </c>
      <c r="B107" s="25" t="s">
        <v>293</v>
      </c>
      <c r="C107" s="25" t="s">
        <v>73</v>
      </c>
      <c r="D107" s="25" t="s">
        <v>286</v>
      </c>
      <c r="E107" s="26" t="n">
        <v>41562</v>
      </c>
      <c r="F107" s="26" t="n">
        <v>37248</v>
      </c>
      <c r="G107" s="25" t="s">
        <v>87</v>
      </c>
      <c r="H107" s="25" t="n">
        <v>24</v>
      </c>
    </row>
    <row r="108" customFormat="false" ht="15" hidden="false" customHeight="false" outlineLevel="0" collapsed="false">
      <c r="A108" s="25" t="s">
        <v>294</v>
      </c>
      <c r="B108" s="25" t="s">
        <v>295</v>
      </c>
      <c r="C108" s="25" t="s">
        <v>74</v>
      </c>
      <c r="D108" s="25" t="s">
        <v>296</v>
      </c>
      <c r="E108" s="26" t="n">
        <v>45141</v>
      </c>
      <c r="F108" s="26" t="n">
        <v>39300</v>
      </c>
      <c r="G108" s="25" t="s">
        <v>87</v>
      </c>
      <c r="H108" s="25" t="n">
        <v>28</v>
      </c>
    </row>
    <row r="109" customFormat="false" ht="15" hidden="false" customHeight="false" outlineLevel="0" collapsed="false">
      <c r="A109" s="25" t="s">
        <v>297</v>
      </c>
      <c r="B109" s="25" t="s">
        <v>298</v>
      </c>
      <c r="C109" s="25" t="s">
        <v>74</v>
      </c>
      <c r="D109" s="25" t="s">
        <v>296</v>
      </c>
      <c r="E109" s="26" t="n">
        <v>40902</v>
      </c>
      <c r="F109" s="26" t="n">
        <v>26801</v>
      </c>
      <c r="G109" s="25" t="s">
        <v>87</v>
      </c>
      <c r="H109" s="25" t="n">
        <v>4</v>
      </c>
    </row>
    <row r="110" customFormat="false" ht="15" hidden="false" customHeight="false" outlineLevel="0" collapsed="false">
      <c r="A110" s="25" t="s">
        <v>299</v>
      </c>
      <c r="B110" s="25" t="s">
        <v>166</v>
      </c>
      <c r="C110" s="25" t="s">
        <v>74</v>
      </c>
      <c r="D110" s="25" t="s">
        <v>296</v>
      </c>
      <c r="E110" s="26" t="n">
        <v>41489</v>
      </c>
      <c r="F110" s="26" t="n">
        <v>35966</v>
      </c>
      <c r="G110" s="25" t="s">
        <v>87</v>
      </c>
      <c r="H110" s="25" t="n">
        <v>28</v>
      </c>
    </row>
    <row r="111" customFormat="false" ht="15" hidden="false" customHeight="false" outlineLevel="0" collapsed="false">
      <c r="A111" s="25" t="s">
        <v>300</v>
      </c>
      <c r="B111" s="25" t="s">
        <v>301</v>
      </c>
      <c r="C111" s="25" t="s">
        <v>74</v>
      </c>
      <c r="D111" s="25" t="s">
        <v>296</v>
      </c>
      <c r="E111" s="26" t="n">
        <v>46164</v>
      </c>
      <c r="F111" s="26" t="n">
        <v>33567</v>
      </c>
      <c r="G111" s="25" t="s">
        <v>87</v>
      </c>
      <c r="H111" s="25" t="n">
        <v>0</v>
      </c>
    </row>
    <row r="112" customFormat="false" ht="15" hidden="false" customHeight="false" outlineLevel="0" collapsed="false">
      <c r="A112" s="25" t="s">
        <v>302</v>
      </c>
      <c r="B112" s="25" t="s">
        <v>303</v>
      </c>
      <c r="C112" s="25" t="s">
        <v>74</v>
      </c>
      <c r="D112" s="25" t="s">
        <v>296</v>
      </c>
      <c r="E112" s="26" t="n">
        <v>41339</v>
      </c>
      <c r="F112" s="26" t="n">
        <v>36110</v>
      </c>
      <c r="G112" s="25" t="s">
        <v>84</v>
      </c>
      <c r="H112" s="25" t="n">
        <v>15</v>
      </c>
    </row>
    <row r="113" customFormat="false" ht="15" hidden="false" customHeight="false" outlineLevel="0" collapsed="false">
      <c r="A113" s="25" t="s">
        <v>304</v>
      </c>
      <c r="B113" s="25" t="s">
        <v>305</v>
      </c>
      <c r="C113" s="25" t="s">
        <v>74</v>
      </c>
      <c r="D113" s="25" t="s">
        <v>306</v>
      </c>
      <c r="E113" s="26" t="n">
        <v>41808</v>
      </c>
      <c r="F113" s="26" t="n">
        <v>37989</v>
      </c>
      <c r="G113" s="25" t="s">
        <v>81</v>
      </c>
      <c r="H113" s="25" t="n">
        <v>19</v>
      </c>
    </row>
    <row r="114" customFormat="false" ht="15" hidden="false" customHeight="false" outlineLevel="0" collapsed="false">
      <c r="A114" s="25" t="s">
        <v>307</v>
      </c>
      <c r="B114" s="25" t="s">
        <v>308</v>
      </c>
      <c r="C114" s="25" t="s">
        <v>74</v>
      </c>
      <c r="D114" s="25" t="s">
        <v>306</v>
      </c>
      <c r="E114" s="26" t="n">
        <v>45824</v>
      </c>
      <c r="F114" s="26" t="n">
        <v>33143</v>
      </c>
      <c r="G114" s="25" t="s">
        <v>84</v>
      </c>
      <c r="H114" s="25" t="n">
        <v>6</v>
      </c>
    </row>
    <row r="115" customFormat="false" ht="15" hidden="false" customHeight="false" outlineLevel="0" collapsed="false">
      <c r="A115" s="25" t="s">
        <v>309</v>
      </c>
      <c r="B115" s="25" t="s">
        <v>310</v>
      </c>
      <c r="C115" s="25" t="s">
        <v>74</v>
      </c>
      <c r="D115" s="25" t="s">
        <v>306</v>
      </c>
      <c r="E115" s="26" t="n">
        <v>43577</v>
      </c>
      <c r="F115" s="26" t="n">
        <v>33775</v>
      </c>
      <c r="G115" s="25" t="s">
        <v>87</v>
      </c>
      <c r="H115" s="25" t="n">
        <v>17</v>
      </c>
    </row>
    <row r="116" customFormat="false" ht="15" hidden="false" customHeight="false" outlineLevel="0" collapsed="false">
      <c r="A116" s="25" t="s">
        <v>311</v>
      </c>
      <c r="B116" s="25" t="s">
        <v>312</v>
      </c>
      <c r="C116" s="25" t="s">
        <v>74</v>
      </c>
      <c r="D116" s="25" t="s">
        <v>306</v>
      </c>
      <c r="E116" s="26" t="n">
        <v>45403</v>
      </c>
      <c r="F116" s="26" t="n">
        <v>32255</v>
      </c>
      <c r="G116" s="25" t="s">
        <v>84</v>
      </c>
      <c r="H116" s="25" t="n">
        <v>4</v>
      </c>
    </row>
    <row r="117" customFormat="false" ht="15" hidden="false" customHeight="false" outlineLevel="0" collapsed="false">
      <c r="A117" s="25" t="s">
        <v>313</v>
      </c>
      <c r="B117" s="25" t="s">
        <v>314</v>
      </c>
      <c r="C117" s="25" t="s">
        <v>74</v>
      </c>
      <c r="D117" s="25" t="s">
        <v>306</v>
      </c>
      <c r="E117" s="26" t="n">
        <v>41979</v>
      </c>
      <c r="F117" s="26" t="n">
        <v>32369</v>
      </c>
      <c r="G117" s="25" t="s">
        <v>87</v>
      </c>
      <c r="H117" s="25" t="n">
        <v>17</v>
      </c>
    </row>
    <row r="118" customFormat="false" ht="15" hidden="false" customHeight="false" outlineLevel="0" collapsed="false">
      <c r="A118" s="25" t="s">
        <v>315</v>
      </c>
      <c r="B118" s="25" t="s">
        <v>316</v>
      </c>
      <c r="C118" s="25" t="s">
        <v>74</v>
      </c>
      <c r="D118" s="25" t="s">
        <v>306</v>
      </c>
      <c r="E118" s="26" t="n">
        <v>43352</v>
      </c>
      <c r="F118" s="26" t="n">
        <v>28419</v>
      </c>
      <c r="G118" s="25" t="s">
        <v>87</v>
      </c>
      <c r="H118" s="25" t="n">
        <v>24</v>
      </c>
    </row>
    <row r="119" customFormat="false" ht="15" hidden="false" customHeight="false" outlineLevel="0" collapsed="false">
      <c r="A119" s="25" t="s">
        <v>317</v>
      </c>
      <c r="B119" s="25" t="s">
        <v>318</v>
      </c>
      <c r="C119" s="25" t="s">
        <v>74</v>
      </c>
      <c r="D119" s="25" t="s">
        <v>306</v>
      </c>
      <c r="E119" s="26" t="n">
        <v>44107</v>
      </c>
      <c r="F119" s="26" t="n">
        <v>31296</v>
      </c>
      <c r="G119" s="25" t="s">
        <v>84</v>
      </c>
      <c r="H119" s="25" t="n">
        <v>21</v>
      </c>
    </row>
    <row r="120" customFormat="false" ht="15" hidden="false" customHeight="false" outlineLevel="0" collapsed="false">
      <c r="A120" s="25" t="s">
        <v>319</v>
      </c>
      <c r="B120" s="25" t="s">
        <v>320</v>
      </c>
      <c r="C120" s="25" t="s">
        <v>74</v>
      </c>
      <c r="D120" s="25" t="s">
        <v>306</v>
      </c>
      <c r="E120" s="26" t="n">
        <v>45640</v>
      </c>
      <c r="F120" s="26" t="n">
        <v>35570</v>
      </c>
      <c r="G120" s="25" t="s">
        <v>87</v>
      </c>
      <c r="H120" s="25" t="n">
        <v>21</v>
      </c>
    </row>
    <row r="121" customFormat="false" ht="15" hidden="false" customHeight="false" outlineLevel="0" collapsed="false">
      <c r="A121" s="25" t="s">
        <v>321</v>
      </c>
      <c r="B121" s="25" t="s">
        <v>322</v>
      </c>
      <c r="C121" s="25" t="s">
        <v>74</v>
      </c>
      <c r="D121" s="25" t="s">
        <v>323</v>
      </c>
      <c r="E121" s="26" t="n">
        <v>40887</v>
      </c>
      <c r="F121" s="26" t="n">
        <v>35253</v>
      </c>
      <c r="G121" s="25" t="s">
        <v>84</v>
      </c>
      <c r="H121" s="25" t="n">
        <v>19</v>
      </c>
    </row>
    <row r="122" customFormat="false" ht="15" hidden="false" customHeight="false" outlineLevel="0" collapsed="false">
      <c r="A122" s="25" t="s">
        <v>324</v>
      </c>
      <c r="B122" s="25" t="s">
        <v>303</v>
      </c>
      <c r="C122" s="25" t="s">
        <v>74</v>
      </c>
      <c r="D122" s="25" t="s">
        <v>323</v>
      </c>
      <c r="E122" s="26" t="n">
        <v>45148</v>
      </c>
      <c r="F122" s="26" t="n">
        <v>31434</v>
      </c>
      <c r="G122" s="25" t="s">
        <v>87</v>
      </c>
      <c r="H122" s="25" t="n">
        <v>10</v>
      </c>
    </row>
    <row r="123" customFormat="false" ht="15" hidden="false" customHeight="false" outlineLevel="0" collapsed="false">
      <c r="A123" s="25" t="s">
        <v>325</v>
      </c>
      <c r="B123" s="25" t="s">
        <v>134</v>
      </c>
      <c r="C123" s="25" t="s">
        <v>74</v>
      </c>
      <c r="D123" s="25" t="s">
        <v>323</v>
      </c>
      <c r="E123" s="26" t="n">
        <v>44453</v>
      </c>
      <c r="F123" s="26" t="n">
        <v>37995</v>
      </c>
      <c r="G123" s="25" t="s">
        <v>81</v>
      </c>
      <c r="H123" s="25" t="n">
        <v>19</v>
      </c>
    </row>
    <row r="124" customFormat="false" ht="15" hidden="false" customHeight="false" outlineLevel="0" collapsed="false">
      <c r="A124" s="25" t="s">
        <v>326</v>
      </c>
      <c r="B124" s="25" t="s">
        <v>327</v>
      </c>
      <c r="C124" s="25" t="s">
        <v>74</v>
      </c>
      <c r="D124" s="25" t="s">
        <v>323</v>
      </c>
      <c r="E124" s="26" t="n">
        <v>42411</v>
      </c>
      <c r="F124" s="26" t="n">
        <v>31496</v>
      </c>
      <c r="G124" s="25" t="s">
        <v>84</v>
      </c>
      <c r="H124" s="25" t="n">
        <v>17</v>
      </c>
    </row>
    <row r="125" customFormat="false" ht="15" hidden="false" customHeight="false" outlineLevel="0" collapsed="false">
      <c r="A125" s="25" t="s">
        <v>328</v>
      </c>
      <c r="B125" s="25" t="s">
        <v>129</v>
      </c>
      <c r="C125" s="25" t="s">
        <v>74</v>
      </c>
      <c r="D125" s="25" t="s">
        <v>323</v>
      </c>
      <c r="E125" s="26" t="n">
        <v>41276</v>
      </c>
      <c r="F125" s="26" t="n">
        <v>37549</v>
      </c>
      <c r="G125" s="25" t="s">
        <v>81</v>
      </c>
      <c r="H125" s="25" t="n">
        <v>4</v>
      </c>
    </row>
    <row r="126" customFormat="false" ht="15" hidden="false" customHeight="false" outlineLevel="0" collapsed="false">
      <c r="A126" s="25" t="s">
        <v>329</v>
      </c>
      <c r="B126" s="25" t="s">
        <v>330</v>
      </c>
      <c r="C126" s="25" t="s">
        <v>74</v>
      </c>
      <c r="D126" s="25" t="s">
        <v>323</v>
      </c>
      <c r="E126" s="26" t="n">
        <v>45061</v>
      </c>
      <c r="F126" s="26" t="n">
        <v>27093</v>
      </c>
      <c r="G126" s="25" t="s">
        <v>87</v>
      </c>
      <c r="H126" s="25" t="n">
        <v>4</v>
      </c>
    </row>
    <row r="127" customFormat="false" ht="15" hidden="false" customHeight="false" outlineLevel="0" collapsed="false">
      <c r="A127" s="25" t="s">
        <v>331</v>
      </c>
      <c r="B127" s="25" t="s">
        <v>162</v>
      </c>
      <c r="C127" s="25" t="s">
        <v>74</v>
      </c>
      <c r="D127" s="25" t="s">
        <v>332</v>
      </c>
      <c r="E127" s="26" t="n">
        <v>42577</v>
      </c>
      <c r="F127" s="26" t="n">
        <v>35220</v>
      </c>
      <c r="G127" s="25" t="s">
        <v>87</v>
      </c>
      <c r="H127" s="25" t="n">
        <v>19</v>
      </c>
    </row>
    <row r="128" customFormat="false" ht="15" hidden="false" customHeight="false" outlineLevel="0" collapsed="false">
      <c r="A128" s="25" t="s">
        <v>333</v>
      </c>
      <c r="B128" s="25" t="s">
        <v>334</v>
      </c>
      <c r="C128" s="25" t="s">
        <v>74</v>
      </c>
      <c r="D128" s="25" t="s">
        <v>332</v>
      </c>
      <c r="E128" s="26" t="n">
        <v>42404</v>
      </c>
      <c r="F128" s="26" t="n">
        <v>33973</v>
      </c>
      <c r="G128" s="25" t="s">
        <v>84</v>
      </c>
      <c r="H128" s="25" t="n">
        <v>12</v>
      </c>
    </row>
    <row r="129" customFormat="false" ht="15" hidden="false" customHeight="false" outlineLevel="0" collapsed="false">
      <c r="A129" s="25" t="s">
        <v>335</v>
      </c>
      <c r="B129" s="25" t="s">
        <v>336</v>
      </c>
      <c r="C129" s="25" t="s">
        <v>74</v>
      </c>
      <c r="D129" s="25" t="s">
        <v>332</v>
      </c>
      <c r="E129" s="26" t="n">
        <v>45276</v>
      </c>
      <c r="F129" s="26" t="n">
        <v>32565</v>
      </c>
      <c r="G129" s="25" t="s">
        <v>84</v>
      </c>
      <c r="H129" s="25" t="n">
        <v>21</v>
      </c>
    </row>
    <row r="130" customFormat="false" ht="15" hidden="false" customHeight="false" outlineLevel="0" collapsed="false">
      <c r="A130" s="25" t="s">
        <v>337</v>
      </c>
      <c r="B130" s="25" t="s">
        <v>338</v>
      </c>
      <c r="C130" s="25" t="s">
        <v>74</v>
      </c>
      <c r="D130" s="25" t="s">
        <v>332</v>
      </c>
      <c r="E130" s="26" t="n">
        <v>43536</v>
      </c>
      <c r="F130" s="26" t="n">
        <v>38567</v>
      </c>
      <c r="G130" s="25" t="s">
        <v>87</v>
      </c>
      <c r="H130" s="25" t="n">
        <v>10</v>
      </c>
    </row>
    <row r="131" customFormat="false" ht="15" hidden="false" customHeight="false" outlineLevel="0" collapsed="false">
      <c r="A131" s="25" t="s">
        <v>339</v>
      </c>
      <c r="B131" s="25" t="s">
        <v>340</v>
      </c>
      <c r="C131" s="25" t="s">
        <v>74</v>
      </c>
      <c r="D131" s="25" t="s">
        <v>332</v>
      </c>
      <c r="E131" s="26" t="n">
        <v>45128</v>
      </c>
      <c r="F131" s="26" t="n">
        <v>36763</v>
      </c>
      <c r="G131" s="25" t="s">
        <v>87</v>
      </c>
      <c r="H131" s="25" t="n">
        <v>8</v>
      </c>
    </row>
    <row r="132" customFormat="false" ht="15" hidden="false" customHeight="false" outlineLevel="0" collapsed="false">
      <c r="A132" s="25" t="s">
        <v>341</v>
      </c>
      <c r="B132" s="25" t="s">
        <v>342</v>
      </c>
      <c r="C132" s="25" t="s">
        <v>74</v>
      </c>
      <c r="D132" s="25" t="s">
        <v>332</v>
      </c>
      <c r="E132" s="26" t="n">
        <v>45403</v>
      </c>
      <c r="F132" s="26" t="n">
        <v>27751</v>
      </c>
      <c r="G132" s="25" t="s">
        <v>87</v>
      </c>
      <c r="H132" s="25" t="n">
        <v>17</v>
      </c>
    </row>
    <row r="133" customFormat="false" ht="15" hidden="false" customHeight="false" outlineLevel="0" collapsed="false">
      <c r="A133" s="25" t="s">
        <v>343</v>
      </c>
      <c r="B133" s="25" t="s">
        <v>344</v>
      </c>
      <c r="C133" s="25" t="s">
        <v>74</v>
      </c>
      <c r="D133" s="25" t="s">
        <v>332</v>
      </c>
      <c r="E133" s="26" t="n">
        <v>46151</v>
      </c>
      <c r="F133" s="26" t="n">
        <v>39271</v>
      </c>
      <c r="G133" s="25" t="s">
        <v>87</v>
      </c>
      <c r="H133" s="25" t="n">
        <v>0</v>
      </c>
    </row>
    <row r="134" customFormat="false" ht="15" hidden="false" customHeight="false" outlineLevel="0" collapsed="false">
      <c r="A134" s="25" t="s">
        <v>345</v>
      </c>
      <c r="B134" s="25" t="s">
        <v>346</v>
      </c>
      <c r="C134" s="25" t="s">
        <v>74</v>
      </c>
      <c r="D134" s="25" t="s">
        <v>332</v>
      </c>
      <c r="E134" s="26" t="n">
        <v>45103</v>
      </c>
      <c r="F134" s="26" t="n">
        <v>30845</v>
      </c>
      <c r="G134" s="25" t="s">
        <v>81</v>
      </c>
      <c r="H134" s="25" t="n">
        <v>28</v>
      </c>
    </row>
    <row r="135" customFormat="false" ht="15" hidden="false" customHeight="false" outlineLevel="0" collapsed="false">
      <c r="A135" s="25" t="s">
        <v>347</v>
      </c>
      <c r="B135" s="25" t="s">
        <v>142</v>
      </c>
      <c r="C135" s="25" t="s">
        <v>348</v>
      </c>
      <c r="D135" s="25" t="s">
        <v>349</v>
      </c>
      <c r="E135" s="26" t="n">
        <v>41397</v>
      </c>
      <c r="F135" s="26" t="n">
        <v>29088</v>
      </c>
      <c r="G135" s="25" t="s">
        <v>87</v>
      </c>
      <c r="H135" s="25" t="n">
        <v>14</v>
      </c>
    </row>
    <row r="136" customFormat="false" ht="15" hidden="false" customHeight="false" outlineLevel="0" collapsed="false">
      <c r="A136" s="25" t="s">
        <v>350</v>
      </c>
      <c r="B136" s="25" t="s">
        <v>351</v>
      </c>
      <c r="C136" s="25" t="s">
        <v>348</v>
      </c>
      <c r="D136" s="25" t="s">
        <v>349</v>
      </c>
      <c r="E136" s="26" t="n">
        <v>44385</v>
      </c>
      <c r="F136" s="26" t="n">
        <v>38475</v>
      </c>
      <c r="G136" s="25" t="s">
        <v>81</v>
      </c>
      <c r="H136" s="25" t="n">
        <v>24</v>
      </c>
    </row>
    <row r="137" customFormat="false" ht="15" hidden="false" customHeight="false" outlineLevel="0" collapsed="false">
      <c r="A137" s="25" t="s">
        <v>352</v>
      </c>
      <c r="B137" s="25" t="s">
        <v>353</v>
      </c>
      <c r="C137" s="25" t="s">
        <v>348</v>
      </c>
      <c r="D137" s="25" t="s">
        <v>349</v>
      </c>
      <c r="E137" s="26" t="n">
        <v>41376</v>
      </c>
      <c r="F137" s="26" t="n">
        <v>35691</v>
      </c>
      <c r="G137" s="25" t="s">
        <v>87</v>
      </c>
      <c r="H137" s="25" t="n">
        <v>15</v>
      </c>
    </row>
    <row r="138" customFormat="false" ht="15" hidden="false" customHeight="false" outlineLevel="0" collapsed="false">
      <c r="A138" s="25" t="s">
        <v>354</v>
      </c>
      <c r="B138" s="25" t="s">
        <v>353</v>
      </c>
      <c r="C138" s="25" t="s">
        <v>348</v>
      </c>
      <c r="D138" s="25" t="s">
        <v>349</v>
      </c>
      <c r="E138" s="26" t="n">
        <v>41907</v>
      </c>
      <c r="F138" s="26" t="n">
        <v>29643</v>
      </c>
      <c r="G138" s="25" t="s">
        <v>87</v>
      </c>
      <c r="H138" s="25" t="n">
        <v>17</v>
      </c>
    </row>
    <row r="139" customFormat="false" ht="15" hidden="false" customHeight="false" outlineLevel="0" collapsed="false">
      <c r="A139" s="25" t="s">
        <v>355</v>
      </c>
      <c r="B139" s="25" t="s">
        <v>356</v>
      </c>
      <c r="C139" s="25" t="s">
        <v>348</v>
      </c>
      <c r="D139" s="25" t="s">
        <v>349</v>
      </c>
      <c r="E139" s="26" t="n">
        <v>42942</v>
      </c>
      <c r="F139" s="26" t="n">
        <v>31511</v>
      </c>
      <c r="G139" s="25" t="s">
        <v>81</v>
      </c>
      <c r="H139" s="25" t="n">
        <v>28</v>
      </c>
    </row>
    <row r="140" customFormat="false" ht="15" hidden="false" customHeight="false" outlineLevel="0" collapsed="false">
      <c r="A140" s="25" t="s">
        <v>357</v>
      </c>
      <c r="B140" s="25" t="s">
        <v>358</v>
      </c>
      <c r="C140" s="25" t="s">
        <v>348</v>
      </c>
      <c r="D140" s="25" t="s">
        <v>359</v>
      </c>
      <c r="E140" s="26" t="n">
        <v>42746</v>
      </c>
      <c r="F140" s="26" t="n">
        <v>35726</v>
      </c>
      <c r="G140" s="25" t="s">
        <v>84</v>
      </c>
      <c r="H140" s="25" t="n">
        <v>21</v>
      </c>
    </row>
    <row r="141" customFormat="false" ht="15" hidden="false" customHeight="false" outlineLevel="0" collapsed="false">
      <c r="A141" s="25" t="s">
        <v>360</v>
      </c>
      <c r="B141" s="25" t="s">
        <v>361</v>
      </c>
      <c r="C141" s="25" t="s">
        <v>348</v>
      </c>
      <c r="D141" s="25" t="s">
        <v>359</v>
      </c>
      <c r="E141" s="26" t="n">
        <v>45073</v>
      </c>
      <c r="F141" s="26" t="n">
        <v>28407</v>
      </c>
      <c r="G141" s="25" t="s">
        <v>87</v>
      </c>
      <c r="H141" s="25" t="n">
        <v>24</v>
      </c>
    </row>
    <row r="142" customFormat="false" ht="15" hidden="false" customHeight="false" outlineLevel="0" collapsed="false">
      <c r="A142" s="25" t="s">
        <v>362</v>
      </c>
      <c r="B142" s="25" t="s">
        <v>363</v>
      </c>
      <c r="C142" s="25" t="s">
        <v>348</v>
      </c>
      <c r="D142" s="25" t="s">
        <v>359</v>
      </c>
      <c r="E142" s="26" t="n">
        <v>46217</v>
      </c>
      <c r="F142" s="26" t="n">
        <v>34346</v>
      </c>
      <c r="G142" s="25" t="s">
        <v>87</v>
      </c>
      <c r="H142" s="25" t="n">
        <v>0</v>
      </c>
    </row>
    <row r="143" customFormat="false" ht="15" hidden="false" customHeight="false" outlineLevel="0" collapsed="false">
      <c r="A143" s="25" t="s">
        <v>364</v>
      </c>
      <c r="B143" s="25" t="s">
        <v>330</v>
      </c>
      <c r="C143" s="25" t="s">
        <v>348</v>
      </c>
      <c r="D143" s="25" t="s">
        <v>359</v>
      </c>
      <c r="E143" s="26" t="n">
        <v>40561</v>
      </c>
      <c r="F143" s="26" t="n">
        <v>29236</v>
      </c>
      <c r="G143" s="25" t="s">
        <v>87</v>
      </c>
      <c r="H143" s="25" t="n">
        <v>15</v>
      </c>
    </row>
    <row r="144" customFormat="false" ht="15" hidden="false" customHeight="false" outlineLevel="0" collapsed="false">
      <c r="A144" s="25" t="s">
        <v>365</v>
      </c>
      <c r="B144" s="25" t="s">
        <v>366</v>
      </c>
      <c r="C144" s="25" t="s">
        <v>348</v>
      </c>
      <c r="D144" s="25" t="s">
        <v>359</v>
      </c>
      <c r="E144" s="26" t="n">
        <v>44545</v>
      </c>
      <c r="F144" s="26" t="n">
        <v>28426</v>
      </c>
      <c r="G144" s="25" t="s">
        <v>87</v>
      </c>
      <c r="H144" s="25" t="n">
        <v>8</v>
      </c>
    </row>
    <row r="145" customFormat="false" ht="15" hidden="false" customHeight="false" outlineLevel="0" collapsed="false">
      <c r="A145" s="25" t="s">
        <v>367</v>
      </c>
      <c r="B145" s="25" t="s">
        <v>351</v>
      </c>
      <c r="C145" s="25" t="s">
        <v>348</v>
      </c>
      <c r="D145" s="25" t="s">
        <v>359</v>
      </c>
      <c r="E145" s="26" t="n">
        <v>43810</v>
      </c>
      <c r="F145" s="26" t="n">
        <v>33321</v>
      </c>
      <c r="G145" s="25" t="s">
        <v>81</v>
      </c>
      <c r="H145" s="25" t="n">
        <v>0</v>
      </c>
    </row>
    <row r="146" customFormat="false" ht="15" hidden="false" customHeight="false" outlineLevel="0" collapsed="false">
      <c r="A146" s="25" t="s">
        <v>368</v>
      </c>
      <c r="B146" s="25" t="s">
        <v>369</v>
      </c>
      <c r="C146" s="25" t="s">
        <v>348</v>
      </c>
      <c r="D146" s="25" t="s">
        <v>370</v>
      </c>
      <c r="E146" s="26" t="n">
        <v>43736</v>
      </c>
      <c r="F146" s="26" t="n">
        <v>30152</v>
      </c>
      <c r="G146" s="25" t="s">
        <v>87</v>
      </c>
      <c r="H146" s="25" t="n">
        <v>15</v>
      </c>
    </row>
    <row r="147" customFormat="false" ht="15" hidden="false" customHeight="false" outlineLevel="0" collapsed="false">
      <c r="A147" s="25" t="s">
        <v>371</v>
      </c>
      <c r="B147" s="25" t="s">
        <v>181</v>
      </c>
      <c r="C147" s="25" t="s">
        <v>348</v>
      </c>
      <c r="D147" s="25" t="s">
        <v>370</v>
      </c>
      <c r="E147" s="26" t="n">
        <v>41408</v>
      </c>
      <c r="F147" s="26" t="n">
        <v>28380</v>
      </c>
      <c r="G147" s="25" t="s">
        <v>87</v>
      </c>
      <c r="H147" s="25" t="n">
        <v>12</v>
      </c>
    </row>
    <row r="148" customFormat="false" ht="15" hidden="false" customHeight="false" outlineLevel="0" collapsed="false">
      <c r="A148" s="25" t="s">
        <v>372</v>
      </c>
      <c r="B148" s="25" t="s">
        <v>373</v>
      </c>
      <c r="C148" s="25" t="s">
        <v>348</v>
      </c>
      <c r="D148" s="25" t="s">
        <v>370</v>
      </c>
      <c r="E148" s="26" t="n">
        <v>43512</v>
      </c>
      <c r="F148" s="26" t="n">
        <v>34077</v>
      </c>
      <c r="G148" s="25" t="s">
        <v>81</v>
      </c>
      <c r="H148" s="25" t="n">
        <v>19</v>
      </c>
    </row>
    <row r="149" customFormat="false" ht="15" hidden="false" customHeight="false" outlineLevel="0" collapsed="false">
      <c r="A149" s="25" t="s">
        <v>374</v>
      </c>
      <c r="B149" s="25" t="s">
        <v>375</v>
      </c>
      <c r="C149" s="25" t="s">
        <v>348</v>
      </c>
      <c r="D149" s="25" t="s">
        <v>370</v>
      </c>
      <c r="E149" s="26" t="n">
        <v>40628</v>
      </c>
      <c r="F149" s="26" t="n">
        <v>37611</v>
      </c>
      <c r="G149" s="25" t="s">
        <v>87</v>
      </c>
      <c r="H149" s="25" t="n">
        <v>19</v>
      </c>
    </row>
    <row r="150" customFormat="false" ht="15" hidden="false" customHeight="false" outlineLevel="0" collapsed="false">
      <c r="A150" s="25" t="s">
        <v>376</v>
      </c>
      <c r="B150" s="25" t="s">
        <v>351</v>
      </c>
      <c r="C150" s="25" t="s">
        <v>348</v>
      </c>
      <c r="D150" s="25" t="s">
        <v>370</v>
      </c>
      <c r="E150" s="26" t="n">
        <v>42386</v>
      </c>
      <c r="F150" s="26" t="n">
        <v>26520</v>
      </c>
      <c r="G150" s="25" t="s">
        <v>87</v>
      </c>
      <c r="H150" s="25" t="n">
        <v>2</v>
      </c>
    </row>
    <row r="151" customFormat="false" ht="15" hidden="false" customHeight="false" outlineLevel="0" collapsed="false">
      <c r="A151" s="25" t="s">
        <v>377</v>
      </c>
      <c r="B151" s="25" t="s">
        <v>378</v>
      </c>
      <c r="C151" s="25" t="s">
        <v>348</v>
      </c>
      <c r="D151" s="25" t="s">
        <v>379</v>
      </c>
      <c r="E151" s="26" t="n">
        <v>40989</v>
      </c>
      <c r="F151" s="26" t="n">
        <v>31645</v>
      </c>
      <c r="G151" s="25" t="s">
        <v>87</v>
      </c>
      <c r="H151" s="25" t="n">
        <v>19</v>
      </c>
    </row>
    <row r="152" customFormat="false" ht="15" hidden="false" customHeight="false" outlineLevel="0" collapsed="false">
      <c r="A152" s="25" t="s">
        <v>380</v>
      </c>
      <c r="B152" s="25" t="s">
        <v>381</v>
      </c>
      <c r="C152" s="25" t="s">
        <v>348</v>
      </c>
      <c r="D152" s="25" t="s">
        <v>379</v>
      </c>
      <c r="E152" s="26" t="n">
        <v>44784</v>
      </c>
      <c r="F152" s="26" t="n">
        <v>27458</v>
      </c>
      <c r="G152" s="25" t="s">
        <v>81</v>
      </c>
      <c r="H152" s="25" t="n">
        <v>19</v>
      </c>
    </row>
    <row r="153" customFormat="false" ht="15" hidden="false" customHeight="false" outlineLevel="0" collapsed="false">
      <c r="A153" s="25" t="s">
        <v>382</v>
      </c>
      <c r="B153" s="25" t="s">
        <v>383</v>
      </c>
      <c r="C153" s="25" t="s">
        <v>348</v>
      </c>
      <c r="D153" s="25" t="s">
        <v>379</v>
      </c>
      <c r="E153" s="26" t="n">
        <v>45605</v>
      </c>
      <c r="F153" s="26" t="n">
        <v>33402</v>
      </c>
      <c r="G153" s="25" t="s">
        <v>87</v>
      </c>
      <c r="H153" s="25" t="n">
        <v>10</v>
      </c>
    </row>
    <row r="154" customFormat="false" ht="15" hidden="false" customHeight="false" outlineLevel="0" collapsed="false">
      <c r="A154" s="25" t="s">
        <v>384</v>
      </c>
      <c r="B154" s="25" t="s">
        <v>385</v>
      </c>
      <c r="C154" s="25" t="s">
        <v>348</v>
      </c>
      <c r="D154" s="25" t="s">
        <v>379</v>
      </c>
      <c r="E154" s="26" t="n">
        <v>44441</v>
      </c>
      <c r="F154" s="26" t="n">
        <v>32615</v>
      </c>
      <c r="G154" s="25" t="s">
        <v>87</v>
      </c>
      <c r="H154" s="25" t="n">
        <v>8</v>
      </c>
    </row>
    <row r="155" customFormat="false" ht="15" hidden="false" customHeight="false" outlineLevel="0" collapsed="false">
      <c r="A155" s="25" t="s">
        <v>386</v>
      </c>
      <c r="B155" s="25" t="s">
        <v>147</v>
      </c>
      <c r="C155" s="25" t="s">
        <v>348</v>
      </c>
      <c r="D155" s="25" t="s">
        <v>379</v>
      </c>
      <c r="E155" s="26" t="n">
        <v>43424</v>
      </c>
      <c r="F155" s="26" t="n">
        <v>33760</v>
      </c>
      <c r="G155" s="25" t="s">
        <v>87</v>
      </c>
      <c r="H155" s="25" t="n">
        <v>15</v>
      </c>
    </row>
    <row r="156" customFormat="false" ht="15" hidden="false" customHeight="false" outlineLevel="0" collapsed="false">
      <c r="A156" s="25" t="s">
        <v>387</v>
      </c>
      <c r="B156" s="25" t="s">
        <v>388</v>
      </c>
      <c r="C156" s="25" t="s">
        <v>348</v>
      </c>
      <c r="D156" s="25" t="s">
        <v>379</v>
      </c>
      <c r="E156" s="26" t="n">
        <v>41127</v>
      </c>
      <c r="F156" s="26" t="n">
        <v>37939</v>
      </c>
      <c r="G156" s="25" t="s">
        <v>87</v>
      </c>
      <c r="H156" s="25" t="n">
        <v>14</v>
      </c>
    </row>
    <row r="157" customFormat="false" ht="15" hidden="false" customHeight="false" outlineLevel="0" collapsed="false">
      <c r="A157" s="25" t="s">
        <v>389</v>
      </c>
      <c r="B157" s="25" t="s">
        <v>132</v>
      </c>
      <c r="C157" s="25" t="s">
        <v>348</v>
      </c>
      <c r="D157" s="25" t="s">
        <v>379</v>
      </c>
      <c r="E157" s="26" t="n">
        <v>45495</v>
      </c>
      <c r="F157" s="26" t="n">
        <v>31488</v>
      </c>
      <c r="G157" s="25" t="s">
        <v>81</v>
      </c>
      <c r="H157" s="25" t="n">
        <v>28</v>
      </c>
    </row>
    <row r="158" customFormat="false" ht="15" hidden="false" customHeight="false" outlineLevel="0" collapsed="false">
      <c r="A158" s="25" t="s">
        <v>390</v>
      </c>
      <c r="B158" s="25" t="s">
        <v>127</v>
      </c>
      <c r="C158" s="25" t="s">
        <v>391</v>
      </c>
      <c r="D158" s="25" t="s">
        <v>392</v>
      </c>
      <c r="E158" s="26" t="n">
        <v>41899</v>
      </c>
      <c r="F158" s="26" t="n">
        <v>36320</v>
      </c>
      <c r="G158" s="25" t="s">
        <v>81</v>
      </c>
      <c r="H158" s="25" t="n">
        <v>12</v>
      </c>
    </row>
    <row r="159" customFormat="false" ht="15" hidden="false" customHeight="false" outlineLevel="0" collapsed="false">
      <c r="A159" s="25" t="s">
        <v>393</v>
      </c>
      <c r="B159" s="25" t="s">
        <v>110</v>
      </c>
      <c r="C159" s="25" t="s">
        <v>391</v>
      </c>
      <c r="D159" s="25" t="s">
        <v>392</v>
      </c>
      <c r="E159" s="26" t="n">
        <v>40671</v>
      </c>
      <c r="F159" s="26" t="n">
        <v>33477</v>
      </c>
      <c r="G159" s="25" t="s">
        <v>87</v>
      </c>
      <c r="H159" s="25" t="n">
        <v>19</v>
      </c>
    </row>
    <row r="160" customFormat="false" ht="15" hidden="false" customHeight="false" outlineLevel="0" collapsed="false">
      <c r="A160" s="25" t="s">
        <v>394</v>
      </c>
      <c r="B160" s="25" t="s">
        <v>106</v>
      </c>
      <c r="C160" s="25" t="s">
        <v>391</v>
      </c>
      <c r="D160" s="25" t="s">
        <v>392</v>
      </c>
      <c r="E160" s="26" t="n">
        <v>44362</v>
      </c>
      <c r="F160" s="26" t="n">
        <v>34552</v>
      </c>
      <c r="G160" s="25" t="s">
        <v>84</v>
      </c>
      <c r="H160" s="25" t="n">
        <v>21</v>
      </c>
    </row>
    <row r="161" customFormat="false" ht="15" hidden="false" customHeight="false" outlineLevel="0" collapsed="false">
      <c r="A161" s="25" t="s">
        <v>395</v>
      </c>
      <c r="B161" s="25" t="s">
        <v>396</v>
      </c>
      <c r="C161" s="25" t="s">
        <v>391</v>
      </c>
      <c r="D161" s="25" t="s">
        <v>392</v>
      </c>
      <c r="E161" s="26" t="n">
        <v>46138</v>
      </c>
      <c r="F161" s="26" t="n">
        <v>38066</v>
      </c>
      <c r="G161" s="25" t="s">
        <v>84</v>
      </c>
      <c r="H161" s="25" t="n">
        <v>0</v>
      </c>
    </row>
    <row r="162" customFormat="false" ht="15" hidden="false" customHeight="false" outlineLevel="0" collapsed="false">
      <c r="A162" s="25" t="s">
        <v>397</v>
      </c>
      <c r="B162" s="25" t="s">
        <v>278</v>
      </c>
      <c r="C162" s="25" t="s">
        <v>391</v>
      </c>
      <c r="D162" s="25" t="s">
        <v>392</v>
      </c>
      <c r="E162" s="26" t="n">
        <v>41461</v>
      </c>
      <c r="F162" s="26" t="n">
        <v>27916</v>
      </c>
      <c r="G162" s="25" t="s">
        <v>81</v>
      </c>
      <c r="H162" s="25" t="n">
        <v>24</v>
      </c>
    </row>
    <row r="163" customFormat="false" ht="15" hidden="false" customHeight="false" outlineLevel="0" collapsed="false">
      <c r="A163" s="25" t="s">
        <v>398</v>
      </c>
      <c r="B163" s="25" t="s">
        <v>399</v>
      </c>
      <c r="C163" s="25" t="s">
        <v>391</v>
      </c>
      <c r="D163" s="25" t="s">
        <v>392</v>
      </c>
      <c r="E163" s="26" t="n">
        <v>46214</v>
      </c>
      <c r="F163" s="26" t="n">
        <v>28228</v>
      </c>
      <c r="G163" s="25" t="s">
        <v>87</v>
      </c>
      <c r="H163" s="25" t="n">
        <v>0</v>
      </c>
    </row>
    <row r="164" customFormat="false" ht="15" hidden="false" customHeight="false" outlineLevel="0" collapsed="false">
      <c r="A164" s="25" t="s">
        <v>400</v>
      </c>
      <c r="B164" s="25" t="s">
        <v>401</v>
      </c>
      <c r="C164" s="25" t="s">
        <v>391</v>
      </c>
      <c r="D164" s="25" t="s">
        <v>392</v>
      </c>
      <c r="E164" s="26" t="n">
        <v>41072</v>
      </c>
      <c r="F164" s="26" t="n">
        <v>33560</v>
      </c>
      <c r="G164" s="25" t="s">
        <v>87</v>
      </c>
      <c r="H164" s="25" t="n">
        <v>24</v>
      </c>
    </row>
    <row r="165" customFormat="false" ht="15" hidden="false" customHeight="false" outlineLevel="0" collapsed="false">
      <c r="A165" s="25" t="s">
        <v>402</v>
      </c>
      <c r="B165" s="25" t="s">
        <v>160</v>
      </c>
      <c r="C165" s="25" t="s">
        <v>391</v>
      </c>
      <c r="D165" s="25" t="s">
        <v>392</v>
      </c>
      <c r="E165" s="26" t="n">
        <v>42699</v>
      </c>
      <c r="F165" s="26" t="n">
        <v>26490</v>
      </c>
      <c r="G165" s="25" t="s">
        <v>81</v>
      </c>
      <c r="H165" s="25" t="n">
        <v>14</v>
      </c>
    </row>
    <row r="166" customFormat="false" ht="15" hidden="false" customHeight="false" outlineLevel="0" collapsed="false">
      <c r="A166" s="25" t="s">
        <v>403</v>
      </c>
      <c r="B166" s="25" t="s">
        <v>199</v>
      </c>
      <c r="C166" s="25" t="s">
        <v>391</v>
      </c>
      <c r="D166" s="25" t="s">
        <v>404</v>
      </c>
      <c r="E166" s="26" t="n">
        <v>40641</v>
      </c>
      <c r="F166" s="26" t="n">
        <v>36211</v>
      </c>
      <c r="G166" s="25" t="s">
        <v>87</v>
      </c>
      <c r="H166" s="25" t="n">
        <v>19</v>
      </c>
    </row>
    <row r="167" customFormat="false" ht="15" hidden="false" customHeight="false" outlineLevel="0" collapsed="false">
      <c r="A167" s="25" t="s">
        <v>405</v>
      </c>
      <c r="B167" s="25" t="s">
        <v>308</v>
      </c>
      <c r="C167" s="25" t="s">
        <v>391</v>
      </c>
      <c r="D167" s="25" t="s">
        <v>404</v>
      </c>
      <c r="E167" s="26" t="n">
        <v>42781</v>
      </c>
      <c r="F167" s="26" t="n">
        <v>26940</v>
      </c>
      <c r="G167" s="25" t="s">
        <v>87</v>
      </c>
      <c r="H167" s="25" t="n">
        <v>24</v>
      </c>
    </row>
    <row r="168" customFormat="false" ht="15" hidden="false" customHeight="false" outlineLevel="0" collapsed="false">
      <c r="A168" s="25" t="s">
        <v>406</v>
      </c>
      <c r="B168" s="25" t="s">
        <v>407</v>
      </c>
      <c r="C168" s="25" t="s">
        <v>391</v>
      </c>
      <c r="D168" s="25" t="s">
        <v>404</v>
      </c>
      <c r="E168" s="26" t="n">
        <v>45567</v>
      </c>
      <c r="F168" s="26" t="n">
        <v>29455</v>
      </c>
      <c r="G168" s="25" t="s">
        <v>87</v>
      </c>
      <c r="H168" s="25" t="n">
        <v>12</v>
      </c>
    </row>
    <row r="169" customFormat="false" ht="15" hidden="false" customHeight="false" outlineLevel="0" collapsed="false">
      <c r="A169" s="25" t="s">
        <v>408</v>
      </c>
      <c r="B169" s="25" t="s">
        <v>227</v>
      </c>
      <c r="C169" s="25" t="s">
        <v>391</v>
      </c>
      <c r="D169" s="25" t="s">
        <v>404</v>
      </c>
      <c r="E169" s="26" t="n">
        <v>42336</v>
      </c>
      <c r="F169" s="26" t="n">
        <v>26317</v>
      </c>
      <c r="G169" s="25" t="s">
        <v>87</v>
      </c>
      <c r="H169" s="25" t="n">
        <v>21</v>
      </c>
    </row>
    <row r="170" customFormat="false" ht="15" hidden="false" customHeight="false" outlineLevel="0" collapsed="false">
      <c r="A170" s="25" t="s">
        <v>409</v>
      </c>
      <c r="B170" s="25" t="s">
        <v>106</v>
      </c>
      <c r="C170" s="25" t="s">
        <v>391</v>
      </c>
      <c r="D170" s="25" t="s">
        <v>404</v>
      </c>
      <c r="E170" s="26" t="n">
        <v>42104</v>
      </c>
      <c r="F170" s="26" t="n">
        <v>38027</v>
      </c>
      <c r="G170" s="25" t="s">
        <v>87</v>
      </c>
      <c r="H170" s="25" t="n">
        <v>4</v>
      </c>
    </row>
    <row r="171" customFormat="false" ht="15" hidden="false" customHeight="false" outlineLevel="0" collapsed="false">
      <c r="A171" s="25" t="s">
        <v>410</v>
      </c>
      <c r="B171" s="25" t="s">
        <v>411</v>
      </c>
      <c r="C171" s="25" t="s">
        <v>391</v>
      </c>
      <c r="D171" s="25" t="s">
        <v>412</v>
      </c>
      <c r="E171" s="26" t="n">
        <v>41627</v>
      </c>
      <c r="F171" s="26" t="n">
        <v>32404</v>
      </c>
      <c r="G171" s="25" t="s">
        <v>81</v>
      </c>
      <c r="H171" s="25" t="n">
        <v>14</v>
      </c>
    </row>
    <row r="172" customFormat="false" ht="15" hidden="false" customHeight="false" outlineLevel="0" collapsed="false">
      <c r="A172" s="25" t="s">
        <v>413</v>
      </c>
      <c r="B172" s="25" t="s">
        <v>414</v>
      </c>
      <c r="C172" s="25" t="s">
        <v>391</v>
      </c>
      <c r="D172" s="25" t="s">
        <v>412</v>
      </c>
      <c r="E172" s="26" t="n">
        <v>41098</v>
      </c>
      <c r="F172" s="26" t="n">
        <v>27463</v>
      </c>
      <c r="G172" s="25" t="s">
        <v>84</v>
      </c>
      <c r="H172" s="25" t="n">
        <v>14</v>
      </c>
    </row>
    <row r="173" customFormat="false" ht="15" hidden="false" customHeight="false" outlineLevel="0" collapsed="false">
      <c r="A173" s="25" t="s">
        <v>415</v>
      </c>
      <c r="B173" s="25" t="s">
        <v>151</v>
      </c>
      <c r="C173" s="25" t="s">
        <v>391</v>
      </c>
      <c r="D173" s="25" t="s">
        <v>412</v>
      </c>
      <c r="E173" s="26" t="n">
        <v>41415</v>
      </c>
      <c r="F173" s="26" t="n">
        <v>38881</v>
      </c>
      <c r="G173" s="25" t="s">
        <v>87</v>
      </c>
      <c r="H173" s="25" t="n">
        <v>21</v>
      </c>
    </row>
    <row r="174" customFormat="false" ht="15" hidden="false" customHeight="false" outlineLevel="0" collapsed="false">
      <c r="A174" s="25" t="s">
        <v>416</v>
      </c>
      <c r="B174" s="25" t="s">
        <v>417</v>
      </c>
      <c r="C174" s="25" t="s">
        <v>391</v>
      </c>
      <c r="D174" s="25" t="s">
        <v>412</v>
      </c>
      <c r="E174" s="26" t="n">
        <v>41037</v>
      </c>
      <c r="F174" s="26" t="n">
        <v>37401</v>
      </c>
      <c r="G174" s="25" t="s">
        <v>84</v>
      </c>
      <c r="H174" s="25" t="n">
        <v>12</v>
      </c>
    </row>
    <row r="175" customFormat="false" ht="15" hidden="false" customHeight="false" outlineLevel="0" collapsed="false">
      <c r="A175" s="25" t="s">
        <v>418</v>
      </c>
      <c r="B175" s="25" t="s">
        <v>419</v>
      </c>
      <c r="C175" s="25" t="s">
        <v>391</v>
      </c>
      <c r="D175" s="25" t="s">
        <v>412</v>
      </c>
      <c r="E175" s="26" t="n">
        <v>40613</v>
      </c>
      <c r="F175" s="26" t="n">
        <v>39264</v>
      </c>
      <c r="G175" s="25" t="s">
        <v>87</v>
      </c>
      <c r="H175" s="25" t="n">
        <v>28</v>
      </c>
    </row>
    <row r="176" customFormat="false" ht="15" hidden="false" customHeight="false" outlineLevel="0" collapsed="false">
      <c r="A176" s="25" t="s">
        <v>420</v>
      </c>
      <c r="B176" s="25" t="s">
        <v>421</v>
      </c>
      <c r="C176" s="25" t="s">
        <v>391</v>
      </c>
      <c r="D176" s="25" t="s">
        <v>412</v>
      </c>
      <c r="E176" s="26" t="n">
        <v>43986</v>
      </c>
      <c r="F176" s="26" t="n">
        <v>36711</v>
      </c>
      <c r="G176" s="25" t="s">
        <v>81</v>
      </c>
      <c r="H176" s="25" t="n">
        <v>4</v>
      </c>
    </row>
    <row r="177" customFormat="false" ht="15" hidden="false" customHeight="false" outlineLevel="0" collapsed="false">
      <c r="A177" s="25" t="s">
        <v>422</v>
      </c>
      <c r="B177" s="25" t="s">
        <v>86</v>
      </c>
      <c r="C177" s="25" t="s">
        <v>391</v>
      </c>
      <c r="D177" s="25" t="s">
        <v>412</v>
      </c>
      <c r="E177" s="26" t="n">
        <v>42818</v>
      </c>
      <c r="F177" s="26" t="n">
        <v>30390</v>
      </c>
      <c r="G177" s="25" t="s">
        <v>87</v>
      </c>
      <c r="H177" s="25" t="n">
        <v>19</v>
      </c>
    </row>
    <row r="178" customFormat="false" ht="15" hidden="false" customHeight="false" outlineLevel="0" collapsed="false">
      <c r="A178" s="25" t="s">
        <v>423</v>
      </c>
      <c r="B178" s="25" t="s">
        <v>424</v>
      </c>
      <c r="C178" s="25" t="s">
        <v>391</v>
      </c>
      <c r="D178" s="25" t="s">
        <v>412</v>
      </c>
      <c r="E178" s="26" t="n">
        <v>41774</v>
      </c>
      <c r="F178" s="26" t="n">
        <v>30012</v>
      </c>
      <c r="G178" s="25" t="s">
        <v>84</v>
      </c>
      <c r="H178" s="25" t="n">
        <v>24</v>
      </c>
    </row>
    <row r="179" customFormat="false" ht="15" hidden="false" customHeight="false" outlineLevel="0" collapsed="false">
      <c r="A179" s="25" t="s">
        <v>425</v>
      </c>
      <c r="B179" s="25" t="s">
        <v>426</v>
      </c>
      <c r="C179" s="25" t="s">
        <v>391</v>
      </c>
      <c r="D179" s="25" t="s">
        <v>427</v>
      </c>
      <c r="E179" s="26" t="n">
        <v>41420</v>
      </c>
      <c r="F179" s="26" t="n">
        <v>35012</v>
      </c>
      <c r="G179" s="25" t="s">
        <v>84</v>
      </c>
      <c r="H179" s="25" t="n">
        <v>28</v>
      </c>
    </row>
    <row r="180" customFormat="false" ht="15" hidden="false" customHeight="false" outlineLevel="0" collapsed="false">
      <c r="A180" s="25" t="s">
        <v>428</v>
      </c>
      <c r="B180" s="25" t="s">
        <v>429</v>
      </c>
      <c r="C180" s="25" t="s">
        <v>391</v>
      </c>
      <c r="D180" s="25" t="s">
        <v>427</v>
      </c>
      <c r="E180" s="26" t="n">
        <v>44671</v>
      </c>
      <c r="F180" s="26" t="n">
        <v>38210</v>
      </c>
      <c r="G180" s="25" t="s">
        <v>81</v>
      </c>
      <c r="H180" s="25" t="n">
        <v>4</v>
      </c>
    </row>
    <row r="181" customFormat="false" ht="15" hidden="false" customHeight="false" outlineLevel="0" collapsed="false">
      <c r="A181" s="25" t="s">
        <v>430</v>
      </c>
      <c r="B181" s="25" t="s">
        <v>204</v>
      </c>
      <c r="C181" s="25" t="s">
        <v>391</v>
      </c>
      <c r="D181" s="25" t="s">
        <v>427</v>
      </c>
      <c r="E181" s="26" t="n">
        <v>41400</v>
      </c>
      <c r="F181" s="26" t="n">
        <v>36233</v>
      </c>
      <c r="G181" s="25" t="s">
        <v>84</v>
      </c>
      <c r="H181" s="25" t="n">
        <v>17</v>
      </c>
    </row>
    <row r="182" customFormat="false" ht="15" hidden="false" customHeight="false" outlineLevel="0" collapsed="false">
      <c r="A182" s="25" t="s">
        <v>431</v>
      </c>
      <c r="B182" s="25" t="s">
        <v>432</v>
      </c>
      <c r="C182" s="25" t="s">
        <v>391</v>
      </c>
      <c r="D182" s="25" t="s">
        <v>427</v>
      </c>
      <c r="E182" s="26" t="n">
        <v>43717</v>
      </c>
      <c r="F182" s="26" t="n">
        <v>30883</v>
      </c>
      <c r="G182" s="25" t="s">
        <v>81</v>
      </c>
      <c r="H182" s="25" t="n">
        <v>12</v>
      </c>
    </row>
    <row r="183" customFormat="false" ht="15" hidden="false" customHeight="false" outlineLevel="0" collapsed="false">
      <c r="A183" s="25" t="s">
        <v>433</v>
      </c>
      <c r="B183" s="25" t="s">
        <v>434</v>
      </c>
      <c r="C183" s="25" t="s">
        <v>391</v>
      </c>
      <c r="D183" s="25" t="s">
        <v>427</v>
      </c>
      <c r="E183" s="26" t="n">
        <v>42700</v>
      </c>
      <c r="F183" s="26" t="n">
        <v>31469</v>
      </c>
      <c r="G183" s="25" t="s">
        <v>87</v>
      </c>
      <c r="H183" s="25" t="n">
        <v>14</v>
      </c>
    </row>
    <row r="184" customFormat="false" ht="15" hidden="false" customHeight="false" outlineLevel="0" collapsed="false">
      <c r="A184" s="25" t="s">
        <v>435</v>
      </c>
      <c r="B184" s="25" t="s">
        <v>378</v>
      </c>
      <c r="C184" s="25" t="s">
        <v>391</v>
      </c>
      <c r="D184" s="25" t="s">
        <v>427</v>
      </c>
      <c r="E184" s="26" t="n">
        <v>45707</v>
      </c>
      <c r="F184" s="26" t="n">
        <v>33515</v>
      </c>
      <c r="G184" s="25" t="s">
        <v>84</v>
      </c>
      <c r="H184" s="25" t="n">
        <v>8</v>
      </c>
    </row>
    <row r="185" customFormat="false" ht="15" hidden="false" customHeight="false" outlineLevel="0" collapsed="false">
      <c r="A185" s="25" t="s">
        <v>436</v>
      </c>
      <c r="B185" s="25" t="s">
        <v>437</v>
      </c>
      <c r="C185" s="25" t="s">
        <v>391</v>
      </c>
      <c r="D185" s="25" t="s">
        <v>427</v>
      </c>
      <c r="E185" s="26" t="n">
        <v>41678</v>
      </c>
      <c r="F185" s="26" t="n">
        <v>26623</v>
      </c>
      <c r="G185" s="25" t="s">
        <v>87</v>
      </c>
      <c r="H185" s="25" t="n">
        <v>10</v>
      </c>
    </row>
    <row r="186" customFormat="false" ht="15" hidden="false" customHeight="false" outlineLevel="0" collapsed="false">
      <c r="A186" s="25" t="s">
        <v>438</v>
      </c>
      <c r="B186" s="25" t="s">
        <v>439</v>
      </c>
      <c r="C186" s="25" t="s">
        <v>391</v>
      </c>
      <c r="D186" s="25" t="s">
        <v>427</v>
      </c>
      <c r="E186" s="26" t="n">
        <v>41909</v>
      </c>
      <c r="F186" s="26" t="n">
        <v>34229</v>
      </c>
      <c r="G186" s="25" t="s">
        <v>81</v>
      </c>
      <c r="H186" s="25" t="n">
        <v>17</v>
      </c>
    </row>
    <row r="187" customFormat="false" ht="15" hidden="false" customHeight="false" outlineLevel="0" collapsed="false">
      <c r="A187" s="25" t="s">
        <v>440</v>
      </c>
      <c r="B187" s="25" t="s">
        <v>441</v>
      </c>
      <c r="C187" s="25" t="s">
        <v>68</v>
      </c>
      <c r="D187" s="25" t="s">
        <v>80</v>
      </c>
      <c r="E187" s="26" t="n">
        <v>46256</v>
      </c>
      <c r="F187" s="26" t="n">
        <v>38119</v>
      </c>
      <c r="G187" s="25" t="s">
        <v>87</v>
      </c>
      <c r="H187" s="25" t="n">
        <v>0</v>
      </c>
    </row>
    <row r="188" customFormat="false" ht="15" hidden="false" customHeight="false" outlineLevel="0" collapsed="false">
      <c r="A188" s="25" t="s">
        <v>442</v>
      </c>
      <c r="B188" s="25" t="s">
        <v>443</v>
      </c>
      <c r="C188" s="25" t="s">
        <v>70</v>
      </c>
      <c r="D188" s="25" t="s">
        <v>130</v>
      </c>
      <c r="E188" s="26" t="n">
        <v>46248</v>
      </c>
      <c r="F188" s="26" t="n">
        <v>38119</v>
      </c>
      <c r="G188" s="25" t="s">
        <v>81</v>
      </c>
      <c r="H188" s="25" t="n">
        <v>0</v>
      </c>
    </row>
    <row r="189" customFormat="false" ht="15" hidden="false" customHeight="false" outlineLevel="0" collapsed="false">
      <c r="A189" s="25" t="s">
        <v>444</v>
      </c>
      <c r="B189" s="25" t="s">
        <v>220</v>
      </c>
      <c r="C189" s="25" t="s">
        <v>71</v>
      </c>
      <c r="D189" s="25" t="s">
        <v>171</v>
      </c>
      <c r="E189" s="26" t="n">
        <v>46241</v>
      </c>
      <c r="F189" s="26" t="n">
        <v>38119</v>
      </c>
      <c r="G189" s="25" t="s">
        <v>81</v>
      </c>
      <c r="H189" s="25" t="n">
        <v>0</v>
      </c>
    </row>
    <row r="190" customFormat="false" ht="15" hidden="false" customHeight="false" outlineLevel="0" collapsed="false">
      <c r="A190" s="25" t="s">
        <v>445</v>
      </c>
      <c r="B190" s="25" t="s">
        <v>204</v>
      </c>
      <c r="C190" s="25" t="s">
        <v>72</v>
      </c>
      <c r="D190" s="25" t="s">
        <v>209</v>
      </c>
      <c r="E190" s="26" t="n">
        <v>46244</v>
      </c>
      <c r="F190" s="26" t="n">
        <v>38119</v>
      </c>
      <c r="G190" s="25" t="s">
        <v>84</v>
      </c>
      <c r="H190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9" min="8" style="0" width="14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14</v>
      </c>
      <c r="D1" s="5" t="s">
        <v>34</v>
      </c>
      <c r="E1" s="5" t="s">
        <v>75</v>
      </c>
      <c r="F1" s="5" t="s">
        <v>41</v>
      </c>
      <c r="G1" s="5" t="s">
        <v>76</v>
      </c>
      <c r="H1" s="5" t="s">
        <v>77</v>
      </c>
      <c r="I1" s="5" t="s">
        <v>446</v>
      </c>
    </row>
    <row r="2" customFormat="false" ht="15" hidden="false" customHeight="false" outlineLevel="0" collapsed="false">
      <c r="A2" s="25" t="s">
        <v>78</v>
      </c>
      <c r="B2" s="25" t="s">
        <v>79</v>
      </c>
      <c r="C2" s="25" t="s">
        <v>68</v>
      </c>
      <c r="D2" s="25" t="s">
        <v>80</v>
      </c>
      <c r="E2" s="26" t="n">
        <v>45606</v>
      </c>
      <c r="F2" s="26" t="n">
        <v>37372</v>
      </c>
      <c r="G2" s="25" t="s">
        <v>84</v>
      </c>
      <c r="H2" s="25" t="n">
        <v>17</v>
      </c>
      <c r="I2" s="14" t="n">
        <f aca="false">IF(A2="","",IF(COUNTIF(Veri_Guncel!$A:$A,A2)=0,1,0))</f>
        <v>0</v>
      </c>
    </row>
    <row r="3" customFormat="false" ht="15" hidden="false" customHeight="false" outlineLevel="0" collapsed="false">
      <c r="A3" s="25" t="s">
        <v>82</v>
      </c>
      <c r="B3" s="25" t="s">
        <v>83</v>
      </c>
      <c r="C3" s="25" t="s">
        <v>68</v>
      </c>
      <c r="D3" s="25" t="s">
        <v>80</v>
      </c>
      <c r="E3" s="26" t="n">
        <v>43101</v>
      </c>
      <c r="F3" s="26" t="n">
        <v>34986</v>
      </c>
      <c r="G3" s="25" t="s">
        <v>84</v>
      </c>
      <c r="H3" s="25" t="n">
        <v>5</v>
      </c>
      <c r="I3" s="14" t="n">
        <f aca="false">IF(A3="","",IF(COUNTIF(Veri_Guncel!$A:$A,A3)=0,1,0))</f>
        <v>0</v>
      </c>
    </row>
    <row r="4" customFormat="false" ht="15" hidden="false" customHeight="false" outlineLevel="0" collapsed="false">
      <c r="A4" s="25" t="s">
        <v>85</v>
      </c>
      <c r="B4" s="25" t="s">
        <v>86</v>
      </c>
      <c r="C4" s="25" t="s">
        <v>68</v>
      </c>
      <c r="D4" s="25" t="s">
        <v>80</v>
      </c>
      <c r="E4" s="26" t="n">
        <v>43436</v>
      </c>
      <c r="F4" s="26" t="n">
        <v>36519</v>
      </c>
      <c r="G4" s="25" t="s">
        <v>81</v>
      </c>
      <c r="H4" s="25" t="n">
        <v>19</v>
      </c>
      <c r="I4" s="14" t="n">
        <f aca="false">IF(A4="","",IF(COUNTIF(Veri_Guncel!$A:$A,A4)=0,1,0))</f>
        <v>0</v>
      </c>
    </row>
    <row r="5" customFormat="false" ht="15" hidden="false" customHeight="false" outlineLevel="0" collapsed="false">
      <c r="A5" s="25" t="s">
        <v>88</v>
      </c>
      <c r="B5" s="25" t="s">
        <v>89</v>
      </c>
      <c r="C5" s="25" t="s">
        <v>68</v>
      </c>
      <c r="D5" s="25" t="s">
        <v>80</v>
      </c>
      <c r="E5" s="26" t="n">
        <v>41078</v>
      </c>
      <c r="F5" s="26" t="n">
        <v>37959</v>
      </c>
      <c r="G5" s="25" t="s">
        <v>87</v>
      </c>
      <c r="H5" s="25" t="n">
        <v>21</v>
      </c>
      <c r="I5" s="14" t="n">
        <f aca="false">IF(A5="","",IF(COUNTIF(Veri_Guncel!$A:$A,A5)=0,1,0))</f>
        <v>0</v>
      </c>
    </row>
    <row r="6" customFormat="false" ht="15" hidden="false" customHeight="false" outlineLevel="0" collapsed="false">
      <c r="A6" s="25" t="s">
        <v>90</v>
      </c>
      <c r="B6" s="25" t="s">
        <v>91</v>
      </c>
      <c r="C6" s="25" t="s">
        <v>68</v>
      </c>
      <c r="D6" s="25" t="s">
        <v>80</v>
      </c>
      <c r="E6" s="26" t="n">
        <v>42365</v>
      </c>
      <c r="F6" s="26" t="n">
        <v>28182</v>
      </c>
      <c r="G6" s="25" t="s">
        <v>87</v>
      </c>
      <c r="H6" s="25" t="n">
        <v>7</v>
      </c>
      <c r="I6" s="14" t="n">
        <f aca="false">IF(A6="","",IF(COUNTIF(Veri_Guncel!$A:$A,A6)=0,1,0))</f>
        <v>0</v>
      </c>
    </row>
    <row r="7" customFormat="false" ht="15" hidden="false" customHeight="false" outlineLevel="0" collapsed="false">
      <c r="A7" s="25" t="s">
        <v>92</v>
      </c>
      <c r="B7" s="25" t="s">
        <v>93</v>
      </c>
      <c r="C7" s="25" t="s">
        <v>68</v>
      </c>
      <c r="D7" s="25" t="s">
        <v>80</v>
      </c>
      <c r="E7" s="26" t="n">
        <v>44393</v>
      </c>
      <c r="F7" s="26" t="n">
        <v>29667</v>
      </c>
      <c r="G7" s="25" t="s">
        <v>87</v>
      </c>
      <c r="H7" s="25" t="n">
        <v>0</v>
      </c>
      <c r="I7" s="14" t="n">
        <f aca="false">IF(A7="","",IF(COUNTIF(Veri_Guncel!$A:$A,A7)=0,1,0))</f>
        <v>0</v>
      </c>
    </row>
    <row r="8" customFormat="false" ht="15" hidden="false" customHeight="false" outlineLevel="0" collapsed="false">
      <c r="A8" s="25" t="s">
        <v>94</v>
      </c>
      <c r="B8" s="25" t="s">
        <v>95</v>
      </c>
      <c r="C8" s="25" t="s">
        <v>68</v>
      </c>
      <c r="D8" s="25" t="s">
        <v>80</v>
      </c>
      <c r="E8" s="26" t="n">
        <v>41371</v>
      </c>
      <c r="F8" s="26" t="n">
        <v>27808</v>
      </c>
      <c r="G8" s="25" t="s">
        <v>87</v>
      </c>
      <c r="H8" s="25" t="n">
        <v>16</v>
      </c>
      <c r="I8" s="14" t="n">
        <f aca="false">IF(A8="","",IF(COUNTIF(Veri_Guncel!$A:$A,A8)=0,1,0))</f>
        <v>0</v>
      </c>
    </row>
    <row r="9" customFormat="false" ht="15" hidden="false" customHeight="false" outlineLevel="0" collapsed="false">
      <c r="A9" s="25" t="s">
        <v>96</v>
      </c>
      <c r="B9" s="25" t="s">
        <v>97</v>
      </c>
      <c r="C9" s="25" t="s">
        <v>68</v>
      </c>
      <c r="D9" s="25" t="s">
        <v>80</v>
      </c>
      <c r="E9" s="26" t="n">
        <v>42891</v>
      </c>
      <c r="F9" s="26" t="n">
        <v>38908</v>
      </c>
      <c r="G9" s="25" t="s">
        <v>81</v>
      </c>
      <c r="H9" s="25" t="n">
        <v>17</v>
      </c>
      <c r="I9" s="14" t="n">
        <f aca="false">IF(A9="","",IF(COUNTIF(Veri_Guncel!$A:$A,A9)=0,1,0))</f>
        <v>0</v>
      </c>
    </row>
    <row r="10" customFormat="false" ht="15" hidden="false" customHeight="false" outlineLevel="0" collapsed="false">
      <c r="A10" s="25" t="s">
        <v>98</v>
      </c>
      <c r="B10" s="25" t="s">
        <v>99</v>
      </c>
      <c r="C10" s="25" t="s">
        <v>68</v>
      </c>
      <c r="D10" s="25" t="s">
        <v>100</v>
      </c>
      <c r="E10" s="26" t="n">
        <v>46212</v>
      </c>
      <c r="F10" s="26" t="n">
        <v>26701</v>
      </c>
      <c r="G10" s="25" t="s">
        <v>87</v>
      </c>
      <c r="H10" s="25" t="n">
        <v>0</v>
      </c>
      <c r="I10" s="14" t="n">
        <f aca="false">IF(A10="","",IF(COUNTIF(Veri_Guncel!$A:$A,A10)=0,1,0))</f>
        <v>0</v>
      </c>
    </row>
    <row r="11" customFormat="false" ht="15" hidden="false" customHeight="false" outlineLevel="0" collapsed="false">
      <c r="A11" s="25" t="s">
        <v>101</v>
      </c>
      <c r="B11" s="25" t="s">
        <v>102</v>
      </c>
      <c r="C11" s="25" t="s">
        <v>68</v>
      </c>
      <c r="D11" s="25" t="s">
        <v>100</v>
      </c>
      <c r="E11" s="26" t="n">
        <v>40758</v>
      </c>
      <c r="F11" s="26" t="n">
        <v>39379</v>
      </c>
      <c r="G11" s="25" t="s">
        <v>87</v>
      </c>
      <c r="H11" s="25" t="n">
        <v>0</v>
      </c>
      <c r="I11" s="14" t="n">
        <f aca="false">IF(A11="","",IF(COUNTIF(Veri_Guncel!$A:$A,A11)=0,1,0))</f>
        <v>0</v>
      </c>
    </row>
    <row r="12" customFormat="false" ht="15" hidden="false" customHeight="false" outlineLevel="0" collapsed="false">
      <c r="A12" s="25" t="s">
        <v>103</v>
      </c>
      <c r="B12" s="25" t="s">
        <v>104</v>
      </c>
      <c r="C12" s="25" t="s">
        <v>68</v>
      </c>
      <c r="D12" s="25" t="s">
        <v>100</v>
      </c>
      <c r="E12" s="26" t="n">
        <v>41720</v>
      </c>
      <c r="F12" s="26" t="n">
        <v>30267</v>
      </c>
      <c r="G12" s="25" t="s">
        <v>84</v>
      </c>
      <c r="H12" s="25" t="n">
        <v>28</v>
      </c>
      <c r="I12" s="14" t="n">
        <f aca="false">IF(A12="","",IF(COUNTIF(Veri_Guncel!$A:$A,A12)=0,1,0))</f>
        <v>0</v>
      </c>
    </row>
    <row r="13" customFormat="false" ht="15" hidden="false" customHeight="false" outlineLevel="0" collapsed="false">
      <c r="A13" s="25" t="s">
        <v>105</v>
      </c>
      <c r="B13" s="25" t="s">
        <v>106</v>
      </c>
      <c r="C13" s="25" t="s">
        <v>68</v>
      </c>
      <c r="D13" s="25" t="s">
        <v>100</v>
      </c>
      <c r="E13" s="26" t="n">
        <v>43925</v>
      </c>
      <c r="F13" s="26" t="n">
        <v>30009</v>
      </c>
      <c r="G13" s="25" t="s">
        <v>84</v>
      </c>
      <c r="H13" s="25" t="n">
        <v>4</v>
      </c>
      <c r="I13" s="14" t="n">
        <f aca="false">IF(A13="","",IF(COUNTIF(Veri_Guncel!$A:$A,A13)=0,1,0))</f>
        <v>0</v>
      </c>
    </row>
    <row r="14" customFormat="false" ht="15" hidden="false" customHeight="false" outlineLevel="0" collapsed="false">
      <c r="A14" s="25" t="s">
        <v>107</v>
      </c>
      <c r="B14" s="25" t="s">
        <v>108</v>
      </c>
      <c r="C14" s="25" t="s">
        <v>68</v>
      </c>
      <c r="D14" s="25" t="s">
        <v>100</v>
      </c>
      <c r="E14" s="26" t="n">
        <v>42676</v>
      </c>
      <c r="F14" s="26" t="n">
        <v>38664</v>
      </c>
      <c r="G14" s="25" t="s">
        <v>87</v>
      </c>
      <c r="H14" s="25" t="n">
        <v>19</v>
      </c>
      <c r="I14" s="14" t="n">
        <f aca="false">IF(A14="","",IF(COUNTIF(Veri_Guncel!$A:$A,A14)=0,1,0))</f>
        <v>0</v>
      </c>
    </row>
    <row r="15" customFormat="false" ht="15" hidden="false" customHeight="false" outlineLevel="0" collapsed="false">
      <c r="A15" s="25" t="s">
        <v>109</v>
      </c>
      <c r="B15" s="25" t="s">
        <v>110</v>
      </c>
      <c r="C15" s="25" t="s">
        <v>68</v>
      </c>
      <c r="D15" s="25" t="s">
        <v>100</v>
      </c>
      <c r="E15" s="26" t="n">
        <v>44790</v>
      </c>
      <c r="F15" s="26" t="n">
        <v>35377</v>
      </c>
      <c r="G15" s="25" t="s">
        <v>87</v>
      </c>
      <c r="H15" s="25" t="n">
        <v>0</v>
      </c>
      <c r="I15" s="14" t="n">
        <f aca="false">IF(A15="","",IF(COUNTIF(Veri_Guncel!$A:$A,A15)=0,1,0))</f>
        <v>0</v>
      </c>
    </row>
    <row r="16" customFormat="false" ht="15" hidden="false" customHeight="false" outlineLevel="0" collapsed="false">
      <c r="A16" s="25" t="s">
        <v>111</v>
      </c>
      <c r="B16" s="25" t="s">
        <v>112</v>
      </c>
      <c r="C16" s="25" t="s">
        <v>68</v>
      </c>
      <c r="D16" s="25" t="s">
        <v>100</v>
      </c>
      <c r="E16" s="26" t="n">
        <v>45863</v>
      </c>
      <c r="F16" s="26" t="n">
        <v>37283</v>
      </c>
      <c r="G16" s="25" t="s">
        <v>87</v>
      </c>
      <c r="H16" s="25" t="n">
        <v>8</v>
      </c>
      <c r="I16" s="14" t="n">
        <f aca="false">IF(A16="","",IF(COUNTIF(Veri_Guncel!$A:$A,A16)=0,1,0))</f>
        <v>0</v>
      </c>
    </row>
    <row r="17" customFormat="false" ht="15" hidden="false" customHeight="false" outlineLevel="0" collapsed="false">
      <c r="A17" s="25" t="s">
        <v>113</v>
      </c>
      <c r="B17" s="25" t="s">
        <v>114</v>
      </c>
      <c r="C17" s="25" t="s">
        <v>68</v>
      </c>
      <c r="D17" s="25" t="s">
        <v>115</v>
      </c>
      <c r="E17" s="26" t="n">
        <v>41098</v>
      </c>
      <c r="F17" s="26" t="n">
        <v>30135</v>
      </c>
      <c r="G17" s="25" t="s">
        <v>84</v>
      </c>
      <c r="H17" s="25" t="n">
        <v>28</v>
      </c>
      <c r="I17" s="14" t="n">
        <f aca="false">IF(A17="","",IF(COUNTIF(Veri_Guncel!$A:$A,A17)=0,1,0))</f>
        <v>0</v>
      </c>
    </row>
    <row r="18" customFormat="false" ht="15" hidden="false" customHeight="false" outlineLevel="0" collapsed="false">
      <c r="A18" s="25" t="s">
        <v>116</v>
      </c>
      <c r="B18" s="25" t="s">
        <v>117</v>
      </c>
      <c r="C18" s="25" t="s">
        <v>68</v>
      </c>
      <c r="D18" s="25" t="s">
        <v>115</v>
      </c>
      <c r="E18" s="26" t="n">
        <v>42362</v>
      </c>
      <c r="F18" s="26" t="n">
        <v>37265</v>
      </c>
      <c r="G18" s="25" t="s">
        <v>87</v>
      </c>
      <c r="H18" s="25" t="n">
        <v>4</v>
      </c>
      <c r="I18" s="14" t="n">
        <f aca="false">IF(A18="","",IF(COUNTIF(Veri_Guncel!$A:$A,A18)=0,1,0))</f>
        <v>0</v>
      </c>
    </row>
    <row r="19" customFormat="false" ht="15" hidden="false" customHeight="false" outlineLevel="0" collapsed="false">
      <c r="A19" s="25" t="s">
        <v>118</v>
      </c>
      <c r="B19" s="25" t="s">
        <v>119</v>
      </c>
      <c r="C19" s="25" t="s">
        <v>68</v>
      </c>
      <c r="D19" s="25" t="s">
        <v>115</v>
      </c>
      <c r="E19" s="26" t="n">
        <v>40660</v>
      </c>
      <c r="F19" s="26" t="n">
        <v>34770</v>
      </c>
      <c r="G19" s="25" t="s">
        <v>87</v>
      </c>
      <c r="H19" s="25" t="n">
        <v>17</v>
      </c>
      <c r="I19" s="14" t="n">
        <f aca="false">IF(A19="","",IF(COUNTIF(Veri_Guncel!$A:$A,A19)=0,1,0))</f>
        <v>0</v>
      </c>
    </row>
    <row r="20" customFormat="false" ht="15" hidden="false" customHeight="false" outlineLevel="0" collapsed="false">
      <c r="A20" s="25" t="s">
        <v>120</v>
      </c>
      <c r="B20" s="25" t="s">
        <v>121</v>
      </c>
      <c r="C20" s="25" t="s">
        <v>68</v>
      </c>
      <c r="D20" s="25" t="s">
        <v>115</v>
      </c>
      <c r="E20" s="26" t="n">
        <v>46147</v>
      </c>
      <c r="F20" s="26" t="n">
        <v>38999</v>
      </c>
      <c r="G20" s="25" t="s">
        <v>87</v>
      </c>
      <c r="H20" s="25" t="n">
        <v>7</v>
      </c>
      <c r="I20" s="14" t="n">
        <f aca="false">IF(A20="","",IF(COUNTIF(Veri_Guncel!$A:$A,A20)=0,1,0))</f>
        <v>0</v>
      </c>
    </row>
    <row r="21" customFormat="false" ht="15" hidden="false" customHeight="false" outlineLevel="0" collapsed="false">
      <c r="A21" s="25" t="s">
        <v>122</v>
      </c>
      <c r="B21" s="25" t="s">
        <v>123</v>
      </c>
      <c r="C21" s="25" t="s">
        <v>68</v>
      </c>
      <c r="D21" s="25" t="s">
        <v>115</v>
      </c>
      <c r="E21" s="26" t="n">
        <v>45235</v>
      </c>
      <c r="F21" s="26" t="n">
        <v>26803</v>
      </c>
      <c r="G21" s="25" t="s">
        <v>87</v>
      </c>
      <c r="H21" s="25" t="n">
        <v>15</v>
      </c>
      <c r="I21" s="14" t="n">
        <f aca="false">IF(A21="","",IF(COUNTIF(Veri_Guncel!$A:$A,A21)=0,1,0))</f>
        <v>0</v>
      </c>
    </row>
    <row r="22" customFormat="false" ht="15" hidden="false" customHeight="false" outlineLevel="0" collapsed="false">
      <c r="A22" s="25" t="s">
        <v>124</v>
      </c>
      <c r="B22" s="25" t="s">
        <v>125</v>
      </c>
      <c r="C22" s="25" t="s">
        <v>68</v>
      </c>
      <c r="D22" s="25" t="s">
        <v>115</v>
      </c>
      <c r="E22" s="26" t="n">
        <v>45434</v>
      </c>
      <c r="F22" s="26" t="n">
        <v>35494</v>
      </c>
      <c r="G22" s="25" t="s">
        <v>84</v>
      </c>
      <c r="H22" s="25" t="n">
        <v>4</v>
      </c>
      <c r="I22" s="14" t="n">
        <f aca="false">IF(A22="","",IF(COUNTIF(Veri_Guncel!$A:$A,A22)=0,1,0))</f>
        <v>0</v>
      </c>
    </row>
    <row r="23" customFormat="false" ht="15" hidden="false" customHeight="false" outlineLevel="0" collapsed="false">
      <c r="A23" s="25" t="s">
        <v>126</v>
      </c>
      <c r="B23" s="25" t="s">
        <v>127</v>
      </c>
      <c r="C23" s="25" t="s">
        <v>68</v>
      </c>
      <c r="D23" s="25" t="s">
        <v>115</v>
      </c>
      <c r="E23" s="26" t="n">
        <v>41699</v>
      </c>
      <c r="F23" s="26" t="n">
        <v>36588</v>
      </c>
      <c r="G23" s="25" t="s">
        <v>87</v>
      </c>
      <c r="H23" s="25" t="n">
        <v>31</v>
      </c>
      <c r="I23" s="14" t="n">
        <f aca="false">IF(A23="","",IF(COUNTIF(Veri_Guncel!$A:$A,A23)=0,1,0))</f>
        <v>0</v>
      </c>
    </row>
    <row r="24" customFormat="false" ht="15" hidden="false" customHeight="false" outlineLevel="0" collapsed="false">
      <c r="A24" s="25" t="s">
        <v>128</v>
      </c>
      <c r="B24" s="25" t="s">
        <v>129</v>
      </c>
      <c r="C24" s="25" t="s">
        <v>70</v>
      </c>
      <c r="D24" s="25" t="s">
        <v>130</v>
      </c>
      <c r="E24" s="26" t="n">
        <v>44393</v>
      </c>
      <c r="F24" s="26" t="n">
        <v>31691</v>
      </c>
      <c r="G24" s="25" t="s">
        <v>87</v>
      </c>
      <c r="H24" s="25" t="n">
        <v>2</v>
      </c>
      <c r="I24" s="14" t="n">
        <f aca="false">IF(A24="","",IF(COUNTIF(Veri_Guncel!$A:$A,A24)=0,1,0))</f>
        <v>0</v>
      </c>
    </row>
    <row r="25" customFormat="false" ht="15" hidden="false" customHeight="false" outlineLevel="0" collapsed="false">
      <c r="A25" s="25" t="s">
        <v>131</v>
      </c>
      <c r="B25" s="25" t="s">
        <v>132</v>
      </c>
      <c r="C25" s="25" t="s">
        <v>70</v>
      </c>
      <c r="D25" s="25" t="s">
        <v>130</v>
      </c>
      <c r="E25" s="26" t="n">
        <v>43093</v>
      </c>
      <c r="F25" s="26" t="n">
        <v>39102</v>
      </c>
      <c r="G25" s="25" t="s">
        <v>87</v>
      </c>
      <c r="H25" s="25" t="n">
        <v>28</v>
      </c>
      <c r="I25" s="14" t="n">
        <f aca="false">IF(A25="","",IF(COUNTIF(Veri_Guncel!$A:$A,A25)=0,1,0))</f>
        <v>0</v>
      </c>
    </row>
    <row r="26" customFormat="false" ht="15" hidden="false" customHeight="false" outlineLevel="0" collapsed="false">
      <c r="A26" s="25" t="s">
        <v>133</v>
      </c>
      <c r="B26" s="25" t="s">
        <v>134</v>
      </c>
      <c r="C26" s="25" t="s">
        <v>70</v>
      </c>
      <c r="D26" s="25" t="s">
        <v>130</v>
      </c>
      <c r="E26" s="26" t="n">
        <v>40739</v>
      </c>
      <c r="F26" s="26" t="n">
        <v>27966</v>
      </c>
      <c r="G26" s="25" t="s">
        <v>84</v>
      </c>
      <c r="H26" s="25" t="n">
        <v>20</v>
      </c>
      <c r="I26" s="14" t="n">
        <f aca="false">IF(A26="","",IF(COUNTIF(Veri_Guncel!$A:$A,A26)=0,1,0))</f>
        <v>0</v>
      </c>
    </row>
    <row r="27" customFormat="false" ht="15" hidden="false" customHeight="false" outlineLevel="0" collapsed="false">
      <c r="A27" s="25" t="s">
        <v>135</v>
      </c>
      <c r="B27" s="25" t="s">
        <v>136</v>
      </c>
      <c r="C27" s="25" t="s">
        <v>70</v>
      </c>
      <c r="D27" s="25" t="s">
        <v>130</v>
      </c>
      <c r="E27" s="26" t="n">
        <v>43819</v>
      </c>
      <c r="F27" s="26" t="n">
        <v>33940</v>
      </c>
      <c r="G27" s="25" t="s">
        <v>84</v>
      </c>
      <c r="H27" s="25" t="n">
        <v>8</v>
      </c>
      <c r="I27" s="14" t="n">
        <f aca="false">IF(A27="","",IF(COUNTIF(Veri_Guncel!$A:$A,A27)=0,1,0))</f>
        <v>0</v>
      </c>
    </row>
    <row r="28" customFormat="false" ht="15" hidden="false" customHeight="false" outlineLevel="0" collapsed="false">
      <c r="A28" s="25" t="s">
        <v>137</v>
      </c>
      <c r="B28" s="25" t="s">
        <v>138</v>
      </c>
      <c r="C28" s="25" t="s">
        <v>70</v>
      </c>
      <c r="D28" s="25" t="s">
        <v>130</v>
      </c>
      <c r="E28" s="26" t="n">
        <v>44175</v>
      </c>
      <c r="F28" s="26" t="n">
        <v>38246</v>
      </c>
      <c r="G28" s="25" t="s">
        <v>87</v>
      </c>
      <c r="H28" s="25" t="n">
        <v>17</v>
      </c>
      <c r="I28" s="14" t="n">
        <f aca="false">IF(A28="","",IF(COUNTIF(Veri_Guncel!$A:$A,A28)=0,1,0))</f>
        <v>0</v>
      </c>
    </row>
    <row r="29" customFormat="false" ht="15" hidden="false" customHeight="false" outlineLevel="0" collapsed="false">
      <c r="A29" s="25" t="s">
        <v>139</v>
      </c>
      <c r="B29" s="25" t="s">
        <v>140</v>
      </c>
      <c r="C29" s="25" t="s">
        <v>70</v>
      </c>
      <c r="D29" s="25" t="s">
        <v>130</v>
      </c>
      <c r="E29" s="26" t="n">
        <v>44449</v>
      </c>
      <c r="F29" s="26" t="n">
        <v>33227</v>
      </c>
      <c r="G29" s="25" t="s">
        <v>81</v>
      </c>
      <c r="H29" s="25" t="n">
        <v>2</v>
      </c>
      <c r="I29" s="14" t="n">
        <f aca="false">IF(A29="","",IF(COUNTIF(Veri_Guncel!$A:$A,A29)=0,1,0))</f>
        <v>0</v>
      </c>
    </row>
    <row r="30" customFormat="false" ht="15" hidden="false" customHeight="false" outlineLevel="0" collapsed="false">
      <c r="A30" s="25" t="s">
        <v>141</v>
      </c>
      <c r="B30" s="25" t="s">
        <v>142</v>
      </c>
      <c r="C30" s="25" t="s">
        <v>70</v>
      </c>
      <c r="D30" s="25" t="s">
        <v>130</v>
      </c>
      <c r="E30" s="26" t="n">
        <v>41574</v>
      </c>
      <c r="F30" s="26" t="n">
        <v>33706</v>
      </c>
      <c r="G30" s="25" t="s">
        <v>84</v>
      </c>
      <c r="H30" s="25" t="n">
        <v>5</v>
      </c>
      <c r="I30" s="14" t="n">
        <f aca="false">IF(A30="","",IF(COUNTIF(Veri_Guncel!$A:$A,A30)=0,1,0))</f>
        <v>0</v>
      </c>
    </row>
    <row r="31" customFormat="false" ht="15" hidden="false" customHeight="false" outlineLevel="0" collapsed="false">
      <c r="A31" s="25" t="s">
        <v>143</v>
      </c>
      <c r="B31" s="25" t="s">
        <v>144</v>
      </c>
      <c r="C31" s="25" t="s">
        <v>70</v>
      </c>
      <c r="D31" s="25" t="s">
        <v>145</v>
      </c>
      <c r="E31" s="26" t="n">
        <v>41581</v>
      </c>
      <c r="F31" s="26" t="n">
        <v>36789</v>
      </c>
      <c r="G31" s="25" t="s">
        <v>87</v>
      </c>
      <c r="H31" s="25" t="n">
        <v>0</v>
      </c>
      <c r="I31" s="14" t="n">
        <f aca="false">IF(A31="","",IF(COUNTIF(Veri_Guncel!$A:$A,A31)=0,1,0))</f>
        <v>0</v>
      </c>
    </row>
    <row r="32" customFormat="false" ht="15" hidden="false" customHeight="false" outlineLevel="0" collapsed="false">
      <c r="A32" s="25" t="s">
        <v>146</v>
      </c>
      <c r="B32" s="25" t="s">
        <v>147</v>
      </c>
      <c r="C32" s="25" t="s">
        <v>70</v>
      </c>
      <c r="D32" s="25" t="s">
        <v>145</v>
      </c>
      <c r="E32" s="26" t="n">
        <v>46060</v>
      </c>
      <c r="F32" s="26" t="n">
        <v>35469</v>
      </c>
      <c r="G32" s="25" t="s">
        <v>87</v>
      </c>
      <c r="H32" s="25" t="n">
        <v>7</v>
      </c>
      <c r="I32" s="14" t="n">
        <f aca="false">IF(A32="","",IF(COUNTIF(Veri_Guncel!$A:$A,A32)=0,1,0))</f>
        <v>0</v>
      </c>
    </row>
    <row r="33" customFormat="false" ht="15" hidden="false" customHeight="false" outlineLevel="0" collapsed="false">
      <c r="A33" s="25" t="s">
        <v>148</v>
      </c>
      <c r="B33" s="25" t="s">
        <v>149</v>
      </c>
      <c r="C33" s="25" t="s">
        <v>70</v>
      </c>
      <c r="D33" s="25" t="s">
        <v>145</v>
      </c>
      <c r="E33" s="26" t="n">
        <v>45299</v>
      </c>
      <c r="F33" s="26" t="n">
        <v>32861</v>
      </c>
      <c r="G33" s="25" t="s">
        <v>87</v>
      </c>
      <c r="H33" s="25" t="n">
        <v>28</v>
      </c>
      <c r="I33" s="14" t="n">
        <f aca="false">IF(A33="","",IF(COUNTIF(Veri_Guncel!$A:$A,A33)=0,1,0))</f>
        <v>0</v>
      </c>
    </row>
    <row r="34" customFormat="false" ht="15" hidden="false" customHeight="false" outlineLevel="0" collapsed="false">
      <c r="A34" s="25" t="s">
        <v>150</v>
      </c>
      <c r="B34" s="25" t="s">
        <v>151</v>
      </c>
      <c r="C34" s="25" t="s">
        <v>70</v>
      </c>
      <c r="D34" s="25" t="s">
        <v>145</v>
      </c>
      <c r="E34" s="26" t="n">
        <v>45760</v>
      </c>
      <c r="F34" s="26" t="n">
        <v>35232</v>
      </c>
      <c r="G34" s="25" t="s">
        <v>81</v>
      </c>
      <c r="H34" s="25" t="n">
        <v>8</v>
      </c>
      <c r="I34" s="14" t="n">
        <f aca="false">IF(A34="","",IF(COUNTIF(Veri_Guncel!$A:$A,A34)=0,1,0))</f>
        <v>0</v>
      </c>
    </row>
    <row r="35" customFormat="false" ht="15" hidden="false" customHeight="false" outlineLevel="0" collapsed="false">
      <c r="A35" s="25" t="s">
        <v>152</v>
      </c>
      <c r="B35" s="25" t="s">
        <v>153</v>
      </c>
      <c r="C35" s="25" t="s">
        <v>70</v>
      </c>
      <c r="D35" s="25" t="s">
        <v>145</v>
      </c>
      <c r="E35" s="26" t="n">
        <v>41127</v>
      </c>
      <c r="F35" s="26" t="n">
        <v>37795</v>
      </c>
      <c r="G35" s="25" t="s">
        <v>84</v>
      </c>
      <c r="H35" s="25" t="n">
        <v>0</v>
      </c>
      <c r="I35" s="14" t="n">
        <f aca="false">IF(A35="","",IF(COUNTIF(Veri_Guncel!$A:$A,A35)=0,1,0))</f>
        <v>0</v>
      </c>
    </row>
    <row r="36" customFormat="false" ht="15" hidden="false" customHeight="false" outlineLevel="0" collapsed="false">
      <c r="A36" s="25" t="s">
        <v>154</v>
      </c>
      <c r="B36" s="25" t="s">
        <v>155</v>
      </c>
      <c r="C36" s="25" t="s">
        <v>70</v>
      </c>
      <c r="D36" s="25" t="s">
        <v>156</v>
      </c>
      <c r="E36" s="26" t="n">
        <v>43328</v>
      </c>
      <c r="F36" s="26" t="n">
        <v>35205</v>
      </c>
      <c r="G36" s="25" t="s">
        <v>81</v>
      </c>
      <c r="H36" s="25" t="n">
        <v>0</v>
      </c>
      <c r="I36" s="14" t="n">
        <f aca="false">IF(A36="","",IF(COUNTIF(Veri_Guncel!$A:$A,A36)=0,1,0))</f>
        <v>0</v>
      </c>
    </row>
    <row r="37" customFormat="false" ht="15" hidden="false" customHeight="false" outlineLevel="0" collapsed="false">
      <c r="A37" s="25" t="s">
        <v>157</v>
      </c>
      <c r="B37" s="25" t="s">
        <v>158</v>
      </c>
      <c r="C37" s="25" t="s">
        <v>70</v>
      </c>
      <c r="D37" s="25" t="s">
        <v>156</v>
      </c>
      <c r="E37" s="26" t="n">
        <v>42528</v>
      </c>
      <c r="F37" s="26" t="n">
        <v>33442</v>
      </c>
      <c r="G37" s="25" t="s">
        <v>81</v>
      </c>
      <c r="H37" s="25" t="n">
        <v>4</v>
      </c>
      <c r="I37" s="14" t="n">
        <f aca="false">IF(A37="","",IF(COUNTIF(Veri_Guncel!$A:$A,A37)=0,1,0))</f>
        <v>0</v>
      </c>
    </row>
    <row r="38" customFormat="false" ht="15" hidden="false" customHeight="false" outlineLevel="0" collapsed="false">
      <c r="A38" s="25" t="s">
        <v>159</v>
      </c>
      <c r="B38" s="25" t="s">
        <v>160</v>
      </c>
      <c r="C38" s="25" t="s">
        <v>70</v>
      </c>
      <c r="D38" s="25" t="s">
        <v>156</v>
      </c>
      <c r="E38" s="26" t="n">
        <v>41527</v>
      </c>
      <c r="F38" s="26" t="n">
        <v>35423</v>
      </c>
      <c r="G38" s="25" t="s">
        <v>87</v>
      </c>
      <c r="H38" s="25" t="n">
        <v>0</v>
      </c>
      <c r="I38" s="14" t="n">
        <f aca="false">IF(A38="","",IF(COUNTIF(Veri_Guncel!$A:$A,A38)=0,1,0))</f>
        <v>0</v>
      </c>
    </row>
    <row r="39" customFormat="false" ht="15" hidden="false" customHeight="false" outlineLevel="0" collapsed="false">
      <c r="A39" s="25" t="s">
        <v>161</v>
      </c>
      <c r="B39" s="25" t="s">
        <v>162</v>
      </c>
      <c r="C39" s="25" t="s">
        <v>70</v>
      </c>
      <c r="D39" s="25" t="s">
        <v>156</v>
      </c>
      <c r="E39" s="26" t="n">
        <v>45404</v>
      </c>
      <c r="F39" s="26" t="n">
        <v>34141</v>
      </c>
      <c r="G39" s="25" t="s">
        <v>81</v>
      </c>
      <c r="H39" s="25" t="n">
        <v>17</v>
      </c>
      <c r="I39" s="14" t="n">
        <f aca="false">IF(A39="","",IF(COUNTIF(Veri_Guncel!$A:$A,A39)=0,1,0))</f>
        <v>0</v>
      </c>
    </row>
    <row r="40" customFormat="false" ht="15" hidden="false" customHeight="false" outlineLevel="0" collapsed="false">
      <c r="A40" s="25" t="s">
        <v>163</v>
      </c>
      <c r="B40" s="25" t="s">
        <v>164</v>
      </c>
      <c r="C40" s="25" t="s">
        <v>70</v>
      </c>
      <c r="D40" s="25" t="s">
        <v>156</v>
      </c>
      <c r="E40" s="26" t="n">
        <v>43497</v>
      </c>
      <c r="F40" s="26" t="n">
        <v>33856</v>
      </c>
      <c r="G40" s="25" t="s">
        <v>87</v>
      </c>
      <c r="H40" s="25" t="n">
        <v>28</v>
      </c>
      <c r="I40" s="14" t="n">
        <f aca="false">IF(A40="","",IF(COUNTIF(Veri_Guncel!$A:$A,A40)=0,1,0))</f>
        <v>0</v>
      </c>
    </row>
    <row r="41" customFormat="false" ht="15" hidden="false" customHeight="false" outlineLevel="0" collapsed="false">
      <c r="A41" s="25" t="s">
        <v>165</v>
      </c>
      <c r="B41" s="25" t="s">
        <v>166</v>
      </c>
      <c r="C41" s="25" t="s">
        <v>70</v>
      </c>
      <c r="D41" s="25" t="s">
        <v>156</v>
      </c>
      <c r="E41" s="26" t="n">
        <v>43396</v>
      </c>
      <c r="F41" s="26" t="n">
        <v>32855</v>
      </c>
      <c r="G41" s="25" t="s">
        <v>84</v>
      </c>
      <c r="H41" s="25" t="n">
        <v>4</v>
      </c>
      <c r="I41" s="14" t="n">
        <f aca="false">IF(A41="","",IF(COUNTIF(Veri_Guncel!$A:$A,A41)=0,1,0))</f>
        <v>0</v>
      </c>
    </row>
    <row r="42" customFormat="false" ht="15" hidden="false" customHeight="false" outlineLevel="0" collapsed="false">
      <c r="A42" s="25" t="s">
        <v>167</v>
      </c>
      <c r="B42" s="25" t="s">
        <v>168</v>
      </c>
      <c r="C42" s="25" t="s">
        <v>70</v>
      </c>
      <c r="D42" s="25" t="s">
        <v>156</v>
      </c>
      <c r="E42" s="26" t="n">
        <v>45122</v>
      </c>
      <c r="F42" s="26" t="n">
        <v>32818</v>
      </c>
      <c r="G42" s="25" t="s">
        <v>87</v>
      </c>
      <c r="H42" s="25" t="n">
        <v>19</v>
      </c>
      <c r="I42" s="14" t="n">
        <f aca="false">IF(A42="","",IF(COUNTIF(Veri_Guncel!$A:$A,A42)=0,1,0))</f>
        <v>0</v>
      </c>
    </row>
    <row r="43" customFormat="false" ht="15" hidden="false" customHeight="false" outlineLevel="0" collapsed="false">
      <c r="A43" s="25" t="s">
        <v>169</v>
      </c>
      <c r="B43" s="25" t="s">
        <v>170</v>
      </c>
      <c r="C43" s="25" t="s">
        <v>71</v>
      </c>
      <c r="D43" s="25" t="s">
        <v>171</v>
      </c>
      <c r="E43" s="26" t="n">
        <v>42747</v>
      </c>
      <c r="F43" s="26" t="n">
        <v>34702</v>
      </c>
      <c r="G43" s="25" t="s">
        <v>87</v>
      </c>
      <c r="H43" s="25" t="n">
        <v>17</v>
      </c>
      <c r="I43" s="14" t="n">
        <f aca="false">IF(A43="","",IF(COUNTIF(Veri_Guncel!$A:$A,A43)=0,1,0))</f>
        <v>0</v>
      </c>
    </row>
    <row r="44" customFormat="false" ht="15" hidden="false" customHeight="false" outlineLevel="0" collapsed="false">
      <c r="A44" s="25" t="s">
        <v>172</v>
      </c>
      <c r="B44" s="25" t="s">
        <v>173</v>
      </c>
      <c r="C44" s="25" t="s">
        <v>71</v>
      </c>
      <c r="D44" s="25" t="s">
        <v>171</v>
      </c>
      <c r="E44" s="26" t="n">
        <v>45214</v>
      </c>
      <c r="F44" s="26" t="n">
        <v>36617</v>
      </c>
      <c r="G44" s="25" t="s">
        <v>81</v>
      </c>
      <c r="H44" s="25" t="n">
        <v>15</v>
      </c>
      <c r="I44" s="14" t="n">
        <f aca="false">IF(A44="","",IF(COUNTIF(Veri_Guncel!$A:$A,A44)=0,1,0))</f>
        <v>0</v>
      </c>
    </row>
    <row r="45" customFormat="false" ht="15" hidden="false" customHeight="false" outlineLevel="0" collapsed="false">
      <c r="A45" s="25" t="s">
        <v>174</v>
      </c>
      <c r="B45" s="25" t="s">
        <v>175</v>
      </c>
      <c r="C45" s="25" t="s">
        <v>71</v>
      </c>
      <c r="D45" s="25" t="s">
        <v>171</v>
      </c>
      <c r="E45" s="26" t="n">
        <v>43936</v>
      </c>
      <c r="F45" s="26" t="n">
        <v>34711</v>
      </c>
      <c r="G45" s="25" t="s">
        <v>87</v>
      </c>
      <c r="H45" s="25" t="n">
        <v>7</v>
      </c>
      <c r="I45" s="14" t="n">
        <f aca="false">IF(A45="","",IF(COUNTIF(Veri_Guncel!$A:$A,A45)=0,1,0))</f>
        <v>0</v>
      </c>
    </row>
    <row r="46" customFormat="false" ht="15" hidden="false" customHeight="false" outlineLevel="0" collapsed="false">
      <c r="A46" s="25" t="s">
        <v>176</v>
      </c>
      <c r="B46" s="25" t="s">
        <v>177</v>
      </c>
      <c r="C46" s="25" t="s">
        <v>71</v>
      </c>
      <c r="D46" s="25" t="s">
        <v>171</v>
      </c>
      <c r="E46" s="26" t="n">
        <v>41036</v>
      </c>
      <c r="F46" s="26" t="n">
        <v>35994</v>
      </c>
      <c r="G46" s="25" t="s">
        <v>84</v>
      </c>
      <c r="H46" s="25" t="n">
        <v>9</v>
      </c>
      <c r="I46" s="14" t="n">
        <f aca="false">IF(A46="","",IF(COUNTIF(Veri_Guncel!$A:$A,A46)=0,1,0))</f>
        <v>0</v>
      </c>
    </row>
    <row r="47" customFormat="false" ht="15" hidden="false" customHeight="false" outlineLevel="0" collapsed="false">
      <c r="A47" s="25" t="s">
        <v>178</v>
      </c>
      <c r="B47" s="25" t="s">
        <v>179</v>
      </c>
      <c r="C47" s="25" t="s">
        <v>71</v>
      </c>
      <c r="D47" s="25" t="s">
        <v>171</v>
      </c>
      <c r="E47" s="26" t="n">
        <v>40866</v>
      </c>
      <c r="F47" s="26" t="n">
        <v>27804</v>
      </c>
      <c r="G47" s="25" t="s">
        <v>84</v>
      </c>
      <c r="H47" s="25" t="n">
        <v>35</v>
      </c>
      <c r="I47" s="14" t="n">
        <f aca="false">IF(A47="","",IF(COUNTIF(Veri_Guncel!$A:$A,A47)=0,1,0))</f>
        <v>0</v>
      </c>
    </row>
    <row r="48" customFormat="false" ht="15" hidden="false" customHeight="false" outlineLevel="0" collapsed="false">
      <c r="A48" s="25" t="s">
        <v>180</v>
      </c>
      <c r="B48" s="25" t="s">
        <v>181</v>
      </c>
      <c r="C48" s="25" t="s">
        <v>71</v>
      </c>
      <c r="D48" s="25" t="s">
        <v>171</v>
      </c>
      <c r="E48" s="26" t="n">
        <v>42020</v>
      </c>
      <c r="F48" s="26" t="n">
        <v>38643</v>
      </c>
      <c r="G48" s="25" t="s">
        <v>87</v>
      </c>
      <c r="H48" s="25" t="n">
        <v>20</v>
      </c>
      <c r="I48" s="14" t="n">
        <f aca="false">IF(A48="","",IF(COUNTIF(Veri_Guncel!$A:$A,A48)=0,1,0))</f>
        <v>0</v>
      </c>
    </row>
    <row r="49" customFormat="false" ht="15" hidden="false" customHeight="false" outlineLevel="0" collapsed="false">
      <c r="A49" s="25" t="s">
        <v>182</v>
      </c>
      <c r="B49" s="25" t="s">
        <v>183</v>
      </c>
      <c r="C49" s="25" t="s">
        <v>71</v>
      </c>
      <c r="D49" s="25" t="s">
        <v>184</v>
      </c>
      <c r="E49" s="26" t="n">
        <v>42129</v>
      </c>
      <c r="F49" s="26" t="n">
        <v>34464</v>
      </c>
      <c r="G49" s="25" t="s">
        <v>87</v>
      </c>
      <c r="H49" s="25" t="n">
        <v>24</v>
      </c>
      <c r="I49" s="14" t="n">
        <f aca="false">IF(A49="","",IF(COUNTIF(Veri_Guncel!$A:$A,A49)=0,1,0))</f>
        <v>0</v>
      </c>
    </row>
    <row r="50" customFormat="false" ht="15" hidden="false" customHeight="false" outlineLevel="0" collapsed="false">
      <c r="A50" s="25" t="s">
        <v>185</v>
      </c>
      <c r="B50" s="25" t="s">
        <v>186</v>
      </c>
      <c r="C50" s="25" t="s">
        <v>71</v>
      </c>
      <c r="D50" s="25" t="s">
        <v>184</v>
      </c>
      <c r="E50" s="26" t="n">
        <v>41581</v>
      </c>
      <c r="F50" s="26" t="n">
        <v>30563</v>
      </c>
      <c r="G50" s="25" t="s">
        <v>87</v>
      </c>
      <c r="H50" s="25" t="n">
        <v>26</v>
      </c>
      <c r="I50" s="14" t="n">
        <f aca="false">IF(A50="","",IF(COUNTIF(Veri_Guncel!$A:$A,A50)=0,1,0))</f>
        <v>0</v>
      </c>
    </row>
    <row r="51" customFormat="false" ht="15" hidden="false" customHeight="false" outlineLevel="0" collapsed="false">
      <c r="A51" s="25" t="s">
        <v>187</v>
      </c>
      <c r="B51" s="25" t="s">
        <v>188</v>
      </c>
      <c r="C51" s="25" t="s">
        <v>71</v>
      </c>
      <c r="D51" s="25" t="s">
        <v>184</v>
      </c>
      <c r="E51" s="26" t="n">
        <v>43618</v>
      </c>
      <c r="F51" s="26" t="n">
        <v>29970</v>
      </c>
      <c r="G51" s="25" t="s">
        <v>81</v>
      </c>
      <c r="H51" s="25" t="n">
        <v>16</v>
      </c>
      <c r="I51" s="14" t="n">
        <f aca="false">IF(A51="","",IF(COUNTIF(Veri_Guncel!$A:$A,A51)=0,1,0))</f>
        <v>0</v>
      </c>
    </row>
    <row r="52" customFormat="false" ht="15" hidden="false" customHeight="false" outlineLevel="0" collapsed="false">
      <c r="A52" s="25" t="s">
        <v>189</v>
      </c>
      <c r="B52" s="25" t="s">
        <v>190</v>
      </c>
      <c r="C52" s="25" t="s">
        <v>71</v>
      </c>
      <c r="D52" s="25" t="s">
        <v>184</v>
      </c>
      <c r="E52" s="26" t="n">
        <v>42373</v>
      </c>
      <c r="F52" s="26" t="n">
        <v>31581</v>
      </c>
      <c r="G52" s="25" t="s">
        <v>87</v>
      </c>
      <c r="H52" s="25" t="n">
        <v>8</v>
      </c>
      <c r="I52" s="14" t="n">
        <f aca="false">IF(A52="","",IF(COUNTIF(Veri_Guncel!$A:$A,A52)=0,1,0))</f>
        <v>0</v>
      </c>
    </row>
    <row r="53" customFormat="false" ht="15" hidden="false" customHeight="false" outlineLevel="0" collapsed="false">
      <c r="A53" s="25" t="s">
        <v>191</v>
      </c>
      <c r="B53" s="25" t="s">
        <v>192</v>
      </c>
      <c r="C53" s="25" t="s">
        <v>71</v>
      </c>
      <c r="D53" s="25" t="s">
        <v>184</v>
      </c>
      <c r="E53" s="26" t="n">
        <v>43086</v>
      </c>
      <c r="F53" s="26" t="n">
        <v>36202</v>
      </c>
      <c r="G53" s="25" t="s">
        <v>84</v>
      </c>
      <c r="H53" s="25" t="n">
        <v>28</v>
      </c>
      <c r="I53" s="14" t="n">
        <f aca="false">IF(A53="","",IF(COUNTIF(Veri_Guncel!$A:$A,A53)=0,1,0))</f>
        <v>0</v>
      </c>
    </row>
    <row r="54" customFormat="false" ht="15" hidden="false" customHeight="false" outlineLevel="0" collapsed="false">
      <c r="A54" s="25" t="s">
        <v>193</v>
      </c>
      <c r="B54" s="25" t="s">
        <v>108</v>
      </c>
      <c r="C54" s="25" t="s">
        <v>71</v>
      </c>
      <c r="D54" s="25" t="s">
        <v>184</v>
      </c>
      <c r="E54" s="26" t="n">
        <v>41255</v>
      </c>
      <c r="F54" s="26" t="n">
        <v>39042</v>
      </c>
      <c r="G54" s="25" t="s">
        <v>84</v>
      </c>
      <c r="H54" s="25" t="n">
        <v>19</v>
      </c>
      <c r="I54" s="14" t="n">
        <f aca="false">IF(A54="","",IF(COUNTIF(Veri_Guncel!$A:$A,A54)=0,1,0))</f>
        <v>0</v>
      </c>
    </row>
    <row r="55" customFormat="false" ht="15" hidden="false" customHeight="false" outlineLevel="0" collapsed="false">
      <c r="A55" s="25" t="s">
        <v>194</v>
      </c>
      <c r="B55" s="25" t="s">
        <v>195</v>
      </c>
      <c r="C55" s="25" t="s">
        <v>71</v>
      </c>
      <c r="D55" s="25" t="s">
        <v>184</v>
      </c>
      <c r="E55" s="26" t="n">
        <v>44789</v>
      </c>
      <c r="F55" s="26" t="n">
        <v>30189</v>
      </c>
      <c r="G55" s="25" t="s">
        <v>81</v>
      </c>
      <c r="H55" s="25" t="n">
        <v>0</v>
      </c>
      <c r="I55" s="14" t="n">
        <f aca="false">IF(A55="","",IF(COUNTIF(Veri_Guncel!$A:$A,A55)=0,1,0))</f>
        <v>0</v>
      </c>
    </row>
    <row r="56" customFormat="false" ht="15" hidden="false" customHeight="false" outlineLevel="0" collapsed="false">
      <c r="A56" s="25" t="s">
        <v>196</v>
      </c>
      <c r="B56" s="25" t="s">
        <v>89</v>
      </c>
      <c r="C56" s="25" t="s">
        <v>71</v>
      </c>
      <c r="D56" s="25" t="s">
        <v>197</v>
      </c>
      <c r="E56" s="26" t="n">
        <v>41772</v>
      </c>
      <c r="F56" s="26" t="n">
        <v>31282</v>
      </c>
      <c r="G56" s="25" t="s">
        <v>87</v>
      </c>
      <c r="H56" s="25" t="n">
        <v>27</v>
      </c>
      <c r="I56" s="14" t="n">
        <f aca="false">IF(A56="","",IF(COUNTIF(Veri_Guncel!$A:$A,A56)=0,1,0))</f>
        <v>0</v>
      </c>
    </row>
    <row r="57" customFormat="false" ht="15" hidden="false" customHeight="false" outlineLevel="0" collapsed="false">
      <c r="A57" s="25" t="s">
        <v>198</v>
      </c>
      <c r="B57" s="25" t="s">
        <v>199</v>
      </c>
      <c r="C57" s="25" t="s">
        <v>71</v>
      </c>
      <c r="D57" s="25" t="s">
        <v>197</v>
      </c>
      <c r="E57" s="26" t="n">
        <v>44640</v>
      </c>
      <c r="F57" s="26" t="n">
        <v>32417</v>
      </c>
      <c r="G57" s="25" t="s">
        <v>81</v>
      </c>
      <c r="H57" s="25" t="n">
        <v>24</v>
      </c>
      <c r="I57" s="14" t="n">
        <f aca="false">IF(A57="","",IF(COUNTIF(Veri_Guncel!$A:$A,A57)=0,1,0))</f>
        <v>0</v>
      </c>
    </row>
    <row r="58" customFormat="false" ht="15" hidden="false" customHeight="false" outlineLevel="0" collapsed="false">
      <c r="A58" s="25" t="s">
        <v>200</v>
      </c>
      <c r="B58" s="25" t="s">
        <v>201</v>
      </c>
      <c r="C58" s="25" t="s">
        <v>71</v>
      </c>
      <c r="D58" s="25" t="s">
        <v>197</v>
      </c>
      <c r="E58" s="26" t="n">
        <v>42630</v>
      </c>
      <c r="F58" s="26" t="n">
        <v>35893</v>
      </c>
      <c r="G58" s="25" t="s">
        <v>87</v>
      </c>
      <c r="H58" s="25" t="n">
        <v>17</v>
      </c>
      <c r="I58" s="14" t="n">
        <f aca="false">IF(A58="","",IF(COUNTIF(Veri_Guncel!$A:$A,A58)=0,1,0))</f>
        <v>0</v>
      </c>
    </row>
    <row r="59" customFormat="false" ht="15" hidden="false" customHeight="false" outlineLevel="0" collapsed="false">
      <c r="A59" s="25" t="s">
        <v>202</v>
      </c>
      <c r="B59" s="25" t="s">
        <v>199</v>
      </c>
      <c r="C59" s="25" t="s">
        <v>71</v>
      </c>
      <c r="D59" s="25" t="s">
        <v>197</v>
      </c>
      <c r="E59" s="26" t="n">
        <v>46016</v>
      </c>
      <c r="F59" s="26" t="n">
        <v>34738</v>
      </c>
      <c r="G59" s="25" t="s">
        <v>84</v>
      </c>
      <c r="H59" s="25" t="n">
        <v>5</v>
      </c>
      <c r="I59" s="14" t="n">
        <f aca="false">IF(A59="","",IF(COUNTIF(Veri_Guncel!$A:$A,A59)=0,1,0))</f>
        <v>0</v>
      </c>
    </row>
    <row r="60" customFormat="false" ht="15" hidden="false" customHeight="false" outlineLevel="0" collapsed="false">
      <c r="A60" s="25" t="s">
        <v>203</v>
      </c>
      <c r="B60" s="25" t="s">
        <v>204</v>
      </c>
      <c r="C60" s="25" t="s">
        <v>71</v>
      </c>
      <c r="D60" s="25" t="s">
        <v>197</v>
      </c>
      <c r="E60" s="26" t="n">
        <v>44826</v>
      </c>
      <c r="F60" s="26" t="n">
        <v>34977</v>
      </c>
      <c r="G60" s="25" t="s">
        <v>87</v>
      </c>
      <c r="H60" s="25" t="n">
        <v>0</v>
      </c>
      <c r="I60" s="14" t="n">
        <f aca="false">IF(A60="","",IF(COUNTIF(Veri_Guncel!$A:$A,A60)=0,1,0))</f>
        <v>0</v>
      </c>
    </row>
    <row r="61" customFormat="false" ht="15" hidden="false" customHeight="false" outlineLevel="0" collapsed="false">
      <c r="A61" s="25" t="s">
        <v>205</v>
      </c>
      <c r="B61" s="25" t="s">
        <v>206</v>
      </c>
      <c r="C61" s="25" t="s">
        <v>71</v>
      </c>
      <c r="D61" s="25" t="s">
        <v>197</v>
      </c>
      <c r="E61" s="26" t="n">
        <v>43073</v>
      </c>
      <c r="F61" s="26" t="n">
        <v>31307</v>
      </c>
      <c r="G61" s="25" t="s">
        <v>87</v>
      </c>
      <c r="H61" s="25" t="n">
        <v>13</v>
      </c>
      <c r="I61" s="14" t="n">
        <f aca="false">IF(A61="","",IF(COUNTIF(Veri_Guncel!$A:$A,A61)=0,1,0))</f>
        <v>0</v>
      </c>
    </row>
    <row r="62" customFormat="false" ht="15" hidden="false" customHeight="false" outlineLevel="0" collapsed="false">
      <c r="A62" s="25" t="s">
        <v>207</v>
      </c>
      <c r="B62" s="25" t="s">
        <v>208</v>
      </c>
      <c r="C62" s="25" t="s">
        <v>72</v>
      </c>
      <c r="D62" s="25" t="s">
        <v>209</v>
      </c>
      <c r="E62" s="26" t="n">
        <v>43418</v>
      </c>
      <c r="F62" s="26" t="n">
        <v>37128</v>
      </c>
      <c r="G62" s="25" t="s">
        <v>81</v>
      </c>
      <c r="H62" s="25" t="n">
        <v>13</v>
      </c>
      <c r="I62" s="14" t="n">
        <f aca="false">IF(A62="","",IF(COUNTIF(Veri_Guncel!$A:$A,A62)=0,1,0))</f>
        <v>0</v>
      </c>
    </row>
    <row r="63" customFormat="false" ht="15" hidden="false" customHeight="false" outlineLevel="0" collapsed="false">
      <c r="A63" s="25" t="s">
        <v>210</v>
      </c>
      <c r="B63" s="25" t="s">
        <v>195</v>
      </c>
      <c r="C63" s="25" t="s">
        <v>72</v>
      </c>
      <c r="D63" s="25" t="s">
        <v>209</v>
      </c>
      <c r="E63" s="26" t="n">
        <v>43538</v>
      </c>
      <c r="F63" s="26" t="n">
        <v>35171</v>
      </c>
      <c r="G63" s="25" t="s">
        <v>81</v>
      </c>
      <c r="H63" s="25" t="n">
        <v>14</v>
      </c>
      <c r="I63" s="14" t="n">
        <f aca="false">IF(A63="","",IF(COUNTIF(Veri_Guncel!$A:$A,A63)=0,1,0))</f>
        <v>0</v>
      </c>
    </row>
    <row r="64" customFormat="false" ht="15" hidden="false" customHeight="false" outlineLevel="0" collapsed="false">
      <c r="A64" s="25" t="s">
        <v>211</v>
      </c>
      <c r="B64" s="25" t="s">
        <v>212</v>
      </c>
      <c r="C64" s="25" t="s">
        <v>72</v>
      </c>
      <c r="D64" s="25" t="s">
        <v>209</v>
      </c>
      <c r="E64" s="26" t="n">
        <v>45749</v>
      </c>
      <c r="F64" s="26" t="n">
        <v>34257</v>
      </c>
      <c r="G64" s="25" t="s">
        <v>87</v>
      </c>
      <c r="H64" s="25" t="n">
        <v>24</v>
      </c>
      <c r="I64" s="14" t="n">
        <f aca="false">IF(A64="","",IF(COUNTIF(Veri_Guncel!$A:$A,A64)=0,1,0))</f>
        <v>0</v>
      </c>
    </row>
    <row r="65" customFormat="false" ht="15" hidden="false" customHeight="false" outlineLevel="0" collapsed="false">
      <c r="A65" s="25" t="s">
        <v>213</v>
      </c>
      <c r="B65" s="25" t="s">
        <v>214</v>
      </c>
      <c r="C65" s="25" t="s">
        <v>72</v>
      </c>
      <c r="D65" s="25" t="s">
        <v>209</v>
      </c>
      <c r="E65" s="26" t="n">
        <v>43172</v>
      </c>
      <c r="F65" s="26" t="n">
        <v>29769</v>
      </c>
      <c r="G65" s="25" t="s">
        <v>84</v>
      </c>
      <c r="H65" s="25" t="n">
        <v>5</v>
      </c>
      <c r="I65" s="14" t="n">
        <f aca="false">IF(A65="","",IF(COUNTIF(Veri_Guncel!$A:$A,A65)=0,1,0))</f>
        <v>0</v>
      </c>
    </row>
    <row r="66" customFormat="false" ht="15" hidden="false" customHeight="false" outlineLevel="0" collapsed="false">
      <c r="A66" s="25" t="s">
        <v>215</v>
      </c>
      <c r="B66" s="25" t="s">
        <v>216</v>
      </c>
      <c r="C66" s="25" t="s">
        <v>72</v>
      </c>
      <c r="D66" s="25" t="s">
        <v>209</v>
      </c>
      <c r="E66" s="26" t="n">
        <v>45763</v>
      </c>
      <c r="F66" s="26" t="n">
        <v>31764</v>
      </c>
      <c r="G66" s="25" t="s">
        <v>84</v>
      </c>
      <c r="H66" s="25" t="n">
        <v>31</v>
      </c>
      <c r="I66" s="14" t="n">
        <f aca="false">IF(A66="","",IF(COUNTIF(Veri_Guncel!$A:$A,A66)=0,1,0))</f>
        <v>0</v>
      </c>
    </row>
    <row r="67" customFormat="false" ht="15" hidden="false" customHeight="false" outlineLevel="0" collapsed="false">
      <c r="A67" s="25" t="s">
        <v>217</v>
      </c>
      <c r="B67" s="25" t="s">
        <v>218</v>
      </c>
      <c r="C67" s="25" t="s">
        <v>72</v>
      </c>
      <c r="D67" s="25" t="s">
        <v>209</v>
      </c>
      <c r="E67" s="26" t="n">
        <v>40721</v>
      </c>
      <c r="F67" s="26" t="n">
        <v>29444</v>
      </c>
      <c r="G67" s="25" t="s">
        <v>87</v>
      </c>
      <c r="H67" s="25" t="n">
        <v>14</v>
      </c>
      <c r="I67" s="14" t="n">
        <f aca="false">IF(A67="","",IF(COUNTIF(Veri_Guncel!$A:$A,A67)=0,1,0))</f>
        <v>0</v>
      </c>
    </row>
    <row r="68" customFormat="false" ht="15" hidden="false" customHeight="false" outlineLevel="0" collapsed="false">
      <c r="A68" s="25" t="s">
        <v>219</v>
      </c>
      <c r="B68" s="25" t="s">
        <v>220</v>
      </c>
      <c r="C68" s="25" t="s">
        <v>72</v>
      </c>
      <c r="D68" s="25" t="s">
        <v>221</v>
      </c>
      <c r="E68" s="26" t="n">
        <v>41419</v>
      </c>
      <c r="F68" s="26" t="n">
        <v>28662</v>
      </c>
      <c r="G68" s="25" t="s">
        <v>87</v>
      </c>
      <c r="H68" s="25" t="n">
        <v>8</v>
      </c>
      <c r="I68" s="14" t="n">
        <f aca="false">IF(A68="","",IF(COUNTIF(Veri_Guncel!$A:$A,A68)=0,1,0))</f>
        <v>0</v>
      </c>
    </row>
    <row r="69" customFormat="false" ht="15" hidden="false" customHeight="false" outlineLevel="0" collapsed="false">
      <c r="A69" s="25" t="s">
        <v>222</v>
      </c>
      <c r="B69" s="25" t="s">
        <v>223</v>
      </c>
      <c r="C69" s="25" t="s">
        <v>72</v>
      </c>
      <c r="D69" s="25" t="s">
        <v>221</v>
      </c>
      <c r="E69" s="26" t="n">
        <v>41749</v>
      </c>
      <c r="F69" s="26" t="n">
        <v>34024</v>
      </c>
      <c r="G69" s="25" t="s">
        <v>87</v>
      </c>
      <c r="H69" s="25" t="n">
        <v>13</v>
      </c>
      <c r="I69" s="14" t="n">
        <f aca="false">IF(A69="","",IF(COUNTIF(Veri_Guncel!$A:$A,A69)=0,1,0))</f>
        <v>0</v>
      </c>
    </row>
    <row r="70" customFormat="false" ht="15" hidden="false" customHeight="false" outlineLevel="0" collapsed="false">
      <c r="A70" s="25" t="s">
        <v>224</v>
      </c>
      <c r="B70" s="25" t="s">
        <v>225</v>
      </c>
      <c r="C70" s="25" t="s">
        <v>72</v>
      </c>
      <c r="D70" s="25" t="s">
        <v>221</v>
      </c>
      <c r="E70" s="26" t="n">
        <v>42128</v>
      </c>
      <c r="F70" s="26" t="n">
        <v>33184</v>
      </c>
      <c r="G70" s="25" t="s">
        <v>87</v>
      </c>
      <c r="H70" s="25" t="n">
        <v>15</v>
      </c>
      <c r="I70" s="14" t="n">
        <f aca="false">IF(A70="","",IF(COUNTIF(Veri_Guncel!$A:$A,A70)=0,1,0))</f>
        <v>0</v>
      </c>
    </row>
    <row r="71" customFormat="false" ht="15" hidden="false" customHeight="false" outlineLevel="0" collapsed="false">
      <c r="A71" s="25" t="s">
        <v>226</v>
      </c>
      <c r="B71" s="25" t="s">
        <v>227</v>
      </c>
      <c r="C71" s="25" t="s">
        <v>72</v>
      </c>
      <c r="D71" s="25" t="s">
        <v>221</v>
      </c>
      <c r="E71" s="26" t="n">
        <v>46148</v>
      </c>
      <c r="F71" s="26" t="n">
        <v>27344</v>
      </c>
      <c r="G71" s="25" t="s">
        <v>84</v>
      </c>
      <c r="H71" s="25" t="n">
        <v>0</v>
      </c>
      <c r="I71" s="14" t="n">
        <f aca="false">IF(A71="","",IF(COUNTIF(Veri_Guncel!$A:$A,A71)=0,1,0))</f>
        <v>0</v>
      </c>
    </row>
    <row r="72" customFormat="false" ht="15" hidden="false" customHeight="false" outlineLevel="0" collapsed="false">
      <c r="A72" s="25" t="s">
        <v>228</v>
      </c>
      <c r="B72" s="25" t="s">
        <v>229</v>
      </c>
      <c r="C72" s="25" t="s">
        <v>72</v>
      </c>
      <c r="D72" s="25" t="s">
        <v>221</v>
      </c>
      <c r="E72" s="26" t="n">
        <v>40660</v>
      </c>
      <c r="F72" s="26" t="n">
        <v>29708</v>
      </c>
      <c r="G72" s="25" t="s">
        <v>87</v>
      </c>
      <c r="H72" s="25" t="n">
        <v>8</v>
      </c>
      <c r="I72" s="14" t="n">
        <f aca="false">IF(A72="","",IF(COUNTIF(Veri_Guncel!$A:$A,A72)=0,1,0))</f>
        <v>0</v>
      </c>
    </row>
    <row r="73" customFormat="false" ht="15" hidden="false" customHeight="false" outlineLevel="0" collapsed="false">
      <c r="A73" s="25" t="s">
        <v>230</v>
      </c>
      <c r="B73" s="25" t="s">
        <v>86</v>
      </c>
      <c r="C73" s="25" t="s">
        <v>72</v>
      </c>
      <c r="D73" s="25" t="s">
        <v>221</v>
      </c>
      <c r="E73" s="26" t="n">
        <v>40964</v>
      </c>
      <c r="F73" s="26" t="n">
        <v>38010</v>
      </c>
      <c r="G73" s="25" t="s">
        <v>84</v>
      </c>
      <c r="H73" s="25" t="n">
        <v>9</v>
      </c>
      <c r="I73" s="14" t="n">
        <f aca="false">IF(A73="","",IF(COUNTIF(Veri_Guncel!$A:$A,A73)=0,1,0))</f>
        <v>0</v>
      </c>
    </row>
    <row r="74" customFormat="false" ht="15" hidden="false" customHeight="false" outlineLevel="0" collapsed="false">
      <c r="A74" s="25" t="s">
        <v>231</v>
      </c>
      <c r="B74" s="25" t="s">
        <v>232</v>
      </c>
      <c r="C74" s="25" t="s">
        <v>72</v>
      </c>
      <c r="D74" s="25" t="s">
        <v>221</v>
      </c>
      <c r="E74" s="26" t="n">
        <v>45979</v>
      </c>
      <c r="F74" s="26" t="n">
        <v>34901</v>
      </c>
      <c r="G74" s="25" t="s">
        <v>87</v>
      </c>
      <c r="H74" s="25" t="n">
        <v>3</v>
      </c>
      <c r="I74" s="14" t="n">
        <f aca="false">IF(A74="","",IF(COUNTIF(Veri_Guncel!$A:$A,A74)=0,1,0))</f>
        <v>0</v>
      </c>
    </row>
    <row r="75" customFormat="false" ht="15" hidden="false" customHeight="false" outlineLevel="0" collapsed="false">
      <c r="A75" s="25" t="s">
        <v>233</v>
      </c>
      <c r="B75" s="25" t="s">
        <v>234</v>
      </c>
      <c r="C75" s="25" t="s">
        <v>72</v>
      </c>
      <c r="D75" s="25" t="s">
        <v>221</v>
      </c>
      <c r="E75" s="26" t="n">
        <v>42168</v>
      </c>
      <c r="F75" s="26" t="n">
        <v>36851</v>
      </c>
      <c r="G75" s="25" t="s">
        <v>81</v>
      </c>
      <c r="H75" s="25" t="n">
        <v>19</v>
      </c>
      <c r="I75" s="14" t="n">
        <f aca="false">IF(A75="","",IF(COUNTIF(Veri_Guncel!$A:$A,A75)=0,1,0))</f>
        <v>0</v>
      </c>
    </row>
    <row r="76" customFormat="false" ht="15" hidden="false" customHeight="false" outlineLevel="0" collapsed="false">
      <c r="A76" s="25" t="s">
        <v>235</v>
      </c>
      <c r="B76" s="25" t="s">
        <v>236</v>
      </c>
      <c r="C76" s="25" t="s">
        <v>72</v>
      </c>
      <c r="D76" s="25" t="s">
        <v>237</v>
      </c>
      <c r="E76" s="26" t="n">
        <v>43128</v>
      </c>
      <c r="F76" s="26" t="n">
        <v>37006</v>
      </c>
      <c r="G76" s="25" t="s">
        <v>84</v>
      </c>
      <c r="H76" s="25" t="n">
        <v>17</v>
      </c>
      <c r="I76" s="14" t="n">
        <f aca="false">IF(A76="","",IF(COUNTIF(Veri_Guncel!$A:$A,A76)=0,1,0))</f>
        <v>0</v>
      </c>
    </row>
    <row r="77" customFormat="false" ht="15" hidden="false" customHeight="false" outlineLevel="0" collapsed="false">
      <c r="A77" s="25" t="s">
        <v>238</v>
      </c>
      <c r="B77" s="25" t="s">
        <v>239</v>
      </c>
      <c r="C77" s="25" t="s">
        <v>72</v>
      </c>
      <c r="D77" s="25" t="s">
        <v>237</v>
      </c>
      <c r="E77" s="26" t="n">
        <v>44778</v>
      </c>
      <c r="F77" s="26" t="n">
        <v>29977</v>
      </c>
      <c r="G77" s="25" t="s">
        <v>81</v>
      </c>
      <c r="H77" s="25" t="n">
        <v>0</v>
      </c>
      <c r="I77" s="14" t="n">
        <f aca="false">IF(A77="","",IF(COUNTIF(Veri_Guncel!$A:$A,A77)=0,1,0))</f>
        <v>0</v>
      </c>
    </row>
    <row r="78" customFormat="false" ht="15" hidden="false" customHeight="false" outlineLevel="0" collapsed="false">
      <c r="A78" s="25" t="s">
        <v>240</v>
      </c>
      <c r="B78" s="25" t="s">
        <v>241</v>
      </c>
      <c r="C78" s="25" t="s">
        <v>72</v>
      </c>
      <c r="D78" s="25" t="s">
        <v>237</v>
      </c>
      <c r="E78" s="26" t="n">
        <v>43923</v>
      </c>
      <c r="F78" s="26" t="n">
        <v>36957</v>
      </c>
      <c r="G78" s="25" t="s">
        <v>87</v>
      </c>
      <c r="H78" s="25" t="n">
        <v>4</v>
      </c>
      <c r="I78" s="14" t="n">
        <f aca="false">IF(A78="","",IF(COUNTIF(Veri_Guncel!$A:$A,A78)=0,1,0))</f>
        <v>0</v>
      </c>
    </row>
    <row r="79" customFormat="false" ht="15" hidden="false" customHeight="false" outlineLevel="0" collapsed="false">
      <c r="A79" s="25" t="s">
        <v>242</v>
      </c>
      <c r="B79" s="25" t="s">
        <v>125</v>
      </c>
      <c r="C79" s="25" t="s">
        <v>72</v>
      </c>
      <c r="D79" s="25" t="s">
        <v>237</v>
      </c>
      <c r="E79" s="26" t="n">
        <v>42112</v>
      </c>
      <c r="F79" s="26" t="n">
        <v>28932</v>
      </c>
      <c r="G79" s="25" t="s">
        <v>81</v>
      </c>
      <c r="H79" s="25" t="n">
        <v>26</v>
      </c>
      <c r="I79" s="14" t="n">
        <f aca="false">IF(A79="","",IF(COUNTIF(Veri_Guncel!$A:$A,A79)=0,1,0))</f>
        <v>0</v>
      </c>
    </row>
    <row r="80" customFormat="false" ht="15" hidden="false" customHeight="false" outlineLevel="0" collapsed="false">
      <c r="A80" s="25" t="s">
        <v>243</v>
      </c>
      <c r="B80" s="25" t="s">
        <v>244</v>
      </c>
      <c r="C80" s="25" t="s">
        <v>72</v>
      </c>
      <c r="D80" s="25" t="s">
        <v>237</v>
      </c>
      <c r="E80" s="26" t="n">
        <v>41677</v>
      </c>
      <c r="F80" s="26" t="n">
        <v>31291</v>
      </c>
      <c r="G80" s="25" t="s">
        <v>87</v>
      </c>
      <c r="H80" s="25" t="n">
        <v>5</v>
      </c>
      <c r="I80" s="14" t="n">
        <f aca="false">IF(A80="","",IF(COUNTIF(Veri_Guncel!$A:$A,A80)=0,1,0))</f>
        <v>0</v>
      </c>
    </row>
    <row r="81" customFormat="false" ht="15" hidden="false" customHeight="false" outlineLevel="0" collapsed="false">
      <c r="A81" s="25" t="s">
        <v>245</v>
      </c>
      <c r="B81" s="25" t="s">
        <v>155</v>
      </c>
      <c r="C81" s="25" t="s">
        <v>72</v>
      </c>
      <c r="D81" s="25" t="s">
        <v>237</v>
      </c>
      <c r="E81" s="26" t="n">
        <v>41736</v>
      </c>
      <c r="F81" s="26" t="n">
        <v>36459</v>
      </c>
      <c r="G81" s="25" t="s">
        <v>87</v>
      </c>
      <c r="H81" s="25" t="n">
        <v>28</v>
      </c>
      <c r="I81" s="14" t="n">
        <f aca="false">IF(A81="","",IF(COUNTIF(Veri_Guncel!$A:$A,A81)=0,1,0))</f>
        <v>0</v>
      </c>
    </row>
    <row r="82" customFormat="false" ht="15" hidden="false" customHeight="false" outlineLevel="0" collapsed="false">
      <c r="A82" s="25" t="s">
        <v>246</v>
      </c>
      <c r="B82" s="25" t="s">
        <v>216</v>
      </c>
      <c r="C82" s="25" t="s">
        <v>72</v>
      </c>
      <c r="D82" s="25" t="s">
        <v>237</v>
      </c>
      <c r="E82" s="26" t="n">
        <v>45057</v>
      </c>
      <c r="F82" s="26" t="n">
        <v>34517</v>
      </c>
      <c r="G82" s="25" t="s">
        <v>87</v>
      </c>
      <c r="H82" s="25" t="n">
        <v>17</v>
      </c>
      <c r="I82" s="14" t="n">
        <f aca="false">IF(A82="","",IF(COUNTIF(Veri_Guncel!$A:$A,A82)=0,1,0))</f>
        <v>0</v>
      </c>
    </row>
    <row r="83" customFormat="false" ht="15" hidden="false" customHeight="false" outlineLevel="0" collapsed="false">
      <c r="A83" s="25" t="s">
        <v>247</v>
      </c>
      <c r="B83" s="25" t="s">
        <v>248</v>
      </c>
      <c r="C83" s="25" t="s">
        <v>72</v>
      </c>
      <c r="D83" s="25" t="s">
        <v>237</v>
      </c>
      <c r="E83" s="26" t="n">
        <v>45215</v>
      </c>
      <c r="F83" s="26" t="n">
        <v>30337</v>
      </c>
      <c r="G83" s="25" t="s">
        <v>87</v>
      </c>
      <c r="H83" s="25" t="n">
        <v>7</v>
      </c>
      <c r="I83" s="14" t="n">
        <f aca="false">IF(A83="","",IF(COUNTIF(Veri_Guncel!$A:$A,A83)=0,1,0))</f>
        <v>0</v>
      </c>
    </row>
    <row r="84" customFormat="false" ht="15" hidden="false" customHeight="false" outlineLevel="0" collapsed="false">
      <c r="A84" s="25" t="s">
        <v>249</v>
      </c>
      <c r="B84" s="25" t="s">
        <v>250</v>
      </c>
      <c r="C84" s="25" t="s">
        <v>73</v>
      </c>
      <c r="D84" s="25" t="s">
        <v>251</v>
      </c>
      <c r="E84" s="26" t="n">
        <v>43994</v>
      </c>
      <c r="F84" s="26" t="n">
        <v>37934</v>
      </c>
      <c r="G84" s="25" t="s">
        <v>84</v>
      </c>
      <c r="H84" s="25" t="n">
        <v>14</v>
      </c>
      <c r="I84" s="14" t="n">
        <f aca="false">IF(A84="","",IF(COUNTIF(Veri_Guncel!$A:$A,A84)=0,1,0))</f>
        <v>0</v>
      </c>
    </row>
    <row r="85" customFormat="false" ht="15" hidden="false" customHeight="false" outlineLevel="0" collapsed="false">
      <c r="A85" s="25" t="s">
        <v>252</v>
      </c>
      <c r="B85" s="25" t="s">
        <v>253</v>
      </c>
      <c r="C85" s="25" t="s">
        <v>73</v>
      </c>
      <c r="D85" s="25" t="s">
        <v>251</v>
      </c>
      <c r="E85" s="26" t="n">
        <v>41778</v>
      </c>
      <c r="F85" s="26" t="n">
        <v>28348</v>
      </c>
      <c r="G85" s="25" t="s">
        <v>84</v>
      </c>
      <c r="H85" s="25" t="n">
        <v>33</v>
      </c>
      <c r="I85" s="14" t="n">
        <f aca="false">IF(A85="","",IF(COUNTIF(Veri_Guncel!$A:$A,A85)=0,1,0))</f>
        <v>0</v>
      </c>
    </row>
    <row r="86" customFormat="false" ht="15" hidden="false" customHeight="false" outlineLevel="0" collapsed="false">
      <c r="A86" s="25" t="s">
        <v>254</v>
      </c>
      <c r="B86" s="25" t="s">
        <v>255</v>
      </c>
      <c r="C86" s="25" t="s">
        <v>73</v>
      </c>
      <c r="D86" s="25" t="s">
        <v>251</v>
      </c>
      <c r="E86" s="26" t="n">
        <v>43964</v>
      </c>
      <c r="F86" s="26" t="n">
        <v>28997</v>
      </c>
      <c r="G86" s="25" t="s">
        <v>84</v>
      </c>
      <c r="H86" s="25" t="n">
        <v>22</v>
      </c>
      <c r="I86" s="14" t="n">
        <f aca="false">IF(A86="","",IF(COUNTIF(Veri_Guncel!$A:$A,A86)=0,1,0))</f>
        <v>0</v>
      </c>
    </row>
    <row r="87" customFormat="false" ht="15" hidden="false" customHeight="false" outlineLevel="0" collapsed="false">
      <c r="A87" s="25" t="s">
        <v>256</v>
      </c>
      <c r="B87" s="25" t="s">
        <v>117</v>
      </c>
      <c r="C87" s="25" t="s">
        <v>73</v>
      </c>
      <c r="D87" s="25" t="s">
        <v>251</v>
      </c>
      <c r="E87" s="26" t="n">
        <v>41084</v>
      </c>
      <c r="F87" s="26" t="n">
        <v>36426</v>
      </c>
      <c r="G87" s="25" t="s">
        <v>81</v>
      </c>
      <c r="H87" s="25" t="n">
        <v>2</v>
      </c>
      <c r="I87" s="14" t="n">
        <f aca="false">IF(A87="","",IF(COUNTIF(Veri_Guncel!$A:$A,A87)=0,1,0))</f>
        <v>0</v>
      </c>
    </row>
    <row r="88" customFormat="false" ht="15" hidden="false" customHeight="false" outlineLevel="0" collapsed="false">
      <c r="A88" s="25" t="s">
        <v>257</v>
      </c>
      <c r="B88" s="25" t="s">
        <v>258</v>
      </c>
      <c r="C88" s="25" t="s">
        <v>73</v>
      </c>
      <c r="D88" s="25" t="s">
        <v>251</v>
      </c>
      <c r="E88" s="26" t="n">
        <v>42990</v>
      </c>
      <c r="F88" s="26" t="n">
        <v>30697</v>
      </c>
      <c r="G88" s="25" t="s">
        <v>87</v>
      </c>
      <c r="H88" s="25" t="n">
        <v>0</v>
      </c>
      <c r="I88" s="14" t="n">
        <f aca="false">IF(A88="","",IF(COUNTIF(Veri_Guncel!$A:$A,A88)=0,1,0))</f>
        <v>0</v>
      </c>
    </row>
    <row r="89" customFormat="false" ht="15" hidden="false" customHeight="false" outlineLevel="0" collapsed="false">
      <c r="A89" s="25" t="s">
        <v>259</v>
      </c>
      <c r="B89" s="25" t="s">
        <v>260</v>
      </c>
      <c r="C89" s="25" t="s">
        <v>73</v>
      </c>
      <c r="D89" s="25" t="s">
        <v>251</v>
      </c>
      <c r="E89" s="26" t="n">
        <v>45376</v>
      </c>
      <c r="F89" s="26" t="n">
        <v>26862</v>
      </c>
      <c r="G89" s="25" t="s">
        <v>87</v>
      </c>
      <c r="H89" s="25" t="n">
        <v>6</v>
      </c>
      <c r="I89" s="14" t="n">
        <f aca="false">IF(A89="","",IF(COUNTIF(Veri_Guncel!$A:$A,A89)=0,1,0))</f>
        <v>0</v>
      </c>
    </row>
    <row r="90" customFormat="false" ht="15" hidden="false" customHeight="false" outlineLevel="0" collapsed="false">
      <c r="A90" s="25" t="s">
        <v>261</v>
      </c>
      <c r="B90" s="25" t="s">
        <v>177</v>
      </c>
      <c r="C90" s="25" t="s">
        <v>73</v>
      </c>
      <c r="D90" s="25" t="s">
        <v>262</v>
      </c>
      <c r="E90" s="26" t="n">
        <v>42822</v>
      </c>
      <c r="F90" s="26" t="n">
        <v>33991</v>
      </c>
      <c r="G90" s="25" t="s">
        <v>87</v>
      </c>
      <c r="H90" s="25" t="n">
        <v>27</v>
      </c>
      <c r="I90" s="14" t="n">
        <f aca="false">IF(A90="","",IF(COUNTIF(Veri_Guncel!$A:$A,A90)=0,1,0))</f>
        <v>0</v>
      </c>
    </row>
    <row r="91" customFormat="false" ht="15" hidden="false" customHeight="false" outlineLevel="0" collapsed="false">
      <c r="A91" s="25" t="s">
        <v>263</v>
      </c>
      <c r="B91" s="25" t="s">
        <v>264</v>
      </c>
      <c r="C91" s="25" t="s">
        <v>73</v>
      </c>
      <c r="D91" s="25" t="s">
        <v>262</v>
      </c>
      <c r="E91" s="26" t="n">
        <v>43446</v>
      </c>
      <c r="F91" s="26" t="n">
        <v>38540</v>
      </c>
      <c r="G91" s="25" t="s">
        <v>87</v>
      </c>
      <c r="H91" s="25" t="n">
        <v>15</v>
      </c>
      <c r="I91" s="14" t="n">
        <f aca="false">IF(A91="","",IF(COUNTIF(Veri_Guncel!$A:$A,A91)=0,1,0))</f>
        <v>0</v>
      </c>
    </row>
    <row r="92" customFormat="false" ht="15" hidden="false" customHeight="false" outlineLevel="0" collapsed="false">
      <c r="A92" s="25" t="s">
        <v>265</v>
      </c>
      <c r="B92" s="25" t="s">
        <v>266</v>
      </c>
      <c r="C92" s="25" t="s">
        <v>73</v>
      </c>
      <c r="D92" s="25" t="s">
        <v>262</v>
      </c>
      <c r="E92" s="26" t="n">
        <v>44778</v>
      </c>
      <c r="F92" s="26" t="n">
        <v>34148</v>
      </c>
      <c r="G92" s="25" t="s">
        <v>81</v>
      </c>
      <c r="H92" s="25" t="n">
        <v>10</v>
      </c>
      <c r="I92" s="14" t="n">
        <f aca="false">IF(A92="","",IF(COUNTIF(Veri_Guncel!$A:$A,A92)=0,1,0))</f>
        <v>0</v>
      </c>
    </row>
    <row r="93" customFormat="false" ht="15" hidden="false" customHeight="false" outlineLevel="0" collapsed="false">
      <c r="A93" s="25" t="s">
        <v>267</v>
      </c>
      <c r="B93" s="25" t="s">
        <v>129</v>
      </c>
      <c r="C93" s="25" t="s">
        <v>73</v>
      </c>
      <c r="D93" s="25" t="s">
        <v>262</v>
      </c>
      <c r="E93" s="26" t="n">
        <v>41282</v>
      </c>
      <c r="F93" s="26" t="n">
        <v>33407</v>
      </c>
      <c r="G93" s="25" t="s">
        <v>87</v>
      </c>
      <c r="H93" s="25" t="n">
        <v>17</v>
      </c>
      <c r="I93" s="14" t="n">
        <f aca="false">IF(A93="","",IF(COUNTIF(Veri_Guncel!$A:$A,A93)=0,1,0))</f>
        <v>0</v>
      </c>
    </row>
    <row r="94" customFormat="false" ht="15" hidden="false" customHeight="false" outlineLevel="0" collapsed="false">
      <c r="A94" s="25" t="s">
        <v>268</v>
      </c>
      <c r="B94" s="25" t="s">
        <v>269</v>
      </c>
      <c r="C94" s="25" t="s">
        <v>73</v>
      </c>
      <c r="D94" s="25" t="s">
        <v>262</v>
      </c>
      <c r="E94" s="26" t="n">
        <v>40866</v>
      </c>
      <c r="F94" s="26" t="n">
        <v>32635</v>
      </c>
      <c r="G94" s="25" t="s">
        <v>81</v>
      </c>
      <c r="H94" s="25" t="n">
        <v>26</v>
      </c>
      <c r="I94" s="14" t="n">
        <f aca="false">IF(A94="","",IF(COUNTIF(Veri_Guncel!$A:$A,A94)=0,1,0))</f>
        <v>0</v>
      </c>
    </row>
    <row r="95" customFormat="false" ht="15" hidden="false" customHeight="false" outlineLevel="0" collapsed="false">
      <c r="A95" s="25" t="s">
        <v>270</v>
      </c>
      <c r="B95" s="25" t="s">
        <v>271</v>
      </c>
      <c r="C95" s="25" t="s">
        <v>73</v>
      </c>
      <c r="D95" s="25" t="s">
        <v>262</v>
      </c>
      <c r="E95" s="26" t="n">
        <v>41646</v>
      </c>
      <c r="F95" s="26" t="n">
        <v>35171</v>
      </c>
      <c r="G95" s="25" t="s">
        <v>87</v>
      </c>
      <c r="H95" s="25" t="n">
        <v>21</v>
      </c>
      <c r="I95" s="14" t="n">
        <f aca="false">IF(A95="","",IF(COUNTIF(Veri_Guncel!$A:$A,A95)=0,1,0))</f>
        <v>0</v>
      </c>
    </row>
    <row r="96" customFormat="false" ht="15" hidden="false" customHeight="false" outlineLevel="0" collapsed="false">
      <c r="A96" s="25" t="s">
        <v>272</v>
      </c>
      <c r="B96" s="25" t="s">
        <v>273</v>
      </c>
      <c r="C96" s="25" t="s">
        <v>73</v>
      </c>
      <c r="D96" s="25" t="s">
        <v>274</v>
      </c>
      <c r="E96" s="26" t="n">
        <v>45495</v>
      </c>
      <c r="F96" s="26" t="n">
        <v>32949</v>
      </c>
      <c r="G96" s="25" t="s">
        <v>81</v>
      </c>
      <c r="H96" s="25" t="n">
        <v>12</v>
      </c>
      <c r="I96" s="14" t="n">
        <f aca="false">IF(A96="","",IF(COUNTIF(Veri_Guncel!$A:$A,A96)=0,1,0))</f>
        <v>0</v>
      </c>
    </row>
    <row r="97" customFormat="false" ht="15" hidden="false" customHeight="false" outlineLevel="0" collapsed="false">
      <c r="A97" s="25" t="s">
        <v>275</v>
      </c>
      <c r="B97" s="25" t="s">
        <v>276</v>
      </c>
      <c r="C97" s="25" t="s">
        <v>73</v>
      </c>
      <c r="D97" s="25" t="s">
        <v>274</v>
      </c>
      <c r="E97" s="26" t="n">
        <v>40580</v>
      </c>
      <c r="F97" s="26" t="n">
        <v>36947</v>
      </c>
      <c r="G97" s="25" t="s">
        <v>84</v>
      </c>
      <c r="H97" s="25" t="n">
        <v>14</v>
      </c>
      <c r="I97" s="14" t="n">
        <f aca="false">IF(A97="","",IF(COUNTIF(Veri_Guncel!$A:$A,A97)=0,1,0))</f>
        <v>0</v>
      </c>
    </row>
    <row r="98" customFormat="false" ht="15" hidden="false" customHeight="false" outlineLevel="0" collapsed="false">
      <c r="A98" s="25" t="s">
        <v>277</v>
      </c>
      <c r="B98" s="25" t="s">
        <v>278</v>
      </c>
      <c r="C98" s="25" t="s">
        <v>73</v>
      </c>
      <c r="D98" s="25" t="s">
        <v>274</v>
      </c>
      <c r="E98" s="26" t="n">
        <v>44233</v>
      </c>
      <c r="F98" s="26" t="n">
        <v>38270</v>
      </c>
      <c r="G98" s="25" t="s">
        <v>81</v>
      </c>
      <c r="H98" s="25" t="n">
        <v>22</v>
      </c>
      <c r="I98" s="14" t="n">
        <f aca="false">IF(A98="","",IF(COUNTIF(Veri_Guncel!$A:$A,A98)=0,1,0))</f>
        <v>0</v>
      </c>
    </row>
    <row r="99" customFormat="false" ht="15" hidden="false" customHeight="false" outlineLevel="0" collapsed="false">
      <c r="A99" s="25" t="s">
        <v>279</v>
      </c>
      <c r="B99" s="25" t="s">
        <v>280</v>
      </c>
      <c r="C99" s="25" t="s">
        <v>73</v>
      </c>
      <c r="D99" s="25" t="s">
        <v>274</v>
      </c>
      <c r="E99" s="26" t="n">
        <v>45497</v>
      </c>
      <c r="F99" s="26" t="n">
        <v>39122</v>
      </c>
      <c r="G99" s="25" t="s">
        <v>81</v>
      </c>
      <c r="H99" s="25" t="n">
        <v>13</v>
      </c>
      <c r="I99" s="14" t="n">
        <f aca="false">IF(A99="","",IF(COUNTIF(Veri_Guncel!$A:$A,A99)=0,1,0))</f>
        <v>0</v>
      </c>
    </row>
    <row r="100" customFormat="false" ht="15" hidden="false" customHeight="false" outlineLevel="0" collapsed="false">
      <c r="A100" s="25" t="s">
        <v>281</v>
      </c>
      <c r="B100" s="25" t="s">
        <v>282</v>
      </c>
      <c r="C100" s="25" t="s">
        <v>73</v>
      </c>
      <c r="D100" s="25" t="s">
        <v>274</v>
      </c>
      <c r="E100" s="26" t="n">
        <v>43698</v>
      </c>
      <c r="F100" s="26" t="n">
        <v>33947</v>
      </c>
      <c r="G100" s="25" t="s">
        <v>87</v>
      </c>
      <c r="H100" s="25" t="n">
        <v>8</v>
      </c>
      <c r="I100" s="14" t="n">
        <f aca="false">IF(A100="","",IF(COUNTIF(Veri_Guncel!$A:$A,A100)=0,1,0))</f>
        <v>0</v>
      </c>
    </row>
    <row r="101" customFormat="false" ht="15" hidden="false" customHeight="false" outlineLevel="0" collapsed="false">
      <c r="A101" s="25" t="s">
        <v>283</v>
      </c>
      <c r="B101" s="25" t="s">
        <v>284</v>
      </c>
      <c r="C101" s="25" t="s">
        <v>73</v>
      </c>
      <c r="D101" s="25" t="s">
        <v>274</v>
      </c>
      <c r="E101" s="26" t="n">
        <v>44886</v>
      </c>
      <c r="F101" s="26" t="n">
        <v>34445</v>
      </c>
      <c r="G101" s="25" t="s">
        <v>84</v>
      </c>
      <c r="H101" s="25" t="n">
        <v>4</v>
      </c>
      <c r="I101" s="14" t="n">
        <f aca="false">IF(A101="","",IF(COUNTIF(Veri_Guncel!$A:$A,A101)=0,1,0))</f>
        <v>0</v>
      </c>
    </row>
    <row r="102" customFormat="false" ht="15" hidden="false" customHeight="false" outlineLevel="0" collapsed="false">
      <c r="A102" s="25" t="s">
        <v>285</v>
      </c>
      <c r="B102" s="25" t="s">
        <v>155</v>
      </c>
      <c r="C102" s="25" t="s">
        <v>73</v>
      </c>
      <c r="D102" s="25" t="s">
        <v>286</v>
      </c>
      <c r="E102" s="26" t="n">
        <v>40696</v>
      </c>
      <c r="F102" s="26" t="n">
        <v>30125</v>
      </c>
      <c r="G102" s="25" t="s">
        <v>87</v>
      </c>
      <c r="H102" s="25" t="n">
        <v>6</v>
      </c>
      <c r="I102" s="14" t="n">
        <f aca="false">IF(A102="","",IF(COUNTIF(Veri_Guncel!$A:$A,A102)=0,1,0))</f>
        <v>0</v>
      </c>
    </row>
    <row r="103" customFormat="false" ht="15" hidden="false" customHeight="false" outlineLevel="0" collapsed="false">
      <c r="A103" s="25" t="s">
        <v>287</v>
      </c>
      <c r="B103" s="25" t="s">
        <v>223</v>
      </c>
      <c r="C103" s="25" t="s">
        <v>73</v>
      </c>
      <c r="D103" s="25" t="s">
        <v>286</v>
      </c>
      <c r="E103" s="26" t="n">
        <v>40914</v>
      </c>
      <c r="F103" s="26" t="n">
        <v>33899</v>
      </c>
      <c r="G103" s="25" t="s">
        <v>81</v>
      </c>
      <c r="H103" s="25" t="n">
        <v>15</v>
      </c>
      <c r="I103" s="14" t="n">
        <f aca="false">IF(A103="","",IF(COUNTIF(Veri_Guncel!$A:$A,A103)=0,1,0))</f>
        <v>0</v>
      </c>
    </row>
    <row r="104" customFormat="false" ht="15" hidden="false" customHeight="false" outlineLevel="0" collapsed="false">
      <c r="A104" s="25" t="s">
        <v>288</v>
      </c>
      <c r="B104" s="25" t="s">
        <v>160</v>
      </c>
      <c r="C104" s="25" t="s">
        <v>73</v>
      </c>
      <c r="D104" s="25" t="s">
        <v>286</v>
      </c>
      <c r="E104" s="26" t="n">
        <v>44492</v>
      </c>
      <c r="F104" s="26" t="n">
        <v>30249</v>
      </c>
      <c r="G104" s="25" t="s">
        <v>87</v>
      </c>
      <c r="H104" s="25" t="n">
        <v>6</v>
      </c>
      <c r="I104" s="14" t="n">
        <f aca="false">IF(A104="","",IF(COUNTIF(Veri_Guncel!$A:$A,A104)=0,1,0))</f>
        <v>0</v>
      </c>
    </row>
    <row r="105" customFormat="false" ht="15" hidden="false" customHeight="false" outlineLevel="0" collapsed="false">
      <c r="A105" s="25" t="s">
        <v>289</v>
      </c>
      <c r="B105" s="25" t="s">
        <v>290</v>
      </c>
      <c r="C105" s="25" t="s">
        <v>73</v>
      </c>
      <c r="D105" s="25" t="s">
        <v>286</v>
      </c>
      <c r="E105" s="26" t="n">
        <v>44021</v>
      </c>
      <c r="F105" s="26" t="n">
        <v>33718</v>
      </c>
      <c r="G105" s="25" t="s">
        <v>84</v>
      </c>
      <c r="H105" s="25" t="n">
        <v>15</v>
      </c>
      <c r="I105" s="14" t="n">
        <f aca="false">IF(A105="","",IF(COUNTIF(Veri_Guncel!$A:$A,A105)=0,1,0))</f>
        <v>0</v>
      </c>
    </row>
    <row r="106" customFormat="false" ht="15" hidden="false" customHeight="false" outlineLevel="0" collapsed="false">
      <c r="A106" s="25" t="s">
        <v>291</v>
      </c>
      <c r="B106" s="25" t="s">
        <v>190</v>
      </c>
      <c r="C106" s="25" t="s">
        <v>73</v>
      </c>
      <c r="D106" s="25" t="s">
        <v>286</v>
      </c>
      <c r="E106" s="26" t="n">
        <v>41009</v>
      </c>
      <c r="F106" s="26" t="n">
        <v>33704</v>
      </c>
      <c r="G106" s="25" t="s">
        <v>87</v>
      </c>
      <c r="H106" s="25" t="n">
        <v>30</v>
      </c>
      <c r="I106" s="14" t="n">
        <f aca="false">IF(A106="","",IF(COUNTIF(Veri_Guncel!$A:$A,A106)=0,1,0))</f>
        <v>0</v>
      </c>
    </row>
    <row r="107" customFormat="false" ht="15" hidden="false" customHeight="false" outlineLevel="0" collapsed="false">
      <c r="A107" s="25" t="s">
        <v>292</v>
      </c>
      <c r="B107" s="25" t="s">
        <v>293</v>
      </c>
      <c r="C107" s="25" t="s">
        <v>73</v>
      </c>
      <c r="D107" s="25" t="s">
        <v>286</v>
      </c>
      <c r="E107" s="26" t="n">
        <v>41562</v>
      </c>
      <c r="F107" s="26" t="n">
        <v>37248</v>
      </c>
      <c r="G107" s="25" t="s">
        <v>87</v>
      </c>
      <c r="H107" s="25" t="n">
        <v>26</v>
      </c>
      <c r="I107" s="14" t="n">
        <f aca="false">IF(A107="","",IF(COUNTIF(Veri_Guncel!$A:$A,A107)=0,1,0))</f>
        <v>0</v>
      </c>
    </row>
    <row r="108" customFormat="false" ht="15" hidden="false" customHeight="false" outlineLevel="0" collapsed="false">
      <c r="A108" s="25" t="s">
        <v>294</v>
      </c>
      <c r="B108" s="25" t="s">
        <v>295</v>
      </c>
      <c r="C108" s="25" t="s">
        <v>74</v>
      </c>
      <c r="D108" s="25" t="s">
        <v>296</v>
      </c>
      <c r="E108" s="26" t="n">
        <v>45141</v>
      </c>
      <c r="F108" s="26" t="n">
        <v>39300</v>
      </c>
      <c r="G108" s="25" t="s">
        <v>81</v>
      </c>
      <c r="H108" s="25" t="n">
        <v>19</v>
      </c>
      <c r="I108" s="14" t="n">
        <f aca="false">IF(A108="","",IF(COUNTIF(Veri_Guncel!$A:$A,A108)=0,1,0))</f>
        <v>0</v>
      </c>
    </row>
    <row r="109" customFormat="false" ht="15" hidden="false" customHeight="false" outlineLevel="0" collapsed="false">
      <c r="A109" s="25" t="s">
        <v>297</v>
      </c>
      <c r="B109" s="25" t="s">
        <v>298</v>
      </c>
      <c r="C109" s="25" t="s">
        <v>74</v>
      </c>
      <c r="D109" s="25" t="s">
        <v>296</v>
      </c>
      <c r="E109" s="26" t="n">
        <v>40902</v>
      </c>
      <c r="F109" s="26" t="n">
        <v>26801</v>
      </c>
      <c r="G109" s="25" t="s">
        <v>87</v>
      </c>
      <c r="H109" s="25" t="n">
        <v>4</v>
      </c>
      <c r="I109" s="14" t="n">
        <f aca="false">IF(A109="","",IF(COUNTIF(Veri_Guncel!$A:$A,A109)=0,1,0))</f>
        <v>0</v>
      </c>
    </row>
    <row r="110" customFormat="false" ht="15" hidden="false" customHeight="false" outlineLevel="0" collapsed="false">
      <c r="A110" s="25" t="s">
        <v>299</v>
      </c>
      <c r="B110" s="25" t="s">
        <v>166</v>
      </c>
      <c r="C110" s="25" t="s">
        <v>74</v>
      </c>
      <c r="D110" s="25" t="s">
        <v>296</v>
      </c>
      <c r="E110" s="26" t="n">
        <v>41489</v>
      </c>
      <c r="F110" s="26" t="n">
        <v>35966</v>
      </c>
      <c r="G110" s="25" t="s">
        <v>81</v>
      </c>
      <c r="H110" s="25" t="n">
        <v>10</v>
      </c>
      <c r="I110" s="14" t="n">
        <f aca="false">IF(A110="","",IF(COUNTIF(Veri_Guncel!$A:$A,A110)=0,1,0))</f>
        <v>0</v>
      </c>
    </row>
    <row r="111" customFormat="false" ht="15" hidden="false" customHeight="false" outlineLevel="0" collapsed="false">
      <c r="A111" s="25" t="s">
        <v>300</v>
      </c>
      <c r="B111" s="25" t="s">
        <v>301</v>
      </c>
      <c r="C111" s="25" t="s">
        <v>74</v>
      </c>
      <c r="D111" s="25" t="s">
        <v>296</v>
      </c>
      <c r="E111" s="26" t="n">
        <v>46164</v>
      </c>
      <c r="F111" s="26" t="n">
        <v>33567</v>
      </c>
      <c r="G111" s="25" t="s">
        <v>87</v>
      </c>
      <c r="H111" s="25" t="n">
        <v>0</v>
      </c>
      <c r="I111" s="14" t="n">
        <f aca="false">IF(A111="","",IF(COUNTIF(Veri_Guncel!$A:$A,A111)=0,1,0))</f>
        <v>0</v>
      </c>
    </row>
    <row r="112" customFormat="false" ht="15" hidden="false" customHeight="false" outlineLevel="0" collapsed="false">
      <c r="A112" s="25" t="s">
        <v>302</v>
      </c>
      <c r="B112" s="25" t="s">
        <v>303</v>
      </c>
      <c r="C112" s="25" t="s">
        <v>74</v>
      </c>
      <c r="D112" s="25" t="s">
        <v>296</v>
      </c>
      <c r="E112" s="26" t="n">
        <v>41339</v>
      </c>
      <c r="F112" s="26" t="n">
        <v>36110</v>
      </c>
      <c r="G112" s="25" t="s">
        <v>84</v>
      </c>
      <c r="H112" s="25" t="n">
        <v>15</v>
      </c>
      <c r="I112" s="14" t="n">
        <f aca="false">IF(A112="","",IF(COUNTIF(Veri_Guncel!$A:$A,A112)=0,1,0))</f>
        <v>0</v>
      </c>
    </row>
    <row r="113" customFormat="false" ht="15" hidden="false" customHeight="false" outlineLevel="0" collapsed="false">
      <c r="A113" s="25" t="s">
        <v>304</v>
      </c>
      <c r="B113" s="25" t="s">
        <v>305</v>
      </c>
      <c r="C113" s="25" t="s">
        <v>74</v>
      </c>
      <c r="D113" s="25" t="s">
        <v>306</v>
      </c>
      <c r="E113" s="26" t="n">
        <v>41808</v>
      </c>
      <c r="F113" s="26" t="n">
        <v>37989</v>
      </c>
      <c r="G113" s="25" t="s">
        <v>81</v>
      </c>
      <c r="H113" s="25" t="n">
        <v>19</v>
      </c>
      <c r="I113" s="14" t="n">
        <f aca="false">IF(A113="","",IF(COUNTIF(Veri_Guncel!$A:$A,A113)=0,1,0))</f>
        <v>0</v>
      </c>
    </row>
    <row r="114" customFormat="false" ht="15" hidden="false" customHeight="false" outlineLevel="0" collapsed="false">
      <c r="A114" s="25" t="s">
        <v>307</v>
      </c>
      <c r="B114" s="25" t="s">
        <v>308</v>
      </c>
      <c r="C114" s="25" t="s">
        <v>74</v>
      </c>
      <c r="D114" s="25" t="s">
        <v>306</v>
      </c>
      <c r="E114" s="26" t="n">
        <v>45824</v>
      </c>
      <c r="F114" s="26" t="n">
        <v>33143</v>
      </c>
      <c r="G114" s="25" t="s">
        <v>81</v>
      </c>
      <c r="H114" s="25" t="n">
        <v>6</v>
      </c>
      <c r="I114" s="14" t="n">
        <f aca="false">IF(A114="","",IF(COUNTIF(Veri_Guncel!$A:$A,A114)=0,1,0))</f>
        <v>0</v>
      </c>
    </row>
    <row r="115" customFormat="false" ht="15" hidden="false" customHeight="false" outlineLevel="0" collapsed="false">
      <c r="A115" s="25" t="s">
        <v>309</v>
      </c>
      <c r="B115" s="25" t="s">
        <v>310</v>
      </c>
      <c r="C115" s="25" t="s">
        <v>74</v>
      </c>
      <c r="D115" s="25" t="s">
        <v>306</v>
      </c>
      <c r="E115" s="26" t="n">
        <v>43577</v>
      </c>
      <c r="F115" s="26" t="n">
        <v>33775</v>
      </c>
      <c r="G115" s="25" t="s">
        <v>87</v>
      </c>
      <c r="H115" s="25" t="n">
        <v>17</v>
      </c>
      <c r="I115" s="14" t="n">
        <f aca="false">IF(A115="","",IF(COUNTIF(Veri_Guncel!$A:$A,A115)=0,1,0))</f>
        <v>0</v>
      </c>
    </row>
    <row r="116" customFormat="false" ht="15" hidden="false" customHeight="false" outlineLevel="0" collapsed="false">
      <c r="A116" s="25" t="s">
        <v>311</v>
      </c>
      <c r="B116" s="25" t="s">
        <v>312</v>
      </c>
      <c r="C116" s="25" t="s">
        <v>74</v>
      </c>
      <c r="D116" s="25" t="s">
        <v>306</v>
      </c>
      <c r="E116" s="26" t="n">
        <v>45403</v>
      </c>
      <c r="F116" s="26" t="n">
        <v>32255</v>
      </c>
      <c r="G116" s="25" t="s">
        <v>81</v>
      </c>
      <c r="H116" s="25" t="n">
        <v>4</v>
      </c>
      <c r="I116" s="14" t="n">
        <f aca="false">IF(A116="","",IF(COUNTIF(Veri_Guncel!$A:$A,A116)=0,1,0))</f>
        <v>0</v>
      </c>
    </row>
    <row r="117" customFormat="false" ht="15" hidden="false" customHeight="false" outlineLevel="0" collapsed="false">
      <c r="A117" s="25" t="s">
        <v>313</v>
      </c>
      <c r="B117" s="25" t="s">
        <v>314</v>
      </c>
      <c r="C117" s="25" t="s">
        <v>74</v>
      </c>
      <c r="D117" s="25" t="s">
        <v>306</v>
      </c>
      <c r="E117" s="26" t="n">
        <v>41979</v>
      </c>
      <c r="F117" s="26" t="n">
        <v>32369</v>
      </c>
      <c r="G117" s="25" t="s">
        <v>81</v>
      </c>
      <c r="H117" s="25" t="n">
        <v>17</v>
      </c>
      <c r="I117" s="14" t="n">
        <f aca="false">IF(A117="","",IF(COUNTIF(Veri_Guncel!$A:$A,A117)=0,1,0))</f>
        <v>0</v>
      </c>
    </row>
    <row r="118" customFormat="false" ht="15" hidden="false" customHeight="false" outlineLevel="0" collapsed="false">
      <c r="A118" s="25" t="s">
        <v>315</v>
      </c>
      <c r="B118" s="25" t="s">
        <v>316</v>
      </c>
      <c r="C118" s="25" t="s">
        <v>74</v>
      </c>
      <c r="D118" s="25" t="s">
        <v>306</v>
      </c>
      <c r="E118" s="26" t="n">
        <v>43352</v>
      </c>
      <c r="F118" s="26" t="n">
        <v>28419</v>
      </c>
      <c r="G118" s="25" t="s">
        <v>84</v>
      </c>
      <c r="H118" s="25" t="n">
        <v>11</v>
      </c>
      <c r="I118" s="14" t="n">
        <f aca="false">IF(A118="","",IF(COUNTIF(Veri_Guncel!$A:$A,A118)=0,1,0))</f>
        <v>0</v>
      </c>
    </row>
    <row r="119" customFormat="false" ht="15" hidden="false" customHeight="false" outlineLevel="0" collapsed="false">
      <c r="A119" s="25" t="s">
        <v>317</v>
      </c>
      <c r="B119" s="25" t="s">
        <v>318</v>
      </c>
      <c r="C119" s="25" t="s">
        <v>74</v>
      </c>
      <c r="D119" s="25" t="s">
        <v>306</v>
      </c>
      <c r="E119" s="26" t="n">
        <v>44107</v>
      </c>
      <c r="F119" s="26" t="n">
        <v>31296</v>
      </c>
      <c r="G119" s="25" t="s">
        <v>84</v>
      </c>
      <c r="H119" s="25" t="n">
        <v>21</v>
      </c>
      <c r="I119" s="14" t="n">
        <f aca="false">IF(A119="","",IF(COUNTIF(Veri_Guncel!$A:$A,A119)=0,1,0))</f>
        <v>0</v>
      </c>
    </row>
    <row r="120" customFormat="false" ht="15" hidden="false" customHeight="false" outlineLevel="0" collapsed="false">
      <c r="A120" s="25" t="s">
        <v>319</v>
      </c>
      <c r="B120" s="25" t="s">
        <v>320</v>
      </c>
      <c r="C120" s="25" t="s">
        <v>74</v>
      </c>
      <c r="D120" s="25" t="s">
        <v>306</v>
      </c>
      <c r="E120" s="26" t="n">
        <v>45640</v>
      </c>
      <c r="F120" s="26" t="n">
        <v>35570</v>
      </c>
      <c r="G120" s="25" t="s">
        <v>84</v>
      </c>
      <c r="H120" s="25" t="n">
        <v>21</v>
      </c>
      <c r="I120" s="14" t="n">
        <f aca="false">IF(A120="","",IF(COUNTIF(Veri_Guncel!$A:$A,A120)=0,1,0))</f>
        <v>0</v>
      </c>
    </row>
    <row r="121" customFormat="false" ht="15" hidden="false" customHeight="false" outlineLevel="0" collapsed="false">
      <c r="A121" s="25" t="s">
        <v>321</v>
      </c>
      <c r="B121" s="25" t="s">
        <v>322</v>
      </c>
      <c r="C121" s="25" t="s">
        <v>74</v>
      </c>
      <c r="D121" s="25" t="s">
        <v>323</v>
      </c>
      <c r="E121" s="26" t="n">
        <v>40887</v>
      </c>
      <c r="F121" s="26" t="n">
        <v>35253</v>
      </c>
      <c r="G121" s="25" t="s">
        <v>81</v>
      </c>
      <c r="H121" s="25" t="n">
        <v>21</v>
      </c>
      <c r="I121" s="14" t="n">
        <f aca="false">IF(A121="","",IF(COUNTIF(Veri_Guncel!$A:$A,A121)=0,1,0))</f>
        <v>0</v>
      </c>
    </row>
    <row r="122" customFormat="false" ht="15" hidden="false" customHeight="false" outlineLevel="0" collapsed="false">
      <c r="A122" s="25" t="s">
        <v>324</v>
      </c>
      <c r="B122" s="25" t="s">
        <v>303</v>
      </c>
      <c r="C122" s="25" t="s">
        <v>74</v>
      </c>
      <c r="D122" s="25" t="s">
        <v>323</v>
      </c>
      <c r="E122" s="26" t="n">
        <v>45148</v>
      </c>
      <c r="F122" s="26" t="n">
        <v>31434</v>
      </c>
      <c r="G122" s="25" t="s">
        <v>87</v>
      </c>
      <c r="H122" s="25" t="n">
        <v>1</v>
      </c>
      <c r="I122" s="14" t="n">
        <f aca="false">IF(A122="","",IF(COUNTIF(Veri_Guncel!$A:$A,A122)=0,1,0))</f>
        <v>0</v>
      </c>
    </row>
    <row r="123" customFormat="false" ht="15" hidden="false" customHeight="false" outlineLevel="0" collapsed="false">
      <c r="A123" s="25" t="s">
        <v>325</v>
      </c>
      <c r="B123" s="25" t="s">
        <v>134</v>
      </c>
      <c r="C123" s="25" t="s">
        <v>74</v>
      </c>
      <c r="D123" s="25" t="s">
        <v>323</v>
      </c>
      <c r="E123" s="26" t="n">
        <v>44453</v>
      </c>
      <c r="F123" s="26" t="n">
        <v>37995</v>
      </c>
      <c r="G123" s="25" t="s">
        <v>81</v>
      </c>
      <c r="H123" s="25" t="n">
        <v>4</v>
      </c>
      <c r="I123" s="14" t="n">
        <f aca="false">IF(A123="","",IF(COUNTIF(Veri_Guncel!$A:$A,A123)=0,1,0))</f>
        <v>0</v>
      </c>
    </row>
    <row r="124" customFormat="false" ht="15" hidden="false" customHeight="false" outlineLevel="0" collapsed="false">
      <c r="A124" s="25" t="s">
        <v>326</v>
      </c>
      <c r="B124" s="25" t="s">
        <v>327</v>
      </c>
      <c r="C124" s="25" t="s">
        <v>74</v>
      </c>
      <c r="D124" s="25" t="s">
        <v>323</v>
      </c>
      <c r="E124" s="26" t="n">
        <v>42411</v>
      </c>
      <c r="F124" s="26" t="n">
        <v>31496</v>
      </c>
      <c r="G124" s="25" t="s">
        <v>81</v>
      </c>
      <c r="H124" s="25" t="n">
        <v>19</v>
      </c>
      <c r="I124" s="14" t="n">
        <f aca="false">IF(A124="","",IF(COUNTIF(Veri_Guncel!$A:$A,A124)=0,1,0))</f>
        <v>0</v>
      </c>
    </row>
    <row r="125" customFormat="false" ht="15" hidden="false" customHeight="false" outlineLevel="0" collapsed="false">
      <c r="A125" s="25" t="s">
        <v>328</v>
      </c>
      <c r="B125" s="25" t="s">
        <v>129</v>
      </c>
      <c r="C125" s="25" t="s">
        <v>74</v>
      </c>
      <c r="D125" s="25" t="s">
        <v>323</v>
      </c>
      <c r="E125" s="26" t="n">
        <v>41276</v>
      </c>
      <c r="F125" s="26" t="n">
        <v>37549</v>
      </c>
      <c r="G125" s="25" t="s">
        <v>84</v>
      </c>
      <c r="H125" s="25" t="n">
        <v>9</v>
      </c>
      <c r="I125" s="14" t="n">
        <f aca="false">IF(A125="","",IF(COUNTIF(Veri_Guncel!$A:$A,A125)=0,1,0))</f>
        <v>0</v>
      </c>
    </row>
    <row r="126" customFormat="false" ht="15" hidden="false" customHeight="false" outlineLevel="0" collapsed="false">
      <c r="A126" s="25" t="s">
        <v>329</v>
      </c>
      <c r="B126" s="25" t="s">
        <v>330</v>
      </c>
      <c r="C126" s="25" t="s">
        <v>74</v>
      </c>
      <c r="D126" s="25" t="s">
        <v>323</v>
      </c>
      <c r="E126" s="26" t="n">
        <v>45061</v>
      </c>
      <c r="F126" s="26" t="n">
        <v>27093</v>
      </c>
      <c r="G126" s="25" t="s">
        <v>87</v>
      </c>
      <c r="H126" s="25" t="n">
        <v>7</v>
      </c>
      <c r="I126" s="14" t="n">
        <f aca="false">IF(A126="","",IF(COUNTIF(Veri_Guncel!$A:$A,A126)=0,1,0))</f>
        <v>0</v>
      </c>
    </row>
    <row r="127" customFormat="false" ht="15" hidden="false" customHeight="false" outlineLevel="0" collapsed="false">
      <c r="A127" s="25" t="s">
        <v>331</v>
      </c>
      <c r="B127" s="25" t="s">
        <v>162</v>
      </c>
      <c r="C127" s="25" t="s">
        <v>74</v>
      </c>
      <c r="D127" s="25" t="s">
        <v>332</v>
      </c>
      <c r="E127" s="26" t="n">
        <v>42577</v>
      </c>
      <c r="F127" s="26" t="n">
        <v>35220</v>
      </c>
      <c r="G127" s="25" t="s">
        <v>87</v>
      </c>
      <c r="H127" s="25" t="n">
        <v>19</v>
      </c>
      <c r="I127" s="14" t="n">
        <f aca="false">IF(A127="","",IF(COUNTIF(Veri_Guncel!$A:$A,A127)=0,1,0))</f>
        <v>0</v>
      </c>
    </row>
    <row r="128" customFormat="false" ht="15" hidden="false" customHeight="false" outlineLevel="0" collapsed="false">
      <c r="A128" s="25" t="s">
        <v>333</v>
      </c>
      <c r="B128" s="25" t="s">
        <v>334</v>
      </c>
      <c r="C128" s="25" t="s">
        <v>74</v>
      </c>
      <c r="D128" s="25" t="s">
        <v>332</v>
      </c>
      <c r="E128" s="26" t="n">
        <v>42404</v>
      </c>
      <c r="F128" s="26" t="n">
        <v>33973</v>
      </c>
      <c r="G128" s="25" t="s">
        <v>87</v>
      </c>
      <c r="H128" s="25" t="n">
        <v>14</v>
      </c>
      <c r="I128" s="14" t="n">
        <f aca="false">IF(A128="","",IF(COUNTIF(Veri_Guncel!$A:$A,A128)=0,1,0))</f>
        <v>0</v>
      </c>
    </row>
    <row r="129" customFormat="false" ht="15" hidden="false" customHeight="false" outlineLevel="0" collapsed="false">
      <c r="A129" s="25" t="s">
        <v>335</v>
      </c>
      <c r="B129" s="25" t="s">
        <v>336</v>
      </c>
      <c r="C129" s="25" t="s">
        <v>74</v>
      </c>
      <c r="D129" s="25" t="s">
        <v>332</v>
      </c>
      <c r="E129" s="26" t="n">
        <v>45276</v>
      </c>
      <c r="F129" s="26" t="n">
        <v>32565</v>
      </c>
      <c r="G129" s="25" t="s">
        <v>87</v>
      </c>
      <c r="H129" s="25" t="n">
        <v>28</v>
      </c>
      <c r="I129" s="14" t="n">
        <f aca="false">IF(A129="","",IF(COUNTIF(Veri_Guncel!$A:$A,A129)=0,1,0))</f>
        <v>0</v>
      </c>
    </row>
    <row r="130" customFormat="false" ht="15" hidden="false" customHeight="false" outlineLevel="0" collapsed="false">
      <c r="A130" s="25" t="s">
        <v>337</v>
      </c>
      <c r="B130" s="25" t="s">
        <v>338</v>
      </c>
      <c r="C130" s="25" t="s">
        <v>74</v>
      </c>
      <c r="D130" s="25" t="s">
        <v>332</v>
      </c>
      <c r="E130" s="26" t="n">
        <v>43536</v>
      </c>
      <c r="F130" s="26" t="n">
        <v>38567</v>
      </c>
      <c r="G130" s="25" t="s">
        <v>81</v>
      </c>
      <c r="H130" s="25" t="n">
        <v>12</v>
      </c>
      <c r="I130" s="14" t="n">
        <f aca="false">IF(A130="","",IF(COUNTIF(Veri_Guncel!$A:$A,A130)=0,1,0))</f>
        <v>0</v>
      </c>
    </row>
    <row r="131" customFormat="false" ht="15" hidden="false" customHeight="false" outlineLevel="0" collapsed="false">
      <c r="A131" s="25" t="s">
        <v>339</v>
      </c>
      <c r="B131" s="25" t="s">
        <v>340</v>
      </c>
      <c r="C131" s="25" t="s">
        <v>74</v>
      </c>
      <c r="D131" s="25" t="s">
        <v>332</v>
      </c>
      <c r="E131" s="26" t="n">
        <v>45128</v>
      </c>
      <c r="F131" s="26" t="n">
        <v>36763</v>
      </c>
      <c r="G131" s="25" t="s">
        <v>87</v>
      </c>
      <c r="H131" s="25" t="n">
        <v>10</v>
      </c>
      <c r="I131" s="14" t="n">
        <f aca="false">IF(A131="","",IF(COUNTIF(Veri_Guncel!$A:$A,A131)=0,1,0))</f>
        <v>0</v>
      </c>
    </row>
    <row r="132" customFormat="false" ht="15" hidden="false" customHeight="false" outlineLevel="0" collapsed="false">
      <c r="A132" s="25" t="s">
        <v>341</v>
      </c>
      <c r="B132" s="25" t="s">
        <v>342</v>
      </c>
      <c r="C132" s="25" t="s">
        <v>74</v>
      </c>
      <c r="D132" s="25" t="s">
        <v>332</v>
      </c>
      <c r="E132" s="26" t="n">
        <v>45403</v>
      </c>
      <c r="F132" s="26" t="n">
        <v>27751</v>
      </c>
      <c r="G132" s="25" t="s">
        <v>87</v>
      </c>
      <c r="H132" s="25" t="n">
        <v>24</v>
      </c>
      <c r="I132" s="14" t="n">
        <f aca="false">IF(A132="","",IF(COUNTIF(Veri_Guncel!$A:$A,A132)=0,1,0))</f>
        <v>0</v>
      </c>
    </row>
    <row r="133" customFormat="false" ht="15" hidden="false" customHeight="false" outlineLevel="0" collapsed="false">
      <c r="A133" s="25" t="s">
        <v>343</v>
      </c>
      <c r="B133" s="25" t="s">
        <v>344</v>
      </c>
      <c r="C133" s="25" t="s">
        <v>74</v>
      </c>
      <c r="D133" s="25" t="s">
        <v>332</v>
      </c>
      <c r="E133" s="26" t="n">
        <v>46151</v>
      </c>
      <c r="F133" s="26" t="n">
        <v>39271</v>
      </c>
      <c r="G133" s="25" t="s">
        <v>87</v>
      </c>
      <c r="H133" s="25" t="n">
        <v>2</v>
      </c>
      <c r="I133" s="14" t="n">
        <f aca="false">IF(A133="","",IF(COUNTIF(Veri_Guncel!$A:$A,A133)=0,1,0))</f>
        <v>0</v>
      </c>
    </row>
    <row r="134" customFormat="false" ht="15" hidden="false" customHeight="false" outlineLevel="0" collapsed="false">
      <c r="A134" s="25" t="s">
        <v>345</v>
      </c>
      <c r="B134" s="25" t="s">
        <v>346</v>
      </c>
      <c r="C134" s="25" t="s">
        <v>74</v>
      </c>
      <c r="D134" s="25" t="s">
        <v>332</v>
      </c>
      <c r="E134" s="26" t="n">
        <v>45103</v>
      </c>
      <c r="F134" s="26" t="n">
        <v>30845</v>
      </c>
      <c r="G134" s="25" t="s">
        <v>84</v>
      </c>
      <c r="H134" s="25" t="n">
        <v>33</v>
      </c>
      <c r="I134" s="14" t="n">
        <f aca="false">IF(A134="","",IF(COUNTIF(Veri_Guncel!$A:$A,A134)=0,1,0))</f>
        <v>0</v>
      </c>
    </row>
    <row r="135" customFormat="false" ht="15" hidden="false" customHeight="false" outlineLevel="0" collapsed="false">
      <c r="A135" s="25" t="s">
        <v>347</v>
      </c>
      <c r="B135" s="25" t="s">
        <v>142</v>
      </c>
      <c r="C135" s="25" t="s">
        <v>348</v>
      </c>
      <c r="D135" s="25" t="s">
        <v>349</v>
      </c>
      <c r="E135" s="26" t="n">
        <v>41397</v>
      </c>
      <c r="F135" s="26" t="n">
        <v>29088</v>
      </c>
      <c r="G135" s="25" t="s">
        <v>81</v>
      </c>
      <c r="H135" s="25" t="n">
        <v>21</v>
      </c>
      <c r="I135" s="14" t="n">
        <f aca="false">IF(A135="","",IF(COUNTIF(Veri_Guncel!$A:$A,A135)=0,1,0))</f>
        <v>0</v>
      </c>
    </row>
    <row r="136" customFormat="false" ht="15" hidden="false" customHeight="false" outlineLevel="0" collapsed="false">
      <c r="A136" s="25" t="s">
        <v>350</v>
      </c>
      <c r="B136" s="25" t="s">
        <v>351</v>
      </c>
      <c r="C136" s="25" t="s">
        <v>348</v>
      </c>
      <c r="D136" s="25" t="s">
        <v>349</v>
      </c>
      <c r="E136" s="26" t="n">
        <v>44385</v>
      </c>
      <c r="F136" s="26" t="n">
        <v>38475</v>
      </c>
      <c r="G136" s="25" t="s">
        <v>87</v>
      </c>
      <c r="H136" s="25" t="n">
        <v>24</v>
      </c>
      <c r="I136" s="14" t="n">
        <f aca="false">IF(A136="","",IF(COUNTIF(Veri_Guncel!$A:$A,A136)=0,1,0))</f>
        <v>0</v>
      </c>
    </row>
    <row r="137" customFormat="false" ht="15" hidden="false" customHeight="false" outlineLevel="0" collapsed="false">
      <c r="A137" s="25" t="s">
        <v>352</v>
      </c>
      <c r="B137" s="25" t="s">
        <v>353</v>
      </c>
      <c r="C137" s="25" t="s">
        <v>348</v>
      </c>
      <c r="D137" s="25" t="s">
        <v>349</v>
      </c>
      <c r="E137" s="26" t="n">
        <v>41376</v>
      </c>
      <c r="F137" s="26" t="n">
        <v>35691</v>
      </c>
      <c r="G137" s="25" t="s">
        <v>87</v>
      </c>
      <c r="H137" s="25" t="n">
        <v>15</v>
      </c>
      <c r="I137" s="14" t="n">
        <f aca="false">IF(A137="","",IF(COUNTIF(Veri_Guncel!$A:$A,A137)=0,1,0))</f>
        <v>0</v>
      </c>
    </row>
    <row r="138" customFormat="false" ht="15" hidden="false" customHeight="false" outlineLevel="0" collapsed="false">
      <c r="A138" s="25" t="s">
        <v>354</v>
      </c>
      <c r="B138" s="25" t="s">
        <v>353</v>
      </c>
      <c r="C138" s="25" t="s">
        <v>348</v>
      </c>
      <c r="D138" s="25" t="s">
        <v>349</v>
      </c>
      <c r="E138" s="26" t="n">
        <v>41907</v>
      </c>
      <c r="F138" s="26" t="n">
        <v>29643</v>
      </c>
      <c r="G138" s="25" t="s">
        <v>84</v>
      </c>
      <c r="H138" s="25" t="n">
        <v>24</v>
      </c>
      <c r="I138" s="14" t="n">
        <f aca="false">IF(A138="","",IF(COUNTIF(Veri_Guncel!$A:$A,A138)=0,1,0))</f>
        <v>0</v>
      </c>
    </row>
    <row r="139" customFormat="false" ht="15" hidden="false" customHeight="false" outlineLevel="0" collapsed="false">
      <c r="A139" s="25" t="s">
        <v>355</v>
      </c>
      <c r="B139" s="25" t="s">
        <v>356</v>
      </c>
      <c r="C139" s="25" t="s">
        <v>348</v>
      </c>
      <c r="D139" s="25" t="s">
        <v>349</v>
      </c>
      <c r="E139" s="26" t="n">
        <v>42942</v>
      </c>
      <c r="F139" s="26" t="n">
        <v>31511</v>
      </c>
      <c r="G139" s="25" t="s">
        <v>87</v>
      </c>
      <c r="H139" s="25" t="n">
        <v>31</v>
      </c>
      <c r="I139" s="14" t="n">
        <f aca="false">IF(A139="","",IF(COUNTIF(Veri_Guncel!$A:$A,A139)=0,1,0))</f>
        <v>0</v>
      </c>
    </row>
    <row r="140" customFormat="false" ht="15" hidden="false" customHeight="false" outlineLevel="0" collapsed="false">
      <c r="A140" s="25" t="s">
        <v>357</v>
      </c>
      <c r="B140" s="25" t="s">
        <v>358</v>
      </c>
      <c r="C140" s="25" t="s">
        <v>348</v>
      </c>
      <c r="D140" s="25" t="s">
        <v>359</v>
      </c>
      <c r="E140" s="26" t="n">
        <v>42746</v>
      </c>
      <c r="F140" s="26" t="n">
        <v>35726</v>
      </c>
      <c r="G140" s="25" t="s">
        <v>81</v>
      </c>
      <c r="H140" s="25" t="n">
        <v>21</v>
      </c>
      <c r="I140" s="14" t="n">
        <f aca="false">IF(A140="","",IF(COUNTIF(Veri_Guncel!$A:$A,A140)=0,1,0))</f>
        <v>0</v>
      </c>
    </row>
    <row r="141" customFormat="false" ht="15" hidden="false" customHeight="false" outlineLevel="0" collapsed="false">
      <c r="A141" s="25" t="s">
        <v>360</v>
      </c>
      <c r="B141" s="25" t="s">
        <v>361</v>
      </c>
      <c r="C141" s="25" t="s">
        <v>348</v>
      </c>
      <c r="D141" s="25" t="s">
        <v>359</v>
      </c>
      <c r="E141" s="26" t="n">
        <v>45073</v>
      </c>
      <c r="F141" s="26" t="n">
        <v>28407</v>
      </c>
      <c r="G141" s="25" t="s">
        <v>87</v>
      </c>
      <c r="H141" s="25" t="n">
        <v>27</v>
      </c>
      <c r="I141" s="14" t="n">
        <f aca="false">IF(A141="","",IF(COUNTIF(Veri_Guncel!$A:$A,A141)=0,1,0))</f>
        <v>0</v>
      </c>
    </row>
    <row r="142" customFormat="false" ht="15" hidden="false" customHeight="false" outlineLevel="0" collapsed="false">
      <c r="A142" s="25" t="s">
        <v>362</v>
      </c>
      <c r="B142" s="25" t="s">
        <v>363</v>
      </c>
      <c r="C142" s="25" t="s">
        <v>348</v>
      </c>
      <c r="D142" s="25" t="s">
        <v>359</v>
      </c>
      <c r="E142" s="26" t="n">
        <v>46217</v>
      </c>
      <c r="F142" s="26" t="n">
        <v>34346</v>
      </c>
      <c r="G142" s="25" t="s">
        <v>87</v>
      </c>
      <c r="H142" s="25" t="n">
        <v>0</v>
      </c>
      <c r="I142" s="14" t="n">
        <f aca="false">IF(A142="","",IF(COUNTIF(Veri_Guncel!$A:$A,A142)=0,1,0))</f>
        <v>0</v>
      </c>
    </row>
    <row r="143" customFormat="false" ht="15" hidden="false" customHeight="false" outlineLevel="0" collapsed="false">
      <c r="A143" s="25" t="s">
        <v>364</v>
      </c>
      <c r="B143" s="25" t="s">
        <v>330</v>
      </c>
      <c r="C143" s="25" t="s">
        <v>348</v>
      </c>
      <c r="D143" s="25" t="s">
        <v>359</v>
      </c>
      <c r="E143" s="26" t="n">
        <v>40561</v>
      </c>
      <c r="F143" s="26" t="n">
        <v>29236</v>
      </c>
      <c r="G143" s="25" t="s">
        <v>87</v>
      </c>
      <c r="H143" s="25" t="n">
        <v>18</v>
      </c>
      <c r="I143" s="14" t="n">
        <f aca="false">IF(A143="","",IF(COUNTIF(Veri_Guncel!$A:$A,A143)=0,1,0))</f>
        <v>0</v>
      </c>
    </row>
    <row r="144" customFormat="false" ht="15" hidden="false" customHeight="false" outlineLevel="0" collapsed="false">
      <c r="A144" s="25" t="s">
        <v>365</v>
      </c>
      <c r="B144" s="25" t="s">
        <v>366</v>
      </c>
      <c r="C144" s="25" t="s">
        <v>348</v>
      </c>
      <c r="D144" s="25" t="s">
        <v>359</v>
      </c>
      <c r="E144" s="26" t="n">
        <v>44545</v>
      </c>
      <c r="F144" s="26" t="n">
        <v>28426</v>
      </c>
      <c r="G144" s="25" t="s">
        <v>87</v>
      </c>
      <c r="H144" s="25" t="n">
        <v>11</v>
      </c>
      <c r="I144" s="14" t="n">
        <f aca="false">IF(A144="","",IF(COUNTIF(Veri_Guncel!$A:$A,A144)=0,1,0))</f>
        <v>0</v>
      </c>
    </row>
    <row r="145" customFormat="false" ht="15" hidden="false" customHeight="false" outlineLevel="0" collapsed="false">
      <c r="A145" s="25" t="s">
        <v>367</v>
      </c>
      <c r="B145" s="25" t="s">
        <v>351</v>
      </c>
      <c r="C145" s="25" t="s">
        <v>348</v>
      </c>
      <c r="D145" s="25" t="s">
        <v>359</v>
      </c>
      <c r="E145" s="26" t="n">
        <v>43810</v>
      </c>
      <c r="F145" s="26" t="n">
        <v>33321</v>
      </c>
      <c r="G145" s="25" t="s">
        <v>81</v>
      </c>
      <c r="H145" s="25" t="n">
        <v>7</v>
      </c>
      <c r="I145" s="14" t="n">
        <f aca="false">IF(A145="","",IF(COUNTIF(Veri_Guncel!$A:$A,A145)=0,1,0))</f>
        <v>0</v>
      </c>
    </row>
    <row r="146" customFormat="false" ht="15" hidden="false" customHeight="false" outlineLevel="0" collapsed="false">
      <c r="A146" s="25" t="s">
        <v>368</v>
      </c>
      <c r="B146" s="25" t="s">
        <v>369</v>
      </c>
      <c r="C146" s="25" t="s">
        <v>348</v>
      </c>
      <c r="D146" s="25" t="s">
        <v>370</v>
      </c>
      <c r="E146" s="26" t="n">
        <v>43736</v>
      </c>
      <c r="F146" s="26" t="n">
        <v>30152</v>
      </c>
      <c r="G146" s="25" t="s">
        <v>87</v>
      </c>
      <c r="H146" s="25" t="n">
        <v>15</v>
      </c>
      <c r="I146" s="14" t="n">
        <f aca="false">IF(A146="","",IF(COUNTIF(Veri_Guncel!$A:$A,A146)=0,1,0))</f>
        <v>0</v>
      </c>
    </row>
    <row r="147" customFormat="false" ht="15" hidden="false" customHeight="false" outlineLevel="0" collapsed="false">
      <c r="A147" s="25" t="s">
        <v>371</v>
      </c>
      <c r="B147" s="25" t="s">
        <v>181</v>
      </c>
      <c r="C147" s="25" t="s">
        <v>348</v>
      </c>
      <c r="D147" s="25" t="s">
        <v>370</v>
      </c>
      <c r="E147" s="26" t="n">
        <v>41408</v>
      </c>
      <c r="F147" s="26" t="n">
        <v>28380</v>
      </c>
      <c r="G147" s="25" t="s">
        <v>81</v>
      </c>
      <c r="H147" s="25" t="n">
        <v>15</v>
      </c>
      <c r="I147" s="14" t="n">
        <f aca="false">IF(A147="","",IF(COUNTIF(Veri_Guncel!$A:$A,A147)=0,1,0))</f>
        <v>0</v>
      </c>
    </row>
    <row r="148" customFormat="false" ht="15" hidden="false" customHeight="false" outlineLevel="0" collapsed="false">
      <c r="A148" s="25" t="s">
        <v>372</v>
      </c>
      <c r="B148" s="25" t="s">
        <v>373</v>
      </c>
      <c r="C148" s="25" t="s">
        <v>348</v>
      </c>
      <c r="D148" s="25" t="s">
        <v>370</v>
      </c>
      <c r="E148" s="26" t="n">
        <v>43512</v>
      </c>
      <c r="F148" s="26" t="n">
        <v>34077</v>
      </c>
      <c r="G148" s="25" t="s">
        <v>84</v>
      </c>
      <c r="H148" s="25" t="n">
        <v>19</v>
      </c>
      <c r="I148" s="14" t="n">
        <f aca="false">IF(A148="","",IF(COUNTIF(Veri_Guncel!$A:$A,A148)=0,1,0))</f>
        <v>0</v>
      </c>
    </row>
    <row r="149" customFormat="false" ht="15" hidden="false" customHeight="false" outlineLevel="0" collapsed="false">
      <c r="A149" s="25" t="s">
        <v>374</v>
      </c>
      <c r="B149" s="25" t="s">
        <v>375</v>
      </c>
      <c r="C149" s="25" t="s">
        <v>348</v>
      </c>
      <c r="D149" s="25" t="s">
        <v>370</v>
      </c>
      <c r="E149" s="26" t="n">
        <v>40628</v>
      </c>
      <c r="F149" s="26" t="n">
        <v>37611</v>
      </c>
      <c r="G149" s="25" t="s">
        <v>84</v>
      </c>
      <c r="H149" s="25" t="n">
        <v>21</v>
      </c>
      <c r="I149" s="14" t="n">
        <f aca="false">IF(A149="","",IF(COUNTIF(Veri_Guncel!$A:$A,A149)=0,1,0))</f>
        <v>0</v>
      </c>
    </row>
    <row r="150" customFormat="false" ht="15" hidden="false" customHeight="false" outlineLevel="0" collapsed="false">
      <c r="A150" s="25" t="s">
        <v>376</v>
      </c>
      <c r="B150" s="25" t="s">
        <v>351</v>
      </c>
      <c r="C150" s="25" t="s">
        <v>348</v>
      </c>
      <c r="D150" s="25" t="s">
        <v>370</v>
      </c>
      <c r="E150" s="26" t="n">
        <v>42386</v>
      </c>
      <c r="F150" s="26" t="n">
        <v>26520</v>
      </c>
      <c r="G150" s="25" t="s">
        <v>87</v>
      </c>
      <c r="H150" s="25" t="n">
        <v>2</v>
      </c>
      <c r="I150" s="14" t="n">
        <f aca="false">IF(A150="","",IF(COUNTIF(Veri_Guncel!$A:$A,A150)=0,1,0))</f>
        <v>0</v>
      </c>
    </row>
    <row r="151" customFormat="false" ht="15" hidden="false" customHeight="false" outlineLevel="0" collapsed="false">
      <c r="A151" s="25" t="s">
        <v>377</v>
      </c>
      <c r="B151" s="25" t="s">
        <v>378</v>
      </c>
      <c r="C151" s="25" t="s">
        <v>348</v>
      </c>
      <c r="D151" s="25" t="s">
        <v>379</v>
      </c>
      <c r="E151" s="26" t="n">
        <v>40989</v>
      </c>
      <c r="F151" s="26" t="n">
        <v>31645</v>
      </c>
      <c r="G151" s="25" t="s">
        <v>87</v>
      </c>
      <c r="H151" s="25" t="n">
        <v>19</v>
      </c>
      <c r="I151" s="14" t="n">
        <f aca="false">IF(A151="","",IF(COUNTIF(Veri_Guncel!$A:$A,A151)=0,1,0))</f>
        <v>0</v>
      </c>
    </row>
    <row r="152" customFormat="false" ht="15" hidden="false" customHeight="false" outlineLevel="0" collapsed="false">
      <c r="A152" s="25" t="s">
        <v>380</v>
      </c>
      <c r="B152" s="25" t="s">
        <v>381</v>
      </c>
      <c r="C152" s="25" t="s">
        <v>348</v>
      </c>
      <c r="D152" s="25" t="s">
        <v>379</v>
      </c>
      <c r="E152" s="26" t="n">
        <v>44784</v>
      </c>
      <c r="F152" s="26" t="n">
        <v>27458</v>
      </c>
      <c r="G152" s="25" t="s">
        <v>87</v>
      </c>
      <c r="H152" s="25" t="n">
        <v>0</v>
      </c>
      <c r="I152" s="14" t="n">
        <f aca="false">IF(A152="","",IF(COUNTIF(Veri_Guncel!$A:$A,A152)=0,1,0))</f>
        <v>0</v>
      </c>
    </row>
    <row r="153" customFormat="false" ht="15" hidden="false" customHeight="false" outlineLevel="0" collapsed="false">
      <c r="A153" s="25" t="s">
        <v>382</v>
      </c>
      <c r="B153" s="25" t="s">
        <v>383</v>
      </c>
      <c r="C153" s="25" t="s">
        <v>348</v>
      </c>
      <c r="D153" s="25" t="s">
        <v>379</v>
      </c>
      <c r="E153" s="26" t="n">
        <v>45605</v>
      </c>
      <c r="F153" s="26" t="n">
        <v>33402</v>
      </c>
      <c r="G153" s="25" t="s">
        <v>87</v>
      </c>
      <c r="H153" s="25" t="n">
        <v>15</v>
      </c>
      <c r="I153" s="14" t="n">
        <f aca="false">IF(A153="","",IF(COUNTIF(Veri_Guncel!$A:$A,A153)=0,1,0))</f>
        <v>0</v>
      </c>
    </row>
    <row r="154" customFormat="false" ht="15" hidden="false" customHeight="false" outlineLevel="0" collapsed="false">
      <c r="A154" s="25" t="s">
        <v>384</v>
      </c>
      <c r="B154" s="25" t="s">
        <v>385</v>
      </c>
      <c r="C154" s="25" t="s">
        <v>348</v>
      </c>
      <c r="D154" s="25" t="s">
        <v>379</v>
      </c>
      <c r="E154" s="26" t="n">
        <v>44441</v>
      </c>
      <c r="F154" s="26" t="n">
        <v>32615</v>
      </c>
      <c r="G154" s="25" t="s">
        <v>84</v>
      </c>
      <c r="H154" s="25" t="n">
        <v>0</v>
      </c>
      <c r="I154" s="14" t="n">
        <f aca="false">IF(A154="","",IF(COUNTIF(Veri_Guncel!$A:$A,A154)=0,1,0))</f>
        <v>0</v>
      </c>
    </row>
    <row r="155" customFormat="false" ht="15" hidden="false" customHeight="false" outlineLevel="0" collapsed="false">
      <c r="A155" s="25" t="s">
        <v>386</v>
      </c>
      <c r="B155" s="25" t="s">
        <v>147</v>
      </c>
      <c r="C155" s="25" t="s">
        <v>348</v>
      </c>
      <c r="D155" s="25" t="s">
        <v>379</v>
      </c>
      <c r="E155" s="26" t="n">
        <v>43424</v>
      </c>
      <c r="F155" s="26" t="n">
        <v>33760</v>
      </c>
      <c r="G155" s="25" t="s">
        <v>87</v>
      </c>
      <c r="H155" s="25" t="n">
        <v>15</v>
      </c>
      <c r="I155" s="14" t="n">
        <f aca="false">IF(A155="","",IF(COUNTIF(Veri_Guncel!$A:$A,A155)=0,1,0))</f>
        <v>0</v>
      </c>
    </row>
    <row r="156" customFormat="false" ht="15" hidden="false" customHeight="false" outlineLevel="0" collapsed="false">
      <c r="A156" s="25" t="s">
        <v>387</v>
      </c>
      <c r="B156" s="25" t="s">
        <v>388</v>
      </c>
      <c r="C156" s="25" t="s">
        <v>348</v>
      </c>
      <c r="D156" s="25" t="s">
        <v>379</v>
      </c>
      <c r="E156" s="26" t="n">
        <v>41127</v>
      </c>
      <c r="F156" s="26" t="n">
        <v>37939</v>
      </c>
      <c r="G156" s="25" t="s">
        <v>87</v>
      </c>
      <c r="H156" s="25" t="n">
        <v>0</v>
      </c>
      <c r="I156" s="14" t="n">
        <f aca="false">IF(A156="","",IF(COUNTIF(Veri_Guncel!$A:$A,A156)=0,1,0))</f>
        <v>0</v>
      </c>
    </row>
    <row r="157" customFormat="false" ht="15" hidden="false" customHeight="false" outlineLevel="0" collapsed="false">
      <c r="A157" s="25" t="s">
        <v>389</v>
      </c>
      <c r="B157" s="25" t="s">
        <v>132</v>
      </c>
      <c r="C157" s="25" t="s">
        <v>348</v>
      </c>
      <c r="D157" s="25" t="s">
        <v>379</v>
      </c>
      <c r="E157" s="26" t="n">
        <v>45495</v>
      </c>
      <c r="F157" s="26" t="n">
        <v>31488</v>
      </c>
      <c r="G157" s="25" t="s">
        <v>84</v>
      </c>
      <c r="H157" s="25" t="n">
        <v>28</v>
      </c>
      <c r="I157" s="14" t="n">
        <f aca="false">IF(A157="","",IF(COUNTIF(Veri_Guncel!$A:$A,A157)=0,1,0))</f>
        <v>0</v>
      </c>
    </row>
    <row r="158" customFormat="false" ht="15" hidden="false" customHeight="false" outlineLevel="0" collapsed="false">
      <c r="A158" s="25" t="s">
        <v>390</v>
      </c>
      <c r="B158" s="25" t="s">
        <v>127</v>
      </c>
      <c r="C158" s="25" t="s">
        <v>391</v>
      </c>
      <c r="D158" s="25" t="s">
        <v>392</v>
      </c>
      <c r="E158" s="26" t="n">
        <v>41899</v>
      </c>
      <c r="F158" s="26" t="n">
        <v>36320</v>
      </c>
      <c r="G158" s="25" t="s">
        <v>84</v>
      </c>
      <c r="H158" s="25" t="n">
        <v>14</v>
      </c>
      <c r="I158" s="14" t="n">
        <f aca="false">IF(A158="","",IF(COUNTIF(Veri_Guncel!$A:$A,A158)=0,1,0))</f>
        <v>0</v>
      </c>
    </row>
    <row r="159" customFormat="false" ht="15" hidden="false" customHeight="false" outlineLevel="0" collapsed="false">
      <c r="A159" s="25" t="s">
        <v>393</v>
      </c>
      <c r="B159" s="25" t="s">
        <v>110</v>
      </c>
      <c r="C159" s="25" t="s">
        <v>391</v>
      </c>
      <c r="D159" s="25" t="s">
        <v>392</v>
      </c>
      <c r="E159" s="26" t="n">
        <v>40671</v>
      </c>
      <c r="F159" s="26" t="n">
        <v>33477</v>
      </c>
      <c r="G159" s="25" t="s">
        <v>87</v>
      </c>
      <c r="H159" s="25" t="n">
        <v>19</v>
      </c>
      <c r="I159" s="14" t="n">
        <f aca="false">IF(A159="","",IF(COUNTIF(Veri_Guncel!$A:$A,A159)=0,1,0))</f>
        <v>0</v>
      </c>
    </row>
    <row r="160" customFormat="false" ht="15" hidden="false" customHeight="false" outlineLevel="0" collapsed="false">
      <c r="A160" s="25" t="s">
        <v>394</v>
      </c>
      <c r="B160" s="25" t="s">
        <v>106</v>
      </c>
      <c r="C160" s="25" t="s">
        <v>391</v>
      </c>
      <c r="D160" s="25" t="s">
        <v>392</v>
      </c>
      <c r="E160" s="26" t="n">
        <v>44362</v>
      </c>
      <c r="F160" s="26" t="n">
        <v>34552</v>
      </c>
      <c r="G160" s="25" t="s">
        <v>81</v>
      </c>
      <c r="H160" s="25" t="n">
        <v>26</v>
      </c>
      <c r="I160" s="14" t="n">
        <f aca="false">IF(A160="","",IF(COUNTIF(Veri_Guncel!$A:$A,A160)=0,1,0))</f>
        <v>0</v>
      </c>
    </row>
    <row r="161" customFormat="false" ht="15" hidden="false" customHeight="false" outlineLevel="0" collapsed="false">
      <c r="A161" s="25" t="s">
        <v>395</v>
      </c>
      <c r="B161" s="25" t="s">
        <v>396</v>
      </c>
      <c r="C161" s="25" t="s">
        <v>391</v>
      </c>
      <c r="D161" s="25" t="s">
        <v>392</v>
      </c>
      <c r="E161" s="26" t="n">
        <v>46138</v>
      </c>
      <c r="F161" s="26" t="n">
        <v>38066</v>
      </c>
      <c r="G161" s="25" t="s">
        <v>87</v>
      </c>
      <c r="H161" s="25" t="n">
        <v>2</v>
      </c>
      <c r="I161" s="14" t="n">
        <f aca="false">IF(A161="","",IF(COUNTIF(Veri_Guncel!$A:$A,A161)=0,1,0))</f>
        <v>0</v>
      </c>
    </row>
    <row r="162" customFormat="false" ht="15" hidden="false" customHeight="false" outlineLevel="0" collapsed="false">
      <c r="A162" s="25" t="s">
        <v>397</v>
      </c>
      <c r="B162" s="25" t="s">
        <v>278</v>
      </c>
      <c r="C162" s="25" t="s">
        <v>391</v>
      </c>
      <c r="D162" s="25" t="s">
        <v>392</v>
      </c>
      <c r="E162" s="26" t="n">
        <v>41461</v>
      </c>
      <c r="F162" s="26" t="n">
        <v>27916</v>
      </c>
      <c r="G162" s="25" t="s">
        <v>81</v>
      </c>
      <c r="H162" s="25" t="n">
        <v>26</v>
      </c>
      <c r="I162" s="14" t="n">
        <f aca="false">IF(A162="","",IF(COUNTIF(Veri_Guncel!$A:$A,A162)=0,1,0))</f>
        <v>0</v>
      </c>
    </row>
    <row r="163" customFormat="false" ht="15" hidden="false" customHeight="false" outlineLevel="0" collapsed="false">
      <c r="A163" s="25" t="s">
        <v>398</v>
      </c>
      <c r="B163" s="25" t="s">
        <v>399</v>
      </c>
      <c r="C163" s="25" t="s">
        <v>391</v>
      </c>
      <c r="D163" s="25" t="s">
        <v>392</v>
      </c>
      <c r="E163" s="26" t="n">
        <v>46214</v>
      </c>
      <c r="F163" s="26" t="n">
        <v>28228</v>
      </c>
      <c r="G163" s="25" t="s">
        <v>87</v>
      </c>
      <c r="H163" s="25" t="n">
        <v>0</v>
      </c>
      <c r="I163" s="14" t="n">
        <f aca="false">IF(A163="","",IF(COUNTIF(Veri_Guncel!$A:$A,A163)=0,1,0))</f>
        <v>0</v>
      </c>
    </row>
    <row r="164" customFormat="false" ht="15" hidden="false" customHeight="false" outlineLevel="0" collapsed="false">
      <c r="A164" s="25" t="s">
        <v>400</v>
      </c>
      <c r="B164" s="25" t="s">
        <v>401</v>
      </c>
      <c r="C164" s="25" t="s">
        <v>391</v>
      </c>
      <c r="D164" s="25" t="s">
        <v>392</v>
      </c>
      <c r="E164" s="26" t="n">
        <v>41072</v>
      </c>
      <c r="F164" s="26" t="n">
        <v>33560</v>
      </c>
      <c r="G164" s="25" t="s">
        <v>87</v>
      </c>
      <c r="H164" s="25" t="n">
        <v>31</v>
      </c>
      <c r="I164" s="14" t="n">
        <f aca="false">IF(A164="","",IF(COUNTIF(Veri_Guncel!$A:$A,A164)=0,1,0))</f>
        <v>0</v>
      </c>
    </row>
    <row r="165" customFormat="false" ht="15" hidden="false" customHeight="false" outlineLevel="0" collapsed="false">
      <c r="A165" s="25" t="s">
        <v>402</v>
      </c>
      <c r="B165" s="25" t="s">
        <v>160</v>
      </c>
      <c r="C165" s="25" t="s">
        <v>391</v>
      </c>
      <c r="D165" s="25" t="s">
        <v>392</v>
      </c>
      <c r="E165" s="26" t="n">
        <v>42699</v>
      </c>
      <c r="F165" s="26" t="n">
        <v>26490</v>
      </c>
      <c r="G165" s="25" t="s">
        <v>87</v>
      </c>
      <c r="H165" s="25" t="n">
        <v>14</v>
      </c>
      <c r="I165" s="14" t="n">
        <f aca="false">IF(A165="","",IF(COUNTIF(Veri_Guncel!$A:$A,A165)=0,1,0))</f>
        <v>0</v>
      </c>
    </row>
    <row r="166" customFormat="false" ht="15" hidden="false" customHeight="false" outlineLevel="0" collapsed="false">
      <c r="A166" s="25" t="s">
        <v>403</v>
      </c>
      <c r="B166" s="25" t="s">
        <v>199</v>
      </c>
      <c r="C166" s="25" t="s">
        <v>391</v>
      </c>
      <c r="D166" s="25" t="s">
        <v>404</v>
      </c>
      <c r="E166" s="26" t="n">
        <v>40641</v>
      </c>
      <c r="F166" s="26" t="n">
        <v>36211</v>
      </c>
      <c r="G166" s="25" t="s">
        <v>84</v>
      </c>
      <c r="H166" s="25" t="n">
        <v>19</v>
      </c>
      <c r="I166" s="14" t="n">
        <f aca="false">IF(A166="","",IF(COUNTIF(Veri_Guncel!$A:$A,A166)=0,1,0))</f>
        <v>0</v>
      </c>
    </row>
    <row r="167" customFormat="false" ht="15" hidden="false" customHeight="false" outlineLevel="0" collapsed="false">
      <c r="A167" s="25" t="s">
        <v>405</v>
      </c>
      <c r="B167" s="25" t="s">
        <v>308</v>
      </c>
      <c r="C167" s="25" t="s">
        <v>391</v>
      </c>
      <c r="D167" s="25" t="s">
        <v>404</v>
      </c>
      <c r="E167" s="26" t="n">
        <v>42781</v>
      </c>
      <c r="F167" s="26" t="n">
        <v>26940</v>
      </c>
      <c r="G167" s="25" t="s">
        <v>81</v>
      </c>
      <c r="H167" s="25" t="n">
        <v>27</v>
      </c>
      <c r="I167" s="14" t="n">
        <f aca="false">IF(A167="","",IF(COUNTIF(Veri_Guncel!$A:$A,A167)=0,1,0))</f>
        <v>0</v>
      </c>
    </row>
    <row r="168" customFormat="false" ht="15" hidden="false" customHeight="false" outlineLevel="0" collapsed="false">
      <c r="A168" s="25" t="s">
        <v>406</v>
      </c>
      <c r="B168" s="25" t="s">
        <v>407</v>
      </c>
      <c r="C168" s="25" t="s">
        <v>391</v>
      </c>
      <c r="D168" s="25" t="s">
        <v>404</v>
      </c>
      <c r="E168" s="26" t="n">
        <v>45567</v>
      </c>
      <c r="F168" s="26" t="n">
        <v>29455</v>
      </c>
      <c r="G168" s="25" t="s">
        <v>87</v>
      </c>
      <c r="H168" s="25" t="n">
        <v>17</v>
      </c>
      <c r="I168" s="14" t="n">
        <f aca="false">IF(A168="","",IF(COUNTIF(Veri_Guncel!$A:$A,A168)=0,1,0))</f>
        <v>0</v>
      </c>
    </row>
    <row r="169" customFormat="false" ht="15" hidden="false" customHeight="false" outlineLevel="0" collapsed="false">
      <c r="A169" s="25" t="s">
        <v>408</v>
      </c>
      <c r="B169" s="25" t="s">
        <v>227</v>
      </c>
      <c r="C169" s="25" t="s">
        <v>391</v>
      </c>
      <c r="D169" s="25" t="s">
        <v>404</v>
      </c>
      <c r="E169" s="26" t="n">
        <v>42336</v>
      </c>
      <c r="F169" s="26" t="n">
        <v>26317</v>
      </c>
      <c r="G169" s="25" t="s">
        <v>81</v>
      </c>
      <c r="H169" s="25" t="n">
        <v>23</v>
      </c>
      <c r="I169" s="14" t="n">
        <f aca="false">IF(A169="","",IF(COUNTIF(Veri_Guncel!$A:$A,A169)=0,1,0))</f>
        <v>0</v>
      </c>
    </row>
    <row r="170" customFormat="false" ht="15" hidden="false" customHeight="false" outlineLevel="0" collapsed="false">
      <c r="A170" s="25" t="s">
        <v>409</v>
      </c>
      <c r="B170" s="25" t="s">
        <v>106</v>
      </c>
      <c r="C170" s="25" t="s">
        <v>391</v>
      </c>
      <c r="D170" s="25" t="s">
        <v>404</v>
      </c>
      <c r="E170" s="26" t="n">
        <v>42104</v>
      </c>
      <c r="F170" s="26" t="n">
        <v>38027</v>
      </c>
      <c r="G170" s="25" t="s">
        <v>84</v>
      </c>
      <c r="H170" s="25" t="n">
        <v>11</v>
      </c>
      <c r="I170" s="14" t="n">
        <f aca="false">IF(A170="","",IF(COUNTIF(Veri_Guncel!$A:$A,A170)=0,1,0))</f>
        <v>0</v>
      </c>
    </row>
    <row r="171" customFormat="false" ht="15" hidden="false" customHeight="false" outlineLevel="0" collapsed="false">
      <c r="A171" s="25" t="s">
        <v>410</v>
      </c>
      <c r="B171" s="25" t="s">
        <v>411</v>
      </c>
      <c r="C171" s="25" t="s">
        <v>391</v>
      </c>
      <c r="D171" s="25" t="s">
        <v>412</v>
      </c>
      <c r="E171" s="26" t="n">
        <v>41627</v>
      </c>
      <c r="F171" s="26" t="n">
        <v>32404</v>
      </c>
      <c r="G171" s="25" t="s">
        <v>81</v>
      </c>
      <c r="H171" s="25" t="n">
        <v>21</v>
      </c>
      <c r="I171" s="14" t="n">
        <f aca="false">IF(A171="","",IF(COUNTIF(Veri_Guncel!$A:$A,A171)=0,1,0))</f>
        <v>0</v>
      </c>
    </row>
    <row r="172" customFormat="false" ht="15" hidden="false" customHeight="false" outlineLevel="0" collapsed="false">
      <c r="A172" s="25" t="s">
        <v>413</v>
      </c>
      <c r="B172" s="25" t="s">
        <v>414</v>
      </c>
      <c r="C172" s="25" t="s">
        <v>391</v>
      </c>
      <c r="D172" s="25" t="s">
        <v>412</v>
      </c>
      <c r="E172" s="26" t="n">
        <v>41098</v>
      </c>
      <c r="F172" s="26" t="n">
        <v>27463</v>
      </c>
      <c r="G172" s="25" t="s">
        <v>87</v>
      </c>
      <c r="H172" s="25" t="n">
        <v>21</v>
      </c>
      <c r="I172" s="14" t="n">
        <f aca="false">IF(A172="","",IF(COUNTIF(Veri_Guncel!$A:$A,A172)=0,1,0))</f>
        <v>0</v>
      </c>
    </row>
    <row r="173" customFormat="false" ht="15" hidden="false" customHeight="false" outlineLevel="0" collapsed="false">
      <c r="A173" s="25" t="s">
        <v>415</v>
      </c>
      <c r="B173" s="25" t="s">
        <v>151</v>
      </c>
      <c r="C173" s="25" t="s">
        <v>391</v>
      </c>
      <c r="D173" s="25" t="s">
        <v>412</v>
      </c>
      <c r="E173" s="26" t="n">
        <v>41415</v>
      </c>
      <c r="F173" s="26" t="n">
        <v>38881</v>
      </c>
      <c r="G173" s="25" t="s">
        <v>87</v>
      </c>
      <c r="H173" s="25" t="n">
        <v>21</v>
      </c>
      <c r="I173" s="14" t="n">
        <f aca="false">IF(A173="","",IF(COUNTIF(Veri_Guncel!$A:$A,A173)=0,1,0))</f>
        <v>0</v>
      </c>
    </row>
    <row r="174" customFormat="false" ht="15" hidden="false" customHeight="false" outlineLevel="0" collapsed="false">
      <c r="A174" s="25" t="s">
        <v>416</v>
      </c>
      <c r="B174" s="25" t="s">
        <v>417</v>
      </c>
      <c r="C174" s="25" t="s">
        <v>391</v>
      </c>
      <c r="D174" s="25" t="s">
        <v>412</v>
      </c>
      <c r="E174" s="26" t="n">
        <v>41037</v>
      </c>
      <c r="F174" s="26" t="n">
        <v>37401</v>
      </c>
      <c r="G174" s="25" t="s">
        <v>81</v>
      </c>
      <c r="H174" s="25" t="n">
        <v>12</v>
      </c>
      <c r="I174" s="14" t="n">
        <f aca="false">IF(A174="","",IF(COUNTIF(Veri_Guncel!$A:$A,A174)=0,1,0))</f>
        <v>0</v>
      </c>
    </row>
    <row r="175" customFormat="false" ht="15" hidden="false" customHeight="false" outlineLevel="0" collapsed="false">
      <c r="A175" s="25" t="s">
        <v>418</v>
      </c>
      <c r="B175" s="25" t="s">
        <v>419</v>
      </c>
      <c r="C175" s="25" t="s">
        <v>391</v>
      </c>
      <c r="D175" s="25" t="s">
        <v>412</v>
      </c>
      <c r="E175" s="26" t="n">
        <v>40613</v>
      </c>
      <c r="F175" s="26" t="n">
        <v>39264</v>
      </c>
      <c r="G175" s="25" t="s">
        <v>87</v>
      </c>
      <c r="H175" s="25" t="n">
        <v>31</v>
      </c>
      <c r="I175" s="14" t="n">
        <f aca="false">IF(A175="","",IF(COUNTIF(Veri_Guncel!$A:$A,A175)=0,1,0))</f>
        <v>0</v>
      </c>
    </row>
    <row r="176" customFormat="false" ht="15" hidden="false" customHeight="false" outlineLevel="0" collapsed="false">
      <c r="A176" s="25" t="s">
        <v>420</v>
      </c>
      <c r="B176" s="25" t="s">
        <v>421</v>
      </c>
      <c r="C176" s="25" t="s">
        <v>391</v>
      </c>
      <c r="D176" s="25" t="s">
        <v>412</v>
      </c>
      <c r="E176" s="26" t="n">
        <v>43986</v>
      </c>
      <c r="F176" s="26" t="n">
        <v>36711</v>
      </c>
      <c r="G176" s="25" t="s">
        <v>84</v>
      </c>
      <c r="H176" s="25" t="n">
        <v>4</v>
      </c>
      <c r="I176" s="14" t="n">
        <f aca="false">IF(A176="","",IF(COUNTIF(Veri_Guncel!$A:$A,A176)=0,1,0))</f>
        <v>0</v>
      </c>
    </row>
    <row r="177" customFormat="false" ht="15" hidden="false" customHeight="false" outlineLevel="0" collapsed="false">
      <c r="A177" s="25" t="s">
        <v>422</v>
      </c>
      <c r="B177" s="25" t="s">
        <v>86</v>
      </c>
      <c r="C177" s="25" t="s">
        <v>391</v>
      </c>
      <c r="D177" s="25" t="s">
        <v>412</v>
      </c>
      <c r="E177" s="26" t="n">
        <v>42818</v>
      </c>
      <c r="F177" s="26" t="n">
        <v>30390</v>
      </c>
      <c r="G177" s="25" t="s">
        <v>84</v>
      </c>
      <c r="H177" s="25" t="n">
        <v>21</v>
      </c>
      <c r="I177" s="14" t="n">
        <f aca="false">IF(A177="","",IF(COUNTIF(Veri_Guncel!$A:$A,A177)=0,1,0))</f>
        <v>0</v>
      </c>
    </row>
    <row r="178" customFormat="false" ht="15" hidden="false" customHeight="false" outlineLevel="0" collapsed="false">
      <c r="A178" s="25" t="s">
        <v>423</v>
      </c>
      <c r="B178" s="25" t="s">
        <v>424</v>
      </c>
      <c r="C178" s="25" t="s">
        <v>391</v>
      </c>
      <c r="D178" s="25" t="s">
        <v>412</v>
      </c>
      <c r="E178" s="26" t="n">
        <v>41774</v>
      </c>
      <c r="F178" s="26" t="n">
        <v>30012</v>
      </c>
      <c r="G178" s="25" t="s">
        <v>87</v>
      </c>
      <c r="H178" s="25" t="n">
        <v>26</v>
      </c>
      <c r="I178" s="14" t="n">
        <f aca="false">IF(A178="","",IF(COUNTIF(Veri_Guncel!$A:$A,A178)=0,1,0))</f>
        <v>0</v>
      </c>
    </row>
    <row r="179" customFormat="false" ht="15" hidden="false" customHeight="false" outlineLevel="0" collapsed="false">
      <c r="A179" s="25" t="s">
        <v>425</v>
      </c>
      <c r="B179" s="25" t="s">
        <v>426</v>
      </c>
      <c r="C179" s="25" t="s">
        <v>391</v>
      </c>
      <c r="D179" s="25" t="s">
        <v>427</v>
      </c>
      <c r="E179" s="26" t="n">
        <v>41420</v>
      </c>
      <c r="F179" s="26" t="n">
        <v>35012</v>
      </c>
      <c r="G179" s="25" t="s">
        <v>87</v>
      </c>
      <c r="H179" s="25" t="n">
        <v>31</v>
      </c>
      <c r="I179" s="14" t="n">
        <f aca="false">IF(A179="","",IF(COUNTIF(Veri_Guncel!$A:$A,A179)=0,1,0))</f>
        <v>0</v>
      </c>
    </row>
    <row r="180" customFormat="false" ht="15" hidden="false" customHeight="false" outlineLevel="0" collapsed="false">
      <c r="A180" s="25" t="s">
        <v>428</v>
      </c>
      <c r="B180" s="25" t="s">
        <v>429</v>
      </c>
      <c r="C180" s="25" t="s">
        <v>391</v>
      </c>
      <c r="D180" s="25" t="s">
        <v>427</v>
      </c>
      <c r="E180" s="26" t="n">
        <v>44671</v>
      </c>
      <c r="F180" s="26" t="n">
        <v>38210</v>
      </c>
      <c r="G180" s="25" t="s">
        <v>84</v>
      </c>
      <c r="H180" s="25" t="n">
        <v>4</v>
      </c>
      <c r="I180" s="14" t="n">
        <f aca="false">IF(A180="","",IF(COUNTIF(Veri_Guncel!$A:$A,A180)=0,1,0))</f>
        <v>0</v>
      </c>
    </row>
    <row r="181" customFormat="false" ht="15" hidden="false" customHeight="false" outlineLevel="0" collapsed="false">
      <c r="A181" s="25" t="s">
        <v>430</v>
      </c>
      <c r="B181" s="25" t="s">
        <v>204</v>
      </c>
      <c r="C181" s="25" t="s">
        <v>391</v>
      </c>
      <c r="D181" s="25" t="s">
        <v>427</v>
      </c>
      <c r="E181" s="26" t="n">
        <v>41400</v>
      </c>
      <c r="F181" s="26" t="n">
        <v>36233</v>
      </c>
      <c r="G181" s="25" t="s">
        <v>81</v>
      </c>
      <c r="H181" s="25" t="n">
        <v>17</v>
      </c>
      <c r="I181" s="14" t="n">
        <f aca="false">IF(A181="","",IF(COUNTIF(Veri_Guncel!$A:$A,A181)=0,1,0))</f>
        <v>0</v>
      </c>
    </row>
    <row r="182" customFormat="false" ht="15" hidden="false" customHeight="false" outlineLevel="0" collapsed="false">
      <c r="A182" s="25" t="s">
        <v>431</v>
      </c>
      <c r="B182" s="25" t="s">
        <v>432</v>
      </c>
      <c r="C182" s="25" t="s">
        <v>391</v>
      </c>
      <c r="D182" s="25" t="s">
        <v>427</v>
      </c>
      <c r="E182" s="26" t="n">
        <v>43717</v>
      </c>
      <c r="F182" s="26" t="n">
        <v>30883</v>
      </c>
      <c r="G182" s="25" t="s">
        <v>81</v>
      </c>
      <c r="H182" s="25" t="n">
        <v>0</v>
      </c>
      <c r="I182" s="14" t="n">
        <f aca="false">IF(A182="","",IF(COUNTIF(Veri_Guncel!$A:$A,A182)=0,1,0))</f>
        <v>0</v>
      </c>
    </row>
    <row r="183" customFormat="false" ht="15" hidden="false" customHeight="false" outlineLevel="0" collapsed="false">
      <c r="A183" s="25" t="s">
        <v>433</v>
      </c>
      <c r="B183" s="25" t="s">
        <v>434</v>
      </c>
      <c r="C183" s="25" t="s">
        <v>391</v>
      </c>
      <c r="D183" s="25" t="s">
        <v>427</v>
      </c>
      <c r="E183" s="26" t="n">
        <v>42700</v>
      </c>
      <c r="F183" s="26" t="n">
        <v>31469</v>
      </c>
      <c r="G183" s="25" t="s">
        <v>87</v>
      </c>
      <c r="H183" s="25" t="n">
        <v>14</v>
      </c>
      <c r="I183" s="14" t="n">
        <f aca="false">IF(A183="","",IF(COUNTIF(Veri_Guncel!$A:$A,A183)=0,1,0))</f>
        <v>0</v>
      </c>
    </row>
    <row r="184" customFormat="false" ht="15" hidden="false" customHeight="false" outlineLevel="0" collapsed="false">
      <c r="A184" s="25" t="s">
        <v>435</v>
      </c>
      <c r="B184" s="25" t="s">
        <v>378</v>
      </c>
      <c r="C184" s="25" t="s">
        <v>391</v>
      </c>
      <c r="D184" s="25" t="s">
        <v>427</v>
      </c>
      <c r="E184" s="26" t="n">
        <v>45707</v>
      </c>
      <c r="F184" s="26" t="n">
        <v>33515</v>
      </c>
      <c r="G184" s="25" t="s">
        <v>81</v>
      </c>
      <c r="H184" s="25" t="n">
        <v>8</v>
      </c>
      <c r="I184" s="14" t="n">
        <f aca="false">IF(A184="","",IF(COUNTIF(Veri_Guncel!$A:$A,A184)=0,1,0))</f>
        <v>0</v>
      </c>
    </row>
    <row r="185" customFormat="false" ht="15" hidden="false" customHeight="false" outlineLevel="0" collapsed="false">
      <c r="A185" s="25" t="s">
        <v>436</v>
      </c>
      <c r="B185" s="25" t="s">
        <v>437</v>
      </c>
      <c r="C185" s="25" t="s">
        <v>391</v>
      </c>
      <c r="D185" s="25" t="s">
        <v>427</v>
      </c>
      <c r="E185" s="26" t="n">
        <v>41678</v>
      </c>
      <c r="F185" s="26" t="n">
        <v>26623</v>
      </c>
      <c r="G185" s="25" t="s">
        <v>81</v>
      </c>
      <c r="H185" s="25" t="n">
        <v>10</v>
      </c>
      <c r="I185" s="14" t="n">
        <f aca="false">IF(A185="","",IF(COUNTIF(Veri_Guncel!$A:$A,A185)=0,1,0))</f>
        <v>0</v>
      </c>
    </row>
    <row r="186" customFormat="false" ht="15" hidden="false" customHeight="false" outlineLevel="0" collapsed="false">
      <c r="A186" s="25" t="s">
        <v>438</v>
      </c>
      <c r="B186" s="25" t="s">
        <v>439</v>
      </c>
      <c r="C186" s="25" t="s">
        <v>391</v>
      </c>
      <c r="D186" s="25" t="s">
        <v>427</v>
      </c>
      <c r="E186" s="26" t="n">
        <v>41909</v>
      </c>
      <c r="F186" s="26" t="n">
        <v>34229</v>
      </c>
      <c r="G186" s="25" t="s">
        <v>87</v>
      </c>
      <c r="H186" s="25" t="n">
        <v>19</v>
      </c>
      <c r="I186" s="14" t="n">
        <f aca="false">IF(A186="","",IF(COUNTIF(Veri_Guncel!$A:$A,A186)=0,1,0))</f>
        <v>0</v>
      </c>
    </row>
    <row r="187" customFormat="false" ht="15" hidden="false" customHeight="false" outlineLevel="0" collapsed="false">
      <c r="A187" s="25" t="s">
        <v>447</v>
      </c>
      <c r="B187" s="25" t="s">
        <v>448</v>
      </c>
      <c r="C187" s="25" t="s">
        <v>74</v>
      </c>
      <c r="D187" s="25" t="s">
        <v>306</v>
      </c>
      <c r="E187" s="26" t="n">
        <v>45403</v>
      </c>
      <c r="F187" s="26" t="n">
        <v>32255</v>
      </c>
      <c r="G187" s="25" t="s">
        <v>87</v>
      </c>
      <c r="H187" s="25" t="n">
        <v>4</v>
      </c>
      <c r="I187" s="14" t="n">
        <f aca="false">IF(A187="","",IF(COUNTIF(Veri_Guncel!$A:$A,A187)=0,1,0))</f>
        <v>1</v>
      </c>
    </row>
    <row r="188" customFormat="false" ht="15" hidden="false" customHeight="false" outlineLevel="0" collapsed="false">
      <c r="A188" s="25" t="s">
        <v>449</v>
      </c>
      <c r="B188" s="25" t="s">
        <v>216</v>
      </c>
      <c r="C188" s="25" t="s">
        <v>348</v>
      </c>
      <c r="D188" s="25" t="s">
        <v>379</v>
      </c>
      <c r="E188" s="26" t="n">
        <v>43424</v>
      </c>
      <c r="F188" s="26" t="n">
        <v>33760</v>
      </c>
      <c r="G188" s="25" t="s">
        <v>84</v>
      </c>
      <c r="H188" s="25" t="n">
        <v>15</v>
      </c>
      <c r="I188" s="14" t="n">
        <f aca="false">IF(A188="","",IF(COUNTIF(Veri_Guncel!$A:$A,A188)=0,1,0))</f>
        <v>1</v>
      </c>
    </row>
    <row r="189" customFormat="false" ht="15" hidden="false" customHeight="false" outlineLevel="0" collapsed="false">
      <c r="A189" s="25" t="s">
        <v>450</v>
      </c>
      <c r="B189" s="25" t="s">
        <v>451</v>
      </c>
      <c r="C189" s="25" t="s">
        <v>74</v>
      </c>
      <c r="D189" s="25" t="s">
        <v>306</v>
      </c>
      <c r="E189" s="26" t="n">
        <v>45403</v>
      </c>
      <c r="F189" s="26" t="n">
        <v>32255</v>
      </c>
      <c r="G189" s="25" t="s">
        <v>87</v>
      </c>
      <c r="H189" s="25" t="n">
        <v>4</v>
      </c>
      <c r="I189" s="14" t="n">
        <f aca="false">IF(A189="","",IF(COUNTIF(Veri_Guncel!$A:$A,A189)=0,1,0))</f>
        <v>1</v>
      </c>
    </row>
    <row r="190" customFormat="false" ht="15" hidden="false" customHeight="false" outlineLevel="0" collapsed="false">
      <c r="A190" s="25" t="s">
        <v>452</v>
      </c>
      <c r="B190" s="25" t="s">
        <v>453</v>
      </c>
      <c r="C190" s="25" t="s">
        <v>71</v>
      </c>
      <c r="D190" s="25" t="s">
        <v>171</v>
      </c>
      <c r="E190" s="26" t="n">
        <v>43936</v>
      </c>
      <c r="F190" s="26" t="n">
        <v>34711</v>
      </c>
      <c r="G190" s="25" t="s">
        <v>84</v>
      </c>
      <c r="H190" s="25" t="n">
        <v>4</v>
      </c>
      <c r="I190" s="14" t="n">
        <f aca="false">IF(A190="","",IF(COUNTIF(Veri_Guncel!$A:$A,A190)=0,1,0))</f>
        <v>1</v>
      </c>
    </row>
    <row r="191" customFormat="false" ht="15" hidden="false" customHeight="false" outlineLevel="0" collapsed="false">
      <c r="A191" s="25" t="s">
        <v>454</v>
      </c>
      <c r="B191" s="25" t="s">
        <v>419</v>
      </c>
      <c r="C191" s="25" t="s">
        <v>348</v>
      </c>
      <c r="D191" s="25" t="s">
        <v>379</v>
      </c>
      <c r="E191" s="26" t="n">
        <v>41127</v>
      </c>
      <c r="F191" s="26" t="n">
        <v>37939</v>
      </c>
      <c r="G191" s="25" t="s">
        <v>87</v>
      </c>
      <c r="H191" s="25" t="n">
        <v>14</v>
      </c>
      <c r="I191" s="14" t="n">
        <f aca="false">IF(A191="","",IF(COUNTIF(Veri_Guncel!$A:$A,A191)=0,1,0))</f>
        <v>1</v>
      </c>
    </row>
    <row r="192" customFormat="false" ht="15" hidden="false" customHeight="false" outlineLevel="0" collapsed="false">
      <c r="A192" s="25" t="s">
        <v>455</v>
      </c>
      <c r="B192" s="25" t="s">
        <v>456</v>
      </c>
      <c r="C192" s="25" t="s">
        <v>70</v>
      </c>
      <c r="D192" s="25" t="s">
        <v>130</v>
      </c>
      <c r="E192" s="26" t="n">
        <v>43819</v>
      </c>
      <c r="F192" s="26" t="n">
        <v>33940</v>
      </c>
      <c r="G192" s="25" t="s">
        <v>84</v>
      </c>
      <c r="H192" s="25" t="n">
        <v>6</v>
      </c>
      <c r="I192" s="14" t="n">
        <f aca="false">IF(A192="","",IF(COUNTIF(Veri_Guncel!$A:$A,A192)=0,1,0))</f>
        <v>1</v>
      </c>
    </row>
    <row r="193" customFormat="false" ht="15" hidden="false" customHeight="false" outlineLevel="0" collapsed="false">
      <c r="I193" s="14" t="str">
        <f aca="false">IF(A193="","",IF(COUNTIF(Veri_Guncel!$A:$A,A193)=0,1,0))</f>
        <v/>
      </c>
    </row>
    <row r="194" customFormat="false" ht="15" hidden="false" customHeight="false" outlineLevel="0" collapsed="false">
      <c r="I194" s="14" t="str">
        <f aca="false">IF(A194="","",IF(COUNTIF(Veri_Guncel!$A:$A,A194)=0,1,0))</f>
        <v/>
      </c>
    </row>
    <row r="195" customFormat="false" ht="15" hidden="false" customHeight="false" outlineLevel="0" collapsed="false">
      <c r="I195" s="14" t="str">
        <f aca="false">IF(A195="","",IF(COUNTIF(Veri_Guncel!$A:$A,A195)=0,1,0))</f>
        <v/>
      </c>
    </row>
    <row r="196" customFormat="false" ht="15" hidden="false" customHeight="false" outlineLevel="0" collapsed="false">
      <c r="I196" s="14" t="str">
        <f aca="false">IF(A196="","",IF(COUNTIF(Veri_Guncel!$A:$A,A196)=0,1,0))</f>
        <v/>
      </c>
    </row>
    <row r="197" customFormat="false" ht="15" hidden="false" customHeight="false" outlineLevel="0" collapsed="false">
      <c r="I197" s="14" t="str">
        <f aca="false">IF(A197="","",IF(COUNTIF(Veri_Guncel!$A:$A,A197)=0,1,0))</f>
        <v/>
      </c>
    </row>
    <row r="198" customFormat="false" ht="15" hidden="false" customHeight="false" outlineLevel="0" collapsed="false">
      <c r="I198" s="14" t="str">
        <f aca="false">IF(A198="","",IF(COUNTIF(Veri_Guncel!$A:$A,A198)=0,1,0))</f>
        <v/>
      </c>
    </row>
    <row r="199" customFormat="false" ht="15" hidden="false" customHeight="false" outlineLevel="0" collapsed="false">
      <c r="I199" s="14" t="str">
        <f aca="false">IF(A199="","",IF(COUNTIF(Veri_Guncel!$A:$A,A199)=0,1,0))</f>
        <v/>
      </c>
    </row>
    <row r="200" customFormat="false" ht="15" hidden="false" customHeight="false" outlineLevel="0" collapsed="false">
      <c r="I200" s="14" t="str">
        <f aca="false">IF(A200="","",IF(COUNTIF(Veri_Guncel!$A:$A,A200)=0,1,0))</f>
        <v/>
      </c>
    </row>
    <row r="201" customFormat="false" ht="15" hidden="false" customHeight="false" outlineLevel="0" collapsed="false">
      <c r="I201" s="14" t="str">
        <f aca="false">IF(A201="","",IF(COUNTIF(Veri_Guncel!$A:$A,A201)=0,1,0))</f>
        <v/>
      </c>
    </row>
    <row r="202" customFormat="false" ht="15" hidden="false" customHeight="false" outlineLevel="0" collapsed="false">
      <c r="I202" s="14" t="str">
        <f aca="false">IF(A202="","",IF(COUNTIF(Veri_Guncel!$A:$A,A202)=0,1,0))</f>
        <v/>
      </c>
    </row>
    <row r="203" customFormat="false" ht="15" hidden="false" customHeight="false" outlineLevel="0" collapsed="false">
      <c r="I203" s="14" t="str">
        <f aca="false">IF(A203="","",IF(COUNTIF(Veri_Guncel!$A:$A,A203)=0,1,0))</f>
        <v/>
      </c>
    </row>
    <row r="204" customFormat="false" ht="15" hidden="false" customHeight="false" outlineLevel="0" collapsed="false">
      <c r="I204" s="14" t="str">
        <f aca="false">IF(A204="","",IF(COUNTIF(Veri_Guncel!$A:$A,A204)=0,1,0))</f>
        <v/>
      </c>
    </row>
    <row r="205" customFormat="false" ht="15" hidden="false" customHeight="false" outlineLevel="0" collapsed="false">
      <c r="I205" s="14" t="str">
        <f aca="false">IF(A205="","",IF(COUNTIF(Veri_Guncel!$A:$A,A205)=0,1,0))</f>
        <v/>
      </c>
    </row>
    <row r="206" customFormat="false" ht="15" hidden="false" customHeight="false" outlineLevel="0" collapsed="false">
      <c r="I206" s="14" t="str">
        <f aca="false">IF(A206="","",IF(COUNTIF(Veri_Guncel!$A:$A,A206)=0,1,0))</f>
        <v/>
      </c>
    </row>
    <row r="207" customFormat="false" ht="15" hidden="false" customHeight="false" outlineLevel="0" collapsed="false">
      <c r="I207" s="14" t="str">
        <f aca="false">IF(A207="","",IF(COUNTIF(Veri_Guncel!$A:$A,A207)=0,1,0))</f>
        <v/>
      </c>
    </row>
    <row r="208" customFormat="false" ht="15" hidden="false" customHeight="false" outlineLevel="0" collapsed="false">
      <c r="I208" s="14" t="str">
        <f aca="false">IF(A208="","",IF(COUNTIF(Veri_Guncel!$A:$A,A208)=0,1,0))</f>
        <v/>
      </c>
    </row>
    <row r="209" customFormat="false" ht="15" hidden="false" customHeight="false" outlineLevel="0" collapsed="false">
      <c r="I209" s="14" t="str">
        <f aca="false">IF(A209="","",IF(COUNTIF(Veri_Guncel!$A:$A,A209)=0,1,0))</f>
        <v/>
      </c>
    </row>
    <row r="210" customFormat="false" ht="15" hidden="false" customHeight="false" outlineLevel="0" collapsed="false">
      <c r="I210" s="14" t="str">
        <f aca="false">IF(A210="","",IF(COUNTIF(Veri_Guncel!$A:$A,A210)=0,1,0))</f>
        <v/>
      </c>
    </row>
    <row r="211" customFormat="false" ht="15" hidden="false" customHeight="false" outlineLevel="0" collapsed="false">
      <c r="I211" s="14" t="str">
        <f aca="false">IF(A211="","",IF(COUNTIF(Veri_Guncel!$A:$A,A211)=0,1,0))</f>
        <v/>
      </c>
    </row>
    <row r="212" customFormat="false" ht="15" hidden="false" customHeight="false" outlineLevel="0" collapsed="false">
      <c r="I212" s="14" t="str">
        <f aca="false">IF(A212="","",IF(COUNTIF(Veri_Guncel!$A:$A,A212)=0,1,0))</f>
        <v/>
      </c>
    </row>
    <row r="213" customFormat="false" ht="15" hidden="false" customHeight="false" outlineLevel="0" collapsed="false">
      <c r="I213" s="14" t="str">
        <f aca="false">IF(A213="","",IF(COUNTIF(Veri_Guncel!$A:$A,A213)=0,1,0))</f>
        <v/>
      </c>
    </row>
    <row r="214" customFormat="false" ht="15" hidden="false" customHeight="false" outlineLevel="0" collapsed="false">
      <c r="I214" s="14" t="str">
        <f aca="false">IF(A214="","",IF(COUNTIF(Veri_Guncel!$A:$A,A214)=0,1,0))</f>
        <v/>
      </c>
    </row>
    <row r="215" customFormat="false" ht="15" hidden="false" customHeight="false" outlineLevel="0" collapsed="false">
      <c r="I215" s="14" t="str">
        <f aca="false">IF(A215="","",IF(COUNTIF(Veri_Guncel!$A:$A,A215)=0,1,0))</f>
        <v/>
      </c>
    </row>
    <row r="216" customFormat="false" ht="15" hidden="false" customHeight="false" outlineLevel="0" collapsed="false">
      <c r="I216" s="14" t="str">
        <f aca="false">IF(A216="","",IF(COUNTIF(Veri_Guncel!$A:$A,A216)=0,1,0))</f>
        <v/>
      </c>
    </row>
    <row r="217" customFormat="false" ht="15" hidden="false" customHeight="false" outlineLevel="0" collapsed="false">
      <c r="I217" s="14" t="str">
        <f aca="false">IF(A217="","",IF(COUNTIF(Veri_Guncel!$A:$A,A217)=0,1,0))</f>
        <v/>
      </c>
    </row>
    <row r="218" customFormat="false" ht="15" hidden="false" customHeight="false" outlineLevel="0" collapsed="false">
      <c r="I218" s="14" t="str">
        <f aca="false">IF(A218="","",IF(COUNTIF(Veri_Guncel!$A:$A,A218)=0,1,0))</f>
        <v/>
      </c>
    </row>
    <row r="219" customFormat="false" ht="15" hidden="false" customHeight="false" outlineLevel="0" collapsed="false">
      <c r="I219" s="14" t="str">
        <f aca="false">IF(A219="","",IF(COUNTIF(Veri_Guncel!$A:$A,A219)=0,1,0))</f>
        <v/>
      </c>
    </row>
    <row r="220" customFormat="false" ht="15" hidden="false" customHeight="false" outlineLevel="0" collapsed="false">
      <c r="I220" s="14" t="str">
        <f aca="false">IF(A220="","",IF(COUNTIF(Veri_Guncel!$A:$A,A220)=0,1,0))</f>
        <v/>
      </c>
    </row>
    <row r="221" customFormat="false" ht="15" hidden="false" customHeight="false" outlineLevel="0" collapsed="false">
      <c r="I221" s="14" t="str">
        <f aca="false">IF(A221="","",IF(COUNTIF(Veri_Guncel!$A:$A,A221)=0,1,0))</f>
        <v/>
      </c>
    </row>
    <row r="222" customFormat="false" ht="15" hidden="false" customHeight="false" outlineLevel="0" collapsed="false">
      <c r="I222" s="14" t="str">
        <f aca="false">IF(A222="","",IF(COUNTIF(Veri_Guncel!$A:$A,A222)=0,1,0))</f>
        <v/>
      </c>
    </row>
    <row r="223" customFormat="false" ht="15" hidden="false" customHeight="false" outlineLevel="0" collapsed="false">
      <c r="I223" s="14" t="str">
        <f aca="false">IF(A223="","",IF(COUNTIF(Veri_Guncel!$A:$A,A223)=0,1,0))</f>
        <v/>
      </c>
    </row>
    <row r="224" customFormat="false" ht="15" hidden="false" customHeight="false" outlineLevel="0" collapsed="false">
      <c r="I224" s="14" t="str">
        <f aca="false">IF(A224="","",IF(COUNTIF(Veri_Guncel!$A:$A,A224)=0,1,0))</f>
        <v/>
      </c>
    </row>
    <row r="225" customFormat="false" ht="15" hidden="false" customHeight="false" outlineLevel="0" collapsed="false">
      <c r="I225" s="14" t="str">
        <f aca="false">IF(A225="","",IF(COUNTIF(Veri_Guncel!$A:$A,A225)=0,1,0))</f>
        <v/>
      </c>
    </row>
    <row r="226" customFormat="false" ht="15" hidden="false" customHeight="false" outlineLevel="0" collapsed="false">
      <c r="I226" s="14" t="str">
        <f aca="false">IF(A226="","",IF(COUNTIF(Veri_Guncel!$A:$A,A226)=0,1,0))</f>
        <v/>
      </c>
    </row>
    <row r="227" customFormat="false" ht="15" hidden="false" customHeight="false" outlineLevel="0" collapsed="false">
      <c r="I227" s="14" t="str">
        <f aca="false">IF(A227="","",IF(COUNTIF(Veri_Guncel!$A:$A,A227)=0,1,0))</f>
        <v/>
      </c>
    </row>
    <row r="228" customFormat="false" ht="15" hidden="false" customHeight="false" outlineLevel="0" collapsed="false">
      <c r="I228" s="14" t="str">
        <f aca="false">IF(A228="","",IF(COUNTIF(Veri_Guncel!$A:$A,A228)=0,1,0))</f>
        <v/>
      </c>
    </row>
    <row r="229" customFormat="false" ht="15" hidden="false" customHeight="false" outlineLevel="0" collapsed="false">
      <c r="I229" s="14" t="str">
        <f aca="false">IF(A229="","",IF(COUNTIF(Veri_Guncel!$A:$A,A229)=0,1,0))</f>
        <v/>
      </c>
    </row>
    <row r="230" customFormat="false" ht="15" hidden="false" customHeight="false" outlineLevel="0" collapsed="false">
      <c r="I230" s="14" t="str">
        <f aca="false">IF(A230="","",IF(COUNTIF(Veri_Guncel!$A:$A,A230)=0,1,0))</f>
        <v/>
      </c>
    </row>
    <row r="231" customFormat="false" ht="15" hidden="false" customHeight="false" outlineLevel="0" collapsed="false">
      <c r="I231" s="14" t="str">
        <f aca="false">IF(A231="","",IF(COUNTIF(Veri_Guncel!$A:$A,A231)=0,1,0))</f>
        <v/>
      </c>
    </row>
    <row r="232" customFormat="false" ht="15" hidden="false" customHeight="false" outlineLevel="0" collapsed="false">
      <c r="I232" s="14" t="str">
        <f aca="false">IF(A232="","",IF(COUNTIF(Veri_Guncel!$A:$A,A232)=0,1,0))</f>
        <v/>
      </c>
    </row>
    <row r="233" customFormat="false" ht="15" hidden="false" customHeight="false" outlineLevel="0" collapsed="false">
      <c r="I233" s="14" t="str">
        <f aca="false">IF(A233="","",IF(COUNTIF(Veri_Guncel!$A:$A,A233)=0,1,0))</f>
        <v/>
      </c>
    </row>
    <row r="234" customFormat="false" ht="15" hidden="false" customHeight="false" outlineLevel="0" collapsed="false">
      <c r="I234" s="14" t="str">
        <f aca="false">IF(A234="","",IF(COUNTIF(Veri_Guncel!$A:$A,A234)=0,1,0))</f>
        <v/>
      </c>
    </row>
    <row r="235" customFormat="false" ht="15" hidden="false" customHeight="false" outlineLevel="0" collapsed="false">
      <c r="I235" s="14" t="str">
        <f aca="false">IF(A235="","",IF(COUNTIF(Veri_Guncel!$A:$A,A235)=0,1,0))</f>
        <v/>
      </c>
    </row>
    <row r="236" customFormat="false" ht="15" hidden="false" customHeight="false" outlineLevel="0" collapsed="false">
      <c r="I236" s="14" t="str">
        <f aca="false">IF(A236="","",IF(COUNTIF(Veri_Guncel!$A:$A,A236)=0,1,0))</f>
        <v/>
      </c>
    </row>
    <row r="237" customFormat="false" ht="15" hidden="false" customHeight="false" outlineLevel="0" collapsed="false">
      <c r="I237" s="14" t="str">
        <f aca="false">IF(A237="","",IF(COUNTIF(Veri_Guncel!$A:$A,A237)=0,1,0))</f>
        <v/>
      </c>
    </row>
    <row r="238" customFormat="false" ht="15" hidden="false" customHeight="false" outlineLevel="0" collapsed="false">
      <c r="I238" s="14" t="str">
        <f aca="false">IF(A238="","",IF(COUNTIF(Veri_Guncel!$A:$A,A238)=0,1,0))</f>
        <v/>
      </c>
    </row>
    <row r="239" customFormat="false" ht="15" hidden="false" customHeight="false" outlineLevel="0" collapsed="false">
      <c r="I239" s="14" t="str">
        <f aca="false">IF(A239="","",IF(COUNTIF(Veri_Guncel!$A:$A,A239)=0,1,0))</f>
        <v/>
      </c>
    </row>
    <row r="240" customFormat="false" ht="15" hidden="false" customHeight="false" outlineLevel="0" collapsed="false">
      <c r="I240" s="14" t="str">
        <f aca="false">IF(A240="","",IF(COUNTIF(Veri_Guncel!$A:$A,A240)=0,1,0))</f>
        <v/>
      </c>
    </row>
    <row r="241" customFormat="false" ht="15" hidden="false" customHeight="false" outlineLevel="0" collapsed="false">
      <c r="I241" s="14" t="str">
        <f aca="false">IF(A241="","",IF(COUNTIF(Veri_Guncel!$A:$A,A241)=0,1,0))</f>
        <v/>
      </c>
    </row>
    <row r="242" customFormat="false" ht="15" hidden="false" customHeight="false" outlineLevel="0" collapsed="false">
      <c r="I242" s="14" t="str">
        <f aca="false">IF(A242="","",IF(COUNTIF(Veri_Guncel!$A:$A,A242)=0,1,0))</f>
        <v/>
      </c>
    </row>
    <row r="243" customFormat="false" ht="15" hidden="false" customHeight="false" outlineLevel="0" collapsed="false">
      <c r="I243" s="14" t="str">
        <f aca="false">IF(A243="","",IF(COUNTIF(Veri_Guncel!$A:$A,A243)=0,1,0))</f>
        <v/>
      </c>
    </row>
    <row r="244" customFormat="false" ht="15" hidden="false" customHeight="false" outlineLevel="0" collapsed="false">
      <c r="I244" s="14" t="str">
        <f aca="false">IF(A244="","",IF(COUNTIF(Veri_Guncel!$A:$A,A244)=0,1,0))</f>
        <v/>
      </c>
    </row>
    <row r="245" customFormat="false" ht="15" hidden="false" customHeight="false" outlineLevel="0" collapsed="false">
      <c r="I245" s="14" t="str">
        <f aca="false">IF(A245="","",IF(COUNTIF(Veri_Guncel!$A:$A,A245)=0,1,0))</f>
        <v/>
      </c>
    </row>
    <row r="246" customFormat="false" ht="15" hidden="false" customHeight="false" outlineLevel="0" collapsed="false">
      <c r="I246" s="14" t="str">
        <f aca="false">IF(A246="","",IF(COUNTIF(Veri_Guncel!$A:$A,A246)=0,1,0))</f>
        <v/>
      </c>
    </row>
    <row r="247" customFormat="false" ht="15" hidden="false" customHeight="false" outlineLevel="0" collapsed="false">
      <c r="I247" s="14" t="str">
        <f aca="false">IF(A247="","",IF(COUNTIF(Veri_Guncel!$A:$A,A247)=0,1,0))</f>
        <v/>
      </c>
    </row>
    <row r="248" customFormat="false" ht="15" hidden="false" customHeight="false" outlineLevel="0" collapsed="false">
      <c r="I248" s="14" t="str">
        <f aca="false">IF(A248="","",IF(COUNTIF(Veri_Guncel!$A:$A,A248)=0,1,0))</f>
        <v/>
      </c>
    </row>
    <row r="249" customFormat="false" ht="15" hidden="false" customHeight="false" outlineLevel="0" collapsed="false">
      <c r="I249" s="14" t="str">
        <f aca="false">IF(A249="","",IF(COUNTIF(Veri_Guncel!$A:$A,A249)=0,1,0))</f>
        <v/>
      </c>
    </row>
    <row r="250" customFormat="false" ht="15" hidden="false" customHeight="false" outlineLevel="0" collapsed="false">
      <c r="I250" s="14" t="str">
        <f aca="false">IF(A250="","",IF(COUNTIF(Veri_Guncel!$A:$A,A250)=0,1,0))</f>
        <v/>
      </c>
    </row>
    <row r="251" customFormat="false" ht="15" hidden="false" customHeight="false" outlineLevel="0" collapsed="false">
      <c r="I251" s="14" t="str">
        <f aca="false">IF(A251="","",IF(COUNTIF(Veri_Guncel!$A:$A,A251)=0,1,0))</f>
        <v/>
      </c>
    </row>
    <row r="252" customFormat="false" ht="15" hidden="false" customHeight="false" outlineLevel="0" collapsed="false">
      <c r="I252" s="14" t="str">
        <f aca="false">IF(A252="","",IF(COUNTIF(Veri_Guncel!$A:$A,A252)=0,1,0))</f>
        <v/>
      </c>
    </row>
    <row r="253" customFormat="false" ht="15" hidden="false" customHeight="false" outlineLevel="0" collapsed="false">
      <c r="I253" s="14" t="str">
        <f aca="false">IF(A253="","",IF(COUNTIF(Veri_Guncel!$A:$A,A253)=0,1,0))</f>
        <v/>
      </c>
    </row>
    <row r="254" customFormat="false" ht="15" hidden="false" customHeight="false" outlineLevel="0" collapsed="false">
      <c r="I254" s="14" t="str">
        <f aca="false">IF(A254="","",IF(COUNTIF(Veri_Guncel!$A:$A,A254)=0,1,0))</f>
        <v/>
      </c>
    </row>
    <row r="255" customFormat="false" ht="15" hidden="false" customHeight="false" outlineLevel="0" collapsed="false">
      <c r="I255" s="14" t="str">
        <f aca="false">IF(A255="","",IF(COUNTIF(Veri_Guncel!$A:$A,A255)=0,1,0))</f>
        <v/>
      </c>
    </row>
    <row r="256" customFormat="false" ht="15" hidden="false" customHeight="false" outlineLevel="0" collapsed="false">
      <c r="I256" s="14" t="str">
        <f aca="false">IF(A256="","",IF(COUNTIF(Veri_Guncel!$A:$A,A256)=0,1,0))</f>
        <v/>
      </c>
    </row>
    <row r="257" customFormat="false" ht="15" hidden="false" customHeight="false" outlineLevel="0" collapsed="false">
      <c r="I257" s="14" t="str">
        <f aca="false">IF(A257="","",IF(COUNTIF(Veri_Guncel!$A:$A,A257)=0,1,0))</f>
        <v/>
      </c>
    </row>
    <row r="258" customFormat="false" ht="15" hidden="false" customHeight="false" outlineLevel="0" collapsed="false">
      <c r="I258" s="14" t="str">
        <f aca="false">IF(A258="","",IF(COUNTIF(Veri_Guncel!$A:$A,A258)=0,1,0))</f>
        <v/>
      </c>
    </row>
    <row r="259" customFormat="false" ht="15" hidden="false" customHeight="false" outlineLevel="0" collapsed="false">
      <c r="I259" s="14" t="str">
        <f aca="false">IF(A259="","",IF(COUNTIF(Veri_Guncel!$A:$A,A259)=0,1,0))</f>
        <v/>
      </c>
    </row>
    <row r="260" customFormat="false" ht="15" hidden="false" customHeight="false" outlineLevel="0" collapsed="false">
      <c r="I260" s="14" t="str">
        <f aca="false">IF(A260="","",IF(COUNTIF(Veri_Guncel!$A:$A,A260)=0,1,0))</f>
        <v/>
      </c>
    </row>
    <row r="261" customFormat="false" ht="15" hidden="false" customHeight="false" outlineLevel="0" collapsed="false">
      <c r="I261" s="14" t="str">
        <f aca="false">IF(A261="","",IF(COUNTIF(Veri_Guncel!$A:$A,A261)=0,1,0))</f>
        <v/>
      </c>
    </row>
    <row r="262" customFormat="false" ht="15" hidden="false" customHeight="false" outlineLevel="0" collapsed="false">
      <c r="I262" s="14" t="str">
        <f aca="false">IF(A262="","",IF(COUNTIF(Veri_Guncel!$A:$A,A262)=0,1,0))</f>
        <v/>
      </c>
    </row>
    <row r="263" customFormat="false" ht="15" hidden="false" customHeight="false" outlineLevel="0" collapsed="false">
      <c r="I263" s="14" t="str">
        <f aca="false">IF(A263="","",IF(COUNTIF(Veri_Guncel!$A:$A,A263)=0,1,0))</f>
        <v/>
      </c>
    </row>
    <row r="264" customFormat="false" ht="15" hidden="false" customHeight="false" outlineLevel="0" collapsed="false">
      <c r="I264" s="14" t="str">
        <f aca="false">IF(A264="","",IF(COUNTIF(Veri_Guncel!$A:$A,A264)=0,1,0))</f>
        <v/>
      </c>
    </row>
    <row r="265" customFormat="false" ht="15" hidden="false" customHeight="false" outlineLevel="0" collapsed="false">
      <c r="I265" s="14" t="str">
        <f aca="false">IF(A265="","",IF(COUNTIF(Veri_Guncel!$A:$A,A265)=0,1,0))</f>
        <v/>
      </c>
    </row>
    <row r="266" customFormat="false" ht="15" hidden="false" customHeight="false" outlineLevel="0" collapsed="false">
      <c r="I266" s="14" t="str">
        <f aca="false">IF(A266="","",IF(COUNTIF(Veri_Guncel!$A:$A,A266)=0,1,0))</f>
        <v/>
      </c>
    </row>
    <row r="267" customFormat="false" ht="15" hidden="false" customHeight="false" outlineLevel="0" collapsed="false">
      <c r="I267" s="14" t="str">
        <f aca="false">IF(A267="","",IF(COUNTIF(Veri_Guncel!$A:$A,A267)=0,1,0))</f>
        <v/>
      </c>
    </row>
    <row r="268" customFormat="false" ht="15" hidden="false" customHeight="false" outlineLevel="0" collapsed="false">
      <c r="I268" s="14" t="str">
        <f aca="false">IF(A268="","",IF(COUNTIF(Veri_Guncel!$A:$A,A268)=0,1,0))</f>
        <v/>
      </c>
    </row>
    <row r="269" customFormat="false" ht="15" hidden="false" customHeight="false" outlineLevel="0" collapsed="false">
      <c r="I269" s="14" t="str">
        <f aca="false">IF(A269="","",IF(COUNTIF(Veri_Guncel!$A:$A,A269)=0,1,0))</f>
        <v/>
      </c>
    </row>
    <row r="270" customFormat="false" ht="15" hidden="false" customHeight="false" outlineLevel="0" collapsed="false">
      <c r="I270" s="14" t="str">
        <f aca="false">IF(A270="","",IF(COUNTIF(Veri_Guncel!$A:$A,A270)=0,1,0))</f>
        <v/>
      </c>
    </row>
    <row r="271" customFormat="false" ht="15" hidden="false" customHeight="false" outlineLevel="0" collapsed="false">
      <c r="I271" s="14" t="str">
        <f aca="false">IF(A271="","",IF(COUNTIF(Veri_Guncel!$A:$A,A271)=0,1,0))</f>
        <v/>
      </c>
    </row>
    <row r="272" customFormat="false" ht="15" hidden="false" customHeight="false" outlineLevel="0" collapsed="false">
      <c r="I272" s="14" t="str">
        <f aca="false">IF(A272="","",IF(COUNTIF(Veri_Guncel!$A:$A,A272)=0,1,0))</f>
        <v/>
      </c>
    </row>
    <row r="273" customFormat="false" ht="15" hidden="false" customHeight="false" outlineLevel="0" collapsed="false">
      <c r="I273" s="14" t="str">
        <f aca="false">IF(A273="","",IF(COUNTIF(Veri_Guncel!$A:$A,A273)=0,1,0))</f>
        <v/>
      </c>
    </row>
    <row r="274" customFormat="false" ht="15" hidden="false" customHeight="false" outlineLevel="0" collapsed="false">
      <c r="I274" s="14" t="str">
        <f aca="false">IF(A274="","",IF(COUNTIF(Veri_Guncel!$A:$A,A274)=0,1,0))</f>
        <v/>
      </c>
    </row>
    <row r="275" customFormat="false" ht="15" hidden="false" customHeight="false" outlineLevel="0" collapsed="false">
      <c r="I275" s="14" t="str">
        <f aca="false">IF(A275="","",IF(COUNTIF(Veri_Guncel!$A:$A,A275)=0,1,0))</f>
        <v/>
      </c>
    </row>
    <row r="276" customFormat="false" ht="15" hidden="false" customHeight="false" outlineLevel="0" collapsed="false">
      <c r="I276" s="14" t="str">
        <f aca="false">IF(A276="","",IF(COUNTIF(Veri_Guncel!$A:$A,A276)=0,1,0))</f>
        <v/>
      </c>
    </row>
    <row r="277" customFormat="false" ht="15" hidden="false" customHeight="false" outlineLevel="0" collapsed="false">
      <c r="I277" s="14" t="str">
        <f aca="false">IF(A277="","",IF(COUNTIF(Veri_Guncel!$A:$A,A277)=0,1,0))</f>
        <v/>
      </c>
    </row>
    <row r="278" customFormat="false" ht="15" hidden="false" customHeight="false" outlineLevel="0" collapsed="false">
      <c r="I278" s="14" t="str">
        <f aca="false">IF(A278="","",IF(COUNTIF(Veri_Guncel!$A:$A,A278)=0,1,0))</f>
        <v/>
      </c>
    </row>
    <row r="279" customFormat="false" ht="15" hidden="false" customHeight="false" outlineLevel="0" collapsed="false">
      <c r="I279" s="14" t="str">
        <f aca="false">IF(A279="","",IF(COUNTIF(Veri_Guncel!$A:$A,A279)=0,1,0))</f>
        <v/>
      </c>
    </row>
    <row r="280" customFormat="false" ht="15" hidden="false" customHeight="false" outlineLevel="0" collapsed="false">
      <c r="I280" s="14" t="str">
        <f aca="false">IF(A280="","",IF(COUNTIF(Veri_Guncel!$A:$A,A280)=0,1,0))</f>
        <v/>
      </c>
    </row>
    <row r="281" customFormat="false" ht="15" hidden="false" customHeight="false" outlineLevel="0" collapsed="false">
      <c r="I281" s="14" t="str">
        <f aca="false">IF(A281="","",IF(COUNTIF(Veri_Guncel!$A:$A,A281)=0,1,0))</f>
        <v/>
      </c>
    </row>
    <row r="282" customFormat="false" ht="15" hidden="false" customHeight="false" outlineLevel="0" collapsed="false">
      <c r="I282" s="14" t="str">
        <f aca="false">IF(A282="","",IF(COUNTIF(Veri_Guncel!$A:$A,A282)=0,1,0))</f>
        <v/>
      </c>
    </row>
    <row r="283" customFormat="false" ht="15" hidden="false" customHeight="false" outlineLevel="0" collapsed="false">
      <c r="I283" s="14" t="str">
        <f aca="false">IF(A283="","",IF(COUNTIF(Veri_Guncel!$A:$A,A283)=0,1,0))</f>
        <v/>
      </c>
    </row>
    <row r="284" customFormat="false" ht="15" hidden="false" customHeight="false" outlineLevel="0" collapsed="false">
      <c r="I284" s="14" t="str">
        <f aca="false">IF(A284="","",IF(COUNTIF(Veri_Guncel!$A:$A,A284)=0,1,0))</f>
        <v/>
      </c>
    </row>
    <row r="285" customFormat="false" ht="15" hidden="false" customHeight="false" outlineLevel="0" collapsed="false">
      <c r="I285" s="14" t="str">
        <f aca="false">IF(A285="","",IF(COUNTIF(Veri_Guncel!$A:$A,A285)=0,1,0))</f>
        <v/>
      </c>
    </row>
    <row r="286" customFormat="false" ht="15" hidden="false" customHeight="false" outlineLevel="0" collapsed="false">
      <c r="I286" s="14" t="str">
        <f aca="false">IF(A286="","",IF(COUNTIF(Veri_Guncel!$A:$A,A286)=0,1,0))</f>
        <v/>
      </c>
    </row>
    <row r="287" customFormat="false" ht="15" hidden="false" customHeight="false" outlineLevel="0" collapsed="false">
      <c r="I287" s="14" t="str">
        <f aca="false">IF(A287="","",IF(COUNTIF(Veri_Guncel!$A:$A,A287)=0,1,0))</f>
        <v/>
      </c>
    </row>
    <row r="288" customFormat="false" ht="15" hidden="false" customHeight="false" outlineLevel="0" collapsed="false">
      <c r="I288" s="14" t="str">
        <f aca="false">IF(A288="","",IF(COUNTIF(Veri_Guncel!$A:$A,A288)=0,1,0))</f>
        <v/>
      </c>
    </row>
    <row r="289" customFormat="false" ht="15" hidden="false" customHeight="false" outlineLevel="0" collapsed="false">
      <c r="I289" s="14" t="str">
        <f aca="false">IF(A289="","",IF(COUNTIF(Veri_Guncel!$A:$A,A289)=0,1,0))</f>
        <v/>
      </c>
    </row>
    <row r="290" customFormat="false" ht="15" hidden="false" customHeight="false" outlineLevel="0" collapsed="false">
      <c r="I290" s="14" t="str">
        <f aca="false">IF(A290="","",IF(COUNTIF(Veri_Guncel!$A:$A,A290)=0,1,0))</f>
        <v/>
      </c>
    </row>
    <row r="291" customFormat="false" ht="15" hidden="false" customHeight="false" outlineLevel="0" collapsed="false">
      <c r="I291" s="14" t="str">
        <f aca="false">IF(A291="","",IF(COUNTIF(Veri_Guncel!$A:$A,A291)=0,1,0))</f>
        <v/>
      </c>
    </row>
    <row r="292" customFormat="false" ht="15" hidden="false" customHeight="false" outlineLevel="0" collapsed="false">
      <c r="I292" s="14" t="str">
        <f aca="false">IF(A292="","",IF(COUNTIF(Veri_Guncel!$A:$A,A292)=0,1,0))</f>
        <v/>
      </c>
    </row>
    <row r="293" customFormat="false" ht="15" hidden="false" customHeight="false" outlineLevel="0" collapsed="false">
      <c r="I293" s="14" t="str">
        <f aca="false">IF(A293="","",IF(COUNTIF(Veri_Guncel!$A:$A,A293)=0,1,0))</f>
        <v/>
      </c>
    </row>
    <row r="294" customFormat="false" ht="15" hidden="false" customHeight="false" outlineLevel="0" collapsed="false">
      <c r="I294" s="14" t="str">
        <f aca="false">IF(A294="","",IF(COUNTIF(Veri_Guncel!$A:$A,A294)=0,1,0))</f>
        <v/>
      </c>
    </row>
    <row r="295" customFormat="false" ht="15" hidden="false" customHeight="false" outlineLevel="0" collapsed="false">
      <c r="I295" s="14" t="str">
        <f aca="false">IF(A295="","",IF(COUNTIF(Veri_Guncel!$A:$A,A295)=0,1,0))</f>
        <v/>
      </c>
    </row>
    <row r="296" customFormat="false" ht="15" hidden="false" customHeight="false" outlineLevel="0" collapsed="false">
      <c r="I296" s="14" t="str">
        <f aca="false">IF(A296="","",IF(COUNTIF(Veri_Guncel!$A:$A,A296)=0,1,0))</f>
        <v/>
      </c>
    </row>
    <row r="297" customFormat="false" ht="15" hidden="false" customHeight="false" outlineLevel="0" collapsed="false">
      <c r="I297" s="14" t="str">
        <f aca="false">IF(A297="","",IF(COUNTIF(Veri_Guncel!$A:$A,A297)=0,1,0))</f>
        <v/>
      </c>
    </row>
    <row r="298" customFormat="false" ht="15" hidden="false" customHeight="false" outlineLevel="0" collapsed="false">
      <c r="I298" s="14" t="str">
        <f aca="false">IF(A298="","",IF(COUNTIF(Veri_Guncel!$A:$A,A298)=0,1,0))</f>
        <v/>
      </c>
    </row>
    <row r="299" customFormat="false" ht="15" hidden="false" customHeight="false" outlineLevel="0" collapsed="false">
      <c r="I299" s="14" t="str">
        <f aca="false">IF(A299="","",IF(COUNTIF(Veri_Guncel!$A:$A,A299)=0,1,0))</f>
        <v/>
      </c>
    </row>
    <row r="300" customFormat="false" ht="15" hidden="false" customHeight="false" outlineLevel="0" collapsed="false">
      <c r="I300" s="14" t="str">
        <f aca="false">IF(A300="","",IF(COUNTIF(Veri_Guncel!$A:$A,A300)=0,1,0))</f>
        <v/>
      </c>
    </row>
    <row r="301" customFormat="false" ht="15" hidden="false" customHeight="false" outlineLevel="0" collapsed="false">
      <c r="I301" s="14" t="str">
        <f aca="false">IF(A301="","",IF(COUNTIF(Veri_Guncel!$A:$A,A301)=0,1,0))</f>
        <v/>
      </c>
    </row>
    <row r="302" customFormat="false" ht="15" hidden="false" customHeight="false" outlineLevel="0" collapsed="false">
      <c r="I302" s="14" t="str">
        <f aca="false">IF(A302="","",IF(COUNTIF(Veri_Guncel!$A:$A,A302)=0,1,0))</f>
        <v/>
      </c>
    </row>
    <row r="303" customFormat="false" ht="15" hidden="false" customHeight="false" outlineLevel="0" collapsed="false">
      <c r="I303" s="14" t="str">
        <f aca="false">IF(A303="","",IF(COUNTIF(Veri_Guncel!$A:$A,A303)=0,1,0))</f>
        <v/>
      </c>
    </row>
    <row r="304" customFormat="false" ht="15" hidden="false" customHeight="false" outlineLevel="0" collapsed="false">
      <c r="I304" s="14" t="str">
        <f aca="false">IF(A304="","",IF(COUNTIF(Veri_Guncel!$A:$A,A304)=0,1,0))</f>
        <v/>
      </c>
    </row>
    <row r="305" customFormat="false" ht="15" hidden="false" customHeight="false" outlineLevel="0" collapsed="false">
      <c r="I305" s="14" t="str">
        <f aca="false">IF(A305="","",IF(COUNTIF(Veri_Guncel!$A:$A,A305)=0,1,0))</f>
        <v/>
      </c>
    </row>
    <row r="306" customFormat="false" ht="15" hidden="false" customHeight="false" outlineLevel="0" collapsed="false">
      <c r="I306" s="14" t="str">
        <f aca="false">IF(A306="","",IF(COUNTIF(Veri_Guncel!$A:$A,A306)=0,1,0))</f>
        <v/>
      </c>
    </row>
    <row r="307" customFormat="false" ht="15" hidden="false" customHeight="false" outlineLevel="0" collapsed="false">
      <c r="I307" s="14" t="str">
        <f aca="false">IF(A307="","",IF(COUNTIF(Veri_Guncel!$A:$A,A307)=0,1,0))</f>
        <v/>
      </c>
    </row>
    <row r="308" customFormat="false" ht="15" hidden="false" customHeight="false" outlineLevel="0" collapsed="false">
      <c r="I308" s="14" t="str">
        <f aca="false">IF(A308="","",IF(COUNTIF(Veri_Guncel!$A:$A,A308)=0,1,0))</f>
        <v/>
      </c>
    </row>
    <row r="309" customFormat="false" ht="15" hidden="false" customHeight="false" outlineLevel="0" collapsed="false">
      <c r="I309" s="14" t="str">
        <f aca="false">IF(A309="","",IF(COUNTIF(Veri_Guncel!$A:$A,A309)=0,1,0))</f>
        <v/>
      </c>
    </row>
    <row r="310" customFormat="false" ht="15" hidden="false" customHeight="false" outlineLevel="0" collapsed="false">
      <c r="I310" s="14" t="str">
        <f aca="false">IF(A310="","",IF(COUNTIF(Veri_Guncel!$A:$A,A310)=0,1,0))</f>
        <v/>
      </c>
    </row>
    <row r="311" customFormat="false" ht="15" hidden="false" customHeight="false" outlineLevel="0" collapsed="false">
      <c r="I311" s="14" t="str">
        <f aca="false">IF(A311="","",IF(COUNTIF(Veri_Guncel!$A:$A,A311)=0,1,0))</f>
        <v/>
      </c>
    </row>
    <row r="312" customFormat="false" ht="15" hidden="false" customHeight="false" outlineLevel="0" collapsed="false">
      <c r="I312" s="14" t="str">
        <f aca="false">IF(A312="","",IF(COUNTIF(Veri_Guncel!$A:$A,A312)=0,1,0))</f>
        <v/>
      </c>
    </row>
    <row r="313" customFormat="false" ht="15" hidden="false" customHeight="false" outlineLevel="0" collapsed="false">
      <c r="I313" s="14" t="str">
        <f aca="false">IF(A313="","",IF(COUNTIF(Veri_Guncel!$A:$A,A313)=0,1,0))</f>
        <v/>
      </c>
    </row>
    <row r="314" customFormat="false" ht="15" hidden="false" customHeight="false" outlineLevel="0" collapsed="false">
      <c r="I314" s="14" t="str">
        <f aca="false">IF(A314="","",IF(COUNTIF(Veri_Guncel!$A:$A,A314)=0,1,0))</f>
        <v/>
      </c>
    </row>
    <row r="315" customFormat="false" ht="15" hidden="false" customHeight="false" outlineLevel="0" collapsed="false">
      <c r="I315" s="14" t="str">
        <f aca="false">IF(A315="","",IF(COUNTIF(Veri_Guncel!$A:$A,A315)=0,1,0))</f>
        <v/>
      </c>
    </row>
    <row r="316" customFormat="false" ht="15" hidden="false" customHeight="false" outlineLevel="0" collapsed="false">
      <c r="I316" s="14" t="str">
        <f aca="false">IF(A316="","",IF(COUNTIF(Veri_Guncel!$A:$A,A316)=0,1,0))</f>
        <v/>
      </c>
    </row>
    <row r="317" customFormat="false" ht="15" hidden="false" customHeight="false" outlineLevel="0" collapsed="false">
      <c r="I317" s="14" t="str">
        <f aca="false">IF(A317="","",IF(COUNTIF(Veri_Guncel!$A:$A,A317)=0,1,0))</f>
        <v/>
      </c>
    </row>
    <row r="318" customFormat="false" ht="15" hidden="false" customHeight="false" outlineLevel="0" collapsed="false">
      <c r="I318" s="14" t="str">
        <f aca="false">IF(A318="","",IF(COUNTIF(Veri_Guncel!$A:$A,A318)=0,1,0))</f>
        <v/>
      </c>
    </row>
    <row r="319" customFormat="false" ht="15" hidden="false" customHeight="false" outlineLevel="0" collapsed="false">
      <c r="I319" s="14" t="str">
        <f aca="false">IF(A319="","",IF(COUNTIF(Veri_Guncel!$A:$A,A319)=0,1,0))</f>
        <v/>
      </c>
    </row>
    <row r="320" customFormat="false" ht="15" hidden="false" customHeight="false" outlineLevel="0" collapsed="false">
      <c r="I320" s="14" t="str">
        <f aca="false">IF(A320="","",IF(COUNTIF(Veri_Guncel!$A:$A,A320)=0,1,0))</f>
        <v/>
      </c>
    </row>
    <row r="321" customFormat="false" ht="15" hidden="false" customHeight="false" outlineLevel="0" collapsed="false">
      <c r="I321" s="14" t="str">
        <f aca="false">IF(A321="","",IF(COUNTIF(Veri_Guncel!$A:$A,A321)=0,1,0))</f>
        <v/>
      </c>
    </row>
    <row r="322" customFormat="false" ht="15" hidden="false" customHeight="false" outlineLevel="0" collapsed="false">
      <c r="I322" s="14" t="str">
        <f aca="false">IF(A322="","",IF(COUNTIF(Veri_Guncel!$A:$A,A322)=0,1,0))</f>
        <v/>
      </c>
    </row>
    <row r="323" customFormat="false" ht="15" hidden="false" customHeight="false" outlineLevel="0" collapsed="false">
      <c r="I323" s="14" t="str">
        <f aca="false">IF(A323="","",IF(COUNTIF(Veri_Guncel!$A:$A,A323)=0,1,0))</f>
        <v/>
      </c>
    </row>
    <row r="324" customFormat="false" ht="15" hidden="false" customHeight="false" outlineLevel="0" collapsed="false">
      <c r="I324" s="14" t="str">
        <f aca="false">IF(A324="","",IF(COUNTIF(Veri_Guncel!$A:$A,A324)=0,1,0))</f>
        <v/>
      </c>
    </row>
    <row r="325" customFormat="false" ht="15" hidden="false" customHeight="false" outlineLevel="0" collapsed="false">
      <c r="I325" s="14" t="str">
        <f aca="false">IF(A325="","",IF(COUNTIF(Veri_Guncel!$A:$A,A325)=0,1,0))</f>
        <v/>
      </c>
    </row>
    <row r="326" customFormat="false" ht="15" hidden="false" customHeight="false" outlineLevel="0" collapsed="false">
      <c r="I326" s="14" t="str">
        <f aca="false">IF(A326="","",IF(COUNTIF(Veri_Guncel!$A:$A,A326)=0,1,0))</f>
        <v/>
      </c>
    </row>
    <row r="327" customFormat="false" ht="15" hidden="false" customHeight="false" outlineLevel="0" collapsed="false">
      <c r="I327" s="14" t="str">
        <f aca="false">IF(A327="","",IF(COUNTIF(Veri_Guncel!$A:$A,A327)=0,1,0))</f>
        <v/>
      </c>
    </row>
    <row r="328" customFormat="false" ht="15" hidden="false" customHeight="false" outlineLevel="0" collapsed="false">
      <c r="I328" s="14" t="str">
        <f aca="false">IF(A328="","",IF(COUNTIF(Veri_Guncel!$A:$A,A328)=0,1,0))</f>
        <v/>
      </c>
    </row>
    <row r="329" customFormat="false" ht="15" hidden="false" customHeight="false" outlineLevel="0" collapsed="false">
      <c r="I329" s="14" t="str">
        <f aca="false">IF(A329="","",IF(COUNTIF(Veri_Guncel!$A:$A,A329)=0,1,0))</f>
        <v/>
      </c>
    </row>
    <row r="330" customFormat="false" ht="15" hidden="false" customHeight="false" outlineLevel="0" collapsed="false">
      <c r="I330" s="14" t="str">
        <f aca="false">IF(A330="","",IF(COUNTIF(Veri_Guncel!$A:$A,A330)=0,1,0))</f>
        <v/>
      </c>
    </row>
    <row r="331" customFormat="false" ht="15" hidden="false" customHeight="false" outlineLevel="0" collapsed="false">
      <c r="I331" s="14" t="str">
        <f aca="false">IF(A331="","",IF(COUNTIF(Veri_Guncel!$A:$A,A331)=0,1,0))</f>
        <v/>
      </c>
    </row>
    <row r="332" customFormat="false" ht="15" hidden="false" customHeight="false" outlineLevel="0" collapsed="false">
      <c r="I332" s="14" t="str">
        <f aca="false">IF(A332="","",IF(COUNTIF(Veri_Guncel!$A:$A,A332)=0,1,0))</f>
        <v/>
      </c>
    </row>
    <row r="333" customFormat="false" ht="15" hidden="false" customHeight="false" outlineLevel="0" collapsed="false">
      <c r="I333" s="14" t="str">
        <f aca="false">IF(A333="","",IF(COUNTIF(Veri_Guncel!$A:$A,A333)=0,1,0))</f>
        <v/>
      </c>
    </row>
    <row r="334" customFormat="false" ht="15" hidden="false" customHeight="false" outlineLevel="0" collapsed="false">
      <c r="I334" s="14" t="str">
        <f aca="false">IF(A334="","",IF(COUNTIF(Veri_Guncel!$A:$A,A334)=0,1,0))</f>
        <v/>
      </c>
    </row>
    <row r="335" customFormat="false" ht="15" hidden="false" customHeight="false" outlineLevel="0" collapsed="false">
      <c r="I335" s="14" t="str">
        <f aca="false">IF(A335="","",IF(COUNTIF(Veri_Guncel!$A:$A,A335)=0,1,0))</f>
        <v/>
      </c>
    </row>
    <row r="336" customFormat="false" ht="15" hidden="false" customHeight="false" outlineLevel="0" collapsed="false">
      <c r="I336" s="14" t="str">
        <f aca="false">IF(A336="","",IF(COUNTIF(Veri_Guncel!$A:$A,A336)=0,1,0))</f>
        <v/>
      </c>
    </row>
    <row r="337" customFormat="false" ht="15" hidden="false" customHeight="false" outlineLevel="0" collapsed="false">
      <c r="I337" s="14" t="str">
        <f aca="false">IF(A337="","",IF(COUNTIF(Veri_Guncel!$A:$A,A337)=0,1,0))</f>
        <v/>
      </c>
    </row>
    <row r="338" customFormat="false" ht="15" hidden="false" customHeight="false" outlineLevel="0" collapsed="false">
      <c r="I338" s="14" t="str">
        <f aca="false">IF(A338="","",IF(COUNTIF(Veri_Guncel!$A:$A,A338)=0,1,0))</f>
        <v/>
      </c>
    </row>
    <row r="339" customFormat="false" ht="15" hidden="false" customHeight="false" outlineLevel="0" collapsed="false">
      <c r="I339" s="14" t="str">
        <f aca="false">IF(A339="","",IF(COUNTIF(Veri_Guncel!$A:$A,A339)=0,1,0))</f>
        <v/>
      </c>
    </row>
    <row r="340" customFormat="false" ht="15" hidden="false" customHeight="false" outlineLevel="0" collapsed="false">
      <c r="I340" s="14" t="str">
        <f aca="false">IF(A340="","",IF(COUNTIF(Veri_Guncel!$A:$A,A340)=0,1,0))</f>
        <v/>
      </c>
    </row>
    <row r="341" customFormat="false" ht="15" hidden="false" customHeight="false" outlineLevel="0" collapsed="false">
      <c r="I341" s="14" t="str">
        <f aca="false">IF(A341="","",IF(COUNTIF(Veri_Guncel!$A:$A,A341)=0,1,0))</f>
        <v/>
      </c>
    </row>
    <row r="342" customFormat="false" ht="15" hidden="false" customHeight="false" outlineLevel="0" collapsed="false">
      <c r="I342" s="14" t="str">
        <f aca="false">IF(A342="","",IF(COUNTIF(Veri_Guncel!$A:$A,A342)=0,1,0))</f>
        <v/>
      </c>
    </row>
    <row r="343" customFormat="false" ht="15" hidden="false" customHeight="false" outlineLevel="0" collapsed="false">
      <c r="I343" s="14" t="str">
        <f aca="false">IF(A343="","",IF(COUNTIF(Veri_Guncel!$A:$A,A343)=0,1,0))</f>
        <v/>
      </c>
    </row>
    <row r="344" customFormat="false" ht="15" hidden="false" customHeight="false" outlineLevel="0" collapsed="false">
      <c r="I344" s="14" t="str">
        <f aca="false">IF(A344="","",IF(COUNTIF(Veri_Guncel!$A:$A,A344)=0,1,0))</f>
        <v/>
      </c>
    </row>
    <row r="345" customFormat="false" ht="15" hidden="false" customHeight="false" outlineLevel="0" collapsed="false">
      <c r="I345" s="14" t="str">
        <f aca="false">IF(A345="","",IF(COUNTIF(Veri_Guncel!$A:$A,A345)=0,1,0))</f>
        <v/>
      </c>
    </row>
    <row r="346" customFormat="false" ht="15" hidden="false" customHeight="false" outlineLevel="0" collapsed="false">
      <c r="I346" s="14" t="str">
        <f aca="false">IF(A346="","",IF(COUNTIF(Veri_Guncel!$A:$A,A346)=0,1,0))</f>
        <v/>
      </c>
    </row>
    <row r="347" customFormat="false" ht="15" hidden="false" customHeight="false" outlineLevel="0" collapsed="false">
      <c r="I347" s="14" t="str">
        <f aca="false">IF(A347="","",IF(COUNTIF(Veri_Guncel!$A:$A,A347)=0,1,0))</f>
        <v/>
      </c>
    </row>
    <row r="348" customFormat="false" ht="15" hidden="false" customHeight="false" outlineLevel="0" collapsed="false">
      <c r="I348" s="14" t="str">
        <f aca="false">IF(A348="","",IF(COUNTIF(Veri_Guncel!$A:$A,A348)=0,1,0))</f>
        <v/>
      </c>
    </row>
    <row r="349" customFormat="false" ht="15" hidden="false" customHeight="false" outlineLevel="0" collapsed="false">
      <c r="I349" s="14" t="str">
        <f aca="false">IF(A349="","",IF(COUNTIF(Veri_Guncel!$A:$A,A349)=0,1,0))</f>
        <v/>
      </c>
    </row>
    <row r="350" customFormat="false" ht="15" hidden="false" customHeight="false" outlineLevel="0" collapsed="false">
      <c r="I350" s="14" t="str">
        <f aca="false">IF(A350="","",IF(COUNTIF(Veri_Guncel!$A:$A,A350)=0,1,0))</f>
        <v/>
      </c>
    </row>
    <row r="351" customFormat="false" ht="15" hidden="false" customHeight="false" outlineLevel="0" collapsed="false">
      <c r="I351" s="14" t="str">
        <f aca="false">IF(A351="","",IF(COUNTIF(Veri_Guncel!$A:$A,A351)=0,1,0))</f>
        <v/>
      </c>
    </row>
    <row r="352" customFormat="false" ht="15" hidden="false" customHeight="false" outlineLevel="0" collapsed="false">
      <c r="I352" s="14" t="str">
        <f aca="false">IF(A352="","",IF(COUNTIF(Veri_Guncel!$A:$A,A352)=0,1,0))</f>
        <v/>
      </c>
    </row>
    <row r="353" customFormat="false" ht="15" hidden="false" customHeight="false" outlineLevel="0" collapsed="false">
      <c r="I353" s="14" t="str">
        <f aca="false">IF(A353="","",IF(COUNTIF(Veri_Guncel!$A:$A,A353)=0,1,0))</f>
        <v/>
      </c>
    </row>
    <row r="354" customFormat="false" ht="15" hidden="false" customHeight="false" outlineLevel="0" collapsed="false">
      <c r="I354" s="14" t="str">
        <f aca="false">IF(A354="","",IF(COUNTIF(Veri_Guncel!$A:$A,A354)=0,1,0))</f>
        <v/>
      </c>
    </row>
    <row r="355" customFormat="false" ht="15" hidden="false" customHeight="false" outlineLevel="0" collapsed="false">
      <c r="I355" s="14" t="str">
        <f aca="false">IF(A355="","",IF(COUNTIF(Veri_Guncel!$A:$A,A355)=0,1,0))</f>
        <v/>
      </c>
    </row>
    <row r="356" customFormat="false" ht="15" hidden="false" customHeight="false" outlineLevel="0" collapsed="false">
      <c r="I356" s="14" t="str">
        <f aca="false">IF(A356="","",IF(COUNTIF(Veri_Guncel!$A:$A,A356)=0,1,0))</f>
        <v/>
      </c>
    </row>
    <row r="357" customFormat="false" ht="15" hidden="false" customHeight="false" outlineLevel="0" collapsed="false">
      <c r="I357" s="14" t="str">
        <f aca="false">IF(A357="","",IF(COUNTIF(Veri_Guncel!$A:$A,A357)=0,1,0))</f>
        <v/>
      </c>
    </row>
    <row r="358" customFormat="false" ht="15" hidden="false" customHeight="false" outlineLevel="0" collapsed="false">
      <c r="I358" s="14" t="str">
        <f aca="false">IF(A358="","",IF(COUNTIF(Veri_Guncel!$A:$A,A358)=0,1,0))</f>
        <v/>
      </c>
    </row>
    <row r="359" customFormat="false" ht="15" hidden="false" customHeight="false" outlineLevel="0" collapsed="false">
      <c r="I359" s="14" t="str">
        <f aca="false">IF(A359="","",IF(COUNTIF(Veri_Guncel!$A:$A,A359)=0,1,0))</f>
        <v/>
      </c>
    </row>
    <row r="360" customFormat="false" ht="15" hidden="false" customHeight="false" outlineLevel="0" collapsed="false">
      <c r="I360" s="14" t="str">
        <f aca="false">IF(A360="","",IF(COUNTIF(Veri_Guncel!$A:$A,A360)=0,1,0))</f>
        <v/>
      </c>
    </row>
    <row r="361" customFormat="false" ht="15" hidden="false" customHeight="false" outlineLevel="0" collapsed="false">
      <c r="I361" s="14" t="str">
        <f aca="false">IF(A361="","",IF(COUNTIF(Veri_Guncel!$A:$A,A361)=0,1,0))</f>
        <v/>
      </c>
    </row>
    <row r="362" customFormat="false" ht="15" hidden="false" customHeight="false" outlineLevel="0" collapsed="false">
      <c r="I362" s="14" t="str">
        <f aca="false">IF(A362="","",IF(COUNTIF(Veri_Guncel!$A:$A,A362)=0,1,0))</f>
        <v/>
      </c>
    </row>
    <row r="363" customFormat="false" ht="15" hidden="false" customHeight="false" outlineLevel="0" collapsed="false">
      <c r="I363" s="14" t="str">
        <f aca="false">IF(A363="","",IF(COUNTIF(Veri_Guncel!$A:$A,A363)=0,1,0))</f>
        <v/>
      </c>
    </row>
    <row r="364" customFormat="false" ht="15" hidden="false" customHeight="false" outlineLevel="0" collapsed="false">
      <c r="I364" s="14" t="str">
        <f aca="false">IF(A364="","",IF(COUNTIF(Veri_Guncel!$A:$A,A364)=0,1,0))</f>
        <v/>
      </c>
    </row>
    <row r="365" customFormat="false" ht="15" hidden="false" customHeight="false" outlineLevel="0" collapsed="false">
      <c r="I365" s="14" t="str">
        <f aca="false">IF(A365="","",IF(COUNTIF(Veri_Guncel!$A:$A,A365)=0,1,0))</f>
        <v/>
      </c>
    </row>
    <row r="366" customFormat="false" ht="15" hidden="false" customHeight="false" outlineLevel="0" collapsed="false">
      <c r="I366" s="14" t="str">
        <f aca="false">IF(A366="","",IF(COUNTIF(Veri_Guncel!$A:$A,A366)=0,1,0))</f>
        <v/>
      </c>
    </row>
    <row r="367" customFormat="false" ht="15" hidden="false" customHeight="false" outlineLevel="0" collapsed="false">
      <c r="I367" s="14" t="str">
        <f aca="false">IF(A367="","",IF(COUNTIF(Veri_Guncel!$A:$A,A367)=0,1,0))</f>
        <v/>
      </c>
    </row>
    <row r="368" customFormat="false" ht="15" hidden="false" customHeight="false" outlineLevel="0" collapsed="false">
      <c r="I368" s="14" t="str">
        <f aca="false">IF(A368="","",IF(COUNTIF(Veri_Guncel!$A:$A,A368)=0,1,0))</f>
        <v/>
      </c>
    </row>
    <row r="369" customFormat="false" ht="15" hidden="false" customHeight="false" outlineLevel="0" collapsed="false">
      <c r="I369" s="14" t="str">
        <f aca="false">IF(A369="","",IF(COUNTIF(Veri_Guncel!$A:$A,A369)=0,1,0))</f>
        <v/>
      </c>
    </row>
    <row r="370" customFormat="false" ht="15" hidden="false" customHeight="false" outlineLevel="0" collapsed="false">
      <c r="I370" s="14" t="str">
        <f aca="false">IF(A370="","",IF(COUNTIF(Veri_Guncel!$A:$A,A370)=0,1,0))</f>
        <v/>
      </c>
    </row>
    <row r="371" customFormat="false" ht="15" hidden="false" customHeight="false" outlineLevel="0" collapsed="false">
      <c r="I371" s="14" t="str">
        <f aca="false">IF(A371="","",IF(COUNTIF(Veri_Guncel!$A:$A,A371)=0,1,0))</f>
        <v/>
      </c>
    </row>
    <row r="372" customFormat="false" ht="15" hidden="false" customHeight="false" outlineLevel="0" collapsed="false">
      <c r="I372" s="14" t="str">
        <f aca="false">IF(A372="","",IF(COUNTIF(Veri_Guncel!$A:$A,A372)=0,1,0))</f>
        <v/>
      </c>
    </row>
    <row r="373" customFormat="false" ht="15" hidden="false" customHeight="false" outlineLevel="0" collapsed="false">
      <c r="I373" s="14" t="str">
        <f aca="false">IF(A373="","",IF(COUNTIF(Veri_Guncel!$A:$A,A373)=0,1,0))</f>
        <v/>
      </c>
    </row>
    <row r="374" customFormat="false" ht="15" hidden="false" customHeight="false" outlineLevel="0" collapsed="false">
      <c r="I374" s="14" t="str">
        <f aca="false">IF(A374="","",IF(COUNTIF(Veri_Guncel!$A:$A,A374)=0,1,0))</f>
        <v/>
      </c>
    </row>
    <row r="375" customFormat="false" ht="15" hidden="false" customHeight="false" outlineLevel="0" collapsed="false">
      <c r="I375" s="14" t="str">
        <f aca="false">IF(A375="","",IF(COUNTIF(Veri_Guncel!$A:$A,A375)=0,1,0))</f>
        <v/>
      </c>
    </row>
    <row r="376" customFormat="false" ht="15" hidden="false" customHeight="false" outlineLevel="0" collapsed="false">
      <c r="I376" s="14" t="str">
        <f aca="false">IF(A376="","",IF(COUNTIF(Veri_Guncel!$A:$A,A376)=0,1,0))</f>
        <v/>
      </c>
    </row>
    <row r="377" customFormat="false" ht="15" hidden="false" customHeight="false" outlineLevel="0" collapsed="false">
      <c r="I377" s="14" t="str">
        <f aca="false">IF(A377="","",IF(COUNTIF(Veri_Guncel!$A:$A,A377)=0,1,0))</f>
        <v/>
      </c>
    </row>
    <row r="378" customFormat="false" ht="15" hidden="false" customHeight="false" outlineLevel="0" collapsed="false">
      <c r="I378" s="14" t="str">
        <f aca="false">IF(A378="","",IF(COUNTIF(Veri_Guncel!$A:$A,A378)=0,1,0))</f>
        <v/>
      </c>
    </row>
    <row r="379" customFormat="false" ht="15" hidden="false" customHeight="false" outlineLevel="0" collapsed="false">
      <c r="I379" s="14" t="str">
        <f aca="false">IF(A379="","",IF(COUNTIF(Veri_Guncel!$A:$A,A379)=0,1,0))</f>
        <v/>
      </c>
    </row>
    <row r="380" customFormat="false" ht="15" hidden="false" customHeight="false" outlineLevel="0" collapsed="false">
      <c r="I380" s="14" t="str">
        <f aca="false">IF(A380="","",IF(COUNTIF(Veri_Guncel!$A:$A,A380)=0,1,0))</f>
        <v/>
      </c>
    </row>
    <row r="381" customFormat="false" ht="15" hidden="false" customHeight="false" outlineLevel="0" collapsed="false">
      <c r="I381" s="14" t="str">
        <f aca="false">IF(A381="","",IF(COUNTIF(Veri_Guncel!$A:$A,A381)=0,1,0))</f>
        <v/>
      </c>
    </row>
    <row r="382" customFormat="false" ht="15" hidden="false" customHeight="false" outlineLevel="0" collapsed="false">
      <c r="I382" s="14" t="str">
        <f aca="false">IF(A382="","",IF(COUNTIF(Veri_Guncel!$A:$A,A382)=0,1,0))</f>
        <v/>
      </c>
    </row>
    <row r="383" customFormat="false" ht="15" hidden="false" customHeight="false" outlineLevel="0" collapsed="false">
      <c r="I383" s="14" t="str">
        <f aca="false">IF(A383="","",IF(COUNTIF(Veri_Guncel!$A:$A,A383)=0,1,0))</f>
        <v/>
      </c>
    </row>
    <row r="384" customFormat="false" ht="15" hidden="false" customHeight="false" outlineLevel="0" collapsed="false">
      <c r="I384" s="14" t="str">
        <f aca="false">IF(A384="","",IF(COUNTIF(Veri_Guncel!$A:$A,A384)=0,1,0))</f>
        <v/>
      </c>
    </row>
    <row r="385" customFormat="false" ht="15" hidden="false" customHeight="false" outlineLevel="0" collapsed="false">
      <c r="I385" s="14" t="str">
        <f aca="false">IF(A385="","",IF(COUNTIF(Veri_Guncel!$A:$A,A385)=0,1,0))</f>
        <v/>
      </c>
    </row>
    <row r="386" customFormat="false" ht="15" hidden="false" customHeight="false" outlineLevel="0" collapsed="false">
      <c r="I386" s="14" t="str">
        <f aca="false">IF(A386="","",IF(COUNTIF(Veri_Guncel!$A:$A,A386)=0,1,0))</f>
        <v/>
      </c>
    </row>
    <row r="387" customFormat="false" ht="15" hidden="false" customHeight="false" outlineLevel="0" collapsed="false">
      <c r="I387" s="14" t="str">
        <f aca="false">IF(A387="","",IF(COUNTIF(Veri_Guncel!$A:$A,A387)=0,1,0))</f>
        <v/>
      </c>
    </row>
    <row r="388" customFormat="false" ht="15" hidden="false" customHeight="false" outlineLevel="0" collapsed="false">
      <c r="I388" s="14" t="str">
        <f aca="false">IF(A388="","",IF(COUNTIF(Veri_Guncel!$A:$A,A388)=0,1,0))</f>
        <v/>
      </c>
    </row>
    <row r="389" customFormat="false" ht="15" hidden="false" customHeight="false" outlineLevel="0" collapsed="false">
      <c r="I389" s="14" t="str">
        <f aca="false">IF(A389="","",IF(COUNTIF(Veri_Guncel!$A:$A,A389)=0,1,0))</f>
        <v/>
      </c>
    </row>
    <row r="390" customFormat="false" ht="15" hidden="false" customHeight="false" outlineLevel="0" collapsed="false">
      <c r="I390" s="14" t="str">
        <f aca="false">IF(A390="","",IF(COUNTIF(Veri_Guncel!$A:$A,A390)=0,1,0))</f>
        <v/>
      </c>
    </row>
    <row r="391" customFormat="false" ht="15" hidden="false" customHeight="false" outlineLevel="0" collapsed="false">
      <c r="I391" s="14" t="str">
        <f aca="false">IF(A391="","",IF(COUNTIF(Veri_Guncel!$A:$A,A391)=0,1,0))</f>
        <v/>
      </c>
    </row>
    <row r="392" customFormat="false" ht="15" hidden="false" customHeight="false" outlineLevel="0" collapsed="false">
      <c r="I392" s="14" t="str">
        <f aca="false">IF(A392="","",IF(COUNTIF(Veri_Guncel!$A:$A,A392)=0,1,0))</f>
        <v/>
      </c>
    </row>
    <row r="393" customFormat="false" ht="15" hidden="false" customHeight="false" outlineLevel="0" collapsed="false">
      <c r="I393" s="14" t="str">
        <f aca="false">IF(A393="","",IF(COUNTIF(Veri_Guncel!$A:$A,A393)=0,1,0))</f>
        <v/>
      </c>
    </row>
    <row r="394" customFormat="false" ht="15" hidden="false" customHeight="false" outlineLevel="0" collapsed="false">
      <c r="I394" s="14" t="str">
        <f aca="false">IF(A394="","",IF(COUNTIF(Veri_Guncel!$A:$A,A394)=0,1,0))</f>
        <v/>
      </c>
    </row>
    <row r="395" customFormat="false" ht="15" hidden="false" customHeight="false" outlineLevel="0" collapsed="false">
      <c r="I395" s="14" t="str">
        <f aca="false">IF(A395="","",IF(COUNTIF(Veri_Guncel!$A:$A,A395)=0,1,0))</f>
        <v/>
      </c>
    </row>
    <row r="396" customFormat="false" ht="15" hidden="false" customHeight="false" outlineLevel="0" collapsed="false">
      <c r="I396" s="14" t="str">
        <f aca="false">IF(A396="","",IF(COUNTIF(Veri_Guncel!$A:$A,A396)=0,1,0))</f>
        <v/>
      </c>
    </row>
    <row r="397" customFormat="false" ht="15" hidden="false" customHeight="false" outlineLevel="0" collapsed="false">
      <c r="I397" s="14" t="str">
        <f aca="false">IF(A397="","",IF(COUNTIF(Veri_Guncel!$A:$A,A397)=0,1,0))</f>
        <v/>
      </c>
    </row>
    <row r="398" customFormat="false" ht="15" hidden="false" customHeight="false" outlineLevel="0" collapsed="false">
      <c r="I398" s="14" t="str">
        <f aca="false">IF(A398="","",IF(COUNTIF(Veri_Guncel!$A:$A,A398)=0,1,0))</f>
        <v/>
      </c>
    </row>
    <row r="399" customFormat="false" ht="15" hidden="false" customHeight="false" outlineLevel="0" collapsed="false">
      <c r="I399" s="14" t="str">
        <f aca="false">IF(A399="","",IF(COUNTIF(Veri_Guncel!$A:$A,A399)=0,1,0))</f>
        <v/>
      </c>
    </row>
    <row r="400" customFormat="false" ht="15" hidden="false" customHeight="false" outlineLevel="0" collapsed="false">
      <c r="I400" s="14" t="str">
        <f aca="false">IF(A400="","",IF(COUNTIF(Veri_Guncel!$A:$A,A400)=0,1,0))</f>
        <v/>
      </c>
    </row>
    <row r="401" customFormat="false" ht="15" hidden="false" customHeight="false" outlineLevel="0" collapsed="false">
      <c r="I401" s="14" t="str">
        <f aca="false">IF(A401="","",IF(COUNTIF(Veri_Guncel!$A:$A,A401)=0,1,0))</f>
        <v/>
      </c>
    </row>
    <row r="402" customFormat="false" ht="15" hidden="false" customHeight="false" outlineLevel="0" collapsed="false">
      <c r="I402" s="14" t="str">
        <f aca="false">IF(A402="","",IF(COUNTIF(Veri_Guncel!$A:$A,A402)=0,1,0))</f>
        <v/>
      </c>
    </row>
    <row r="403" customFormat="false" ht="15" hidden="false" customHeight="false" outlineLevel="0" collapsed="false">
      <c r="I403" s="14" t="str">
        <f aca="false">IF(A403="","",IF(COUNTIF(Veri_Guncel!$A:$A,A403)=0,1,0))</f>
        <v/>
      </c>
    </row>
    <row r="404" customFormat="false" ht="15" hidden="false" customHeight="false" outlineLevel="0" collapsed="false">
      <c r="I404" s="14" t="str">
        <f aca="false">IF(A404="","",IF(COUNTIF(Veri_Guncel!$A:$A,A404)=0,1,0))</f>
        <v/>
      </c>
    </row>
    <row r="405" customFormat="false" ht="15" hidden="false" customHeight="false" outlineLevel="0" collapsed="false">
      <c r="I405" s="14" t="str">
        <f aca="false">IF(A405="","",IF(COUNTIF(Veri_Guncel!$A:$A,A405)=0,1,0))</f>
        <v/>
      </c>
    </row>
    <row r="406" customFormat="false" ht="15" hidden="false" customHeight="false" outlineLevel="0" collapsed="false">
      <c r="I406" s="14" t="str">
        <f aca="false">IF(A406="","",IF(COUNTIF(Veri_Guncel!$A:$A,A406)=0,1,0))</f>
        <v/>
      </c>
    </row>
    <row r="407" customFormat="false" ht="15" hidden="false" customHeight="false" outlineLevel="0" collapsed="false">
      <c r="I407" s="14" t="str">
        <f aca="false">IF(A407="","",IF(COUNTIF(Veri_Guncel!$A:$A,A407)=0,1,0))</f>
        <v/>
      </c>
    </row>
    <row r="408" customFormat="false" ht="15" hidden="false" customHeight="false" outlineLevel="0" collapsed="false">
      <c r="I408" s="14" t="str">
        <f aca="false">IF(A408="","",IF(COUNTIF(Veri_Guncel!$A:$A,A408)=0,1,0))</f>
        <v/>
      </c>
    </row>
    <row r="409" customFormat="false" ht="15" hidden="false" customHeight="false" outlineLevel="0" collapsed="false">
      <c r="I409" s="14" t="str">
        <f aca="false">IF(A409="","",IF(COUNTIF(Veri_Guncel!$A:$A,A409)=0,1,0))</f>
        <v/>
      </c>
    </row>
    <row r="410" customFormat="false" ht="15" hidden="false" customHeight="false" outlineLevel="0" collapsed="false">
      <c r="I410" s="14" t="str">
        <f aca="false">IF(A410="","",IF(COUNTIF(Veri_Guncel!$A:$A,A410)=0,1,0))</f>
        <v/>
      </c>
    </row>
    <row r="411" customFormat="false" ht="15" hidden="false" customHeight="false" outlineLevel="0" collapsed="false">
      <c r="I411" s="14" t="str">
        <f aca="false">IF(A411="","",IF(COUNTIF(Veri_Guncel!$A:$A,A411)=0,1,0))</f>
        <v/>
      </c>
    </row>
    <row r="412" customFormat="false" ht="15" hidden="false" customHeight="false" outlineLevel="0" collapsed="false">
      <c r="I412" s="14" t="str">
        <f aca="false">IF(A412="","",IF(COUNTIF(Veri_Guncel!$A:$A,A412)=0,1,0))</f>
        <v/>
      </c>
    </row>
    <row r="413" customFormat="false" ht="15" hidden="false" customHeight="false" outlineLevel="0" collapsed="false">
      <c r="I413" s="14" t="str">
        <f aca="false">IF(A413="","",IF(COUNTIF(Veri_Guncel!$A:$A,A413)=0,1,0))</f>
        <v/>
      </c>
    </row>
    <row r="414" customFormat="false" ht="15" hidden="false" customHeight="false" outlineLevel="0" collapsed="false">
      <c r="I414" s="14" t="str">
        <f aca="false">IF(A414="","",IF(COUNTIF(Veri_Guncel!$A:$A,A414)=0,1,0))</f>
        <v/>
      </c>
    </row>
    <row r="415" customFormat="false" ht="15" hidden="false" customHeight="false" outlineLevel="0" collapsed="false">
      <c r="I415" s="14" t="str">
        <f aca="false">IF(A415="","",IF(COUNTIF(Veri_Guncel!$A:$A,A415)=0,1,0))</f>
        <v/>
      </c>
    </row>
    <row r="416" customFormat="false" ht="15" hidden="false" customHeight="false" outlineLevel="0" collapsed="false">
      <c r="I416" s="14" t="str">
        <f aca="false">IF(A416="","",IF(COUNTIF(Veri_Guncel!$A:$A,A416)=0,1,0))</f>
        <v/>
      </c>
    </row>
    <row r="417" customFormat="false" ht="15" hidden="false" customHeight="false" outlineLevel="0" collapsed="false">
      <c r="I417" s="14" t="str">
        <f aca="false">IF(A417="","",IF(COUNTIF(Veri_Guncel!$A:$A,A417)=0,1,0))</f>
        <v/>
      </c>
    </row>
    <row r="418" customFormat="false" ht="15" hidden="false" customHeight="false" outlineLevel="0" collapsed="false">
      <c r="I418" s="14" t="str">
        <f aca="false">IF(A418="","",IF(COUNTIF(Veri_Guncel!$A:$A,A418)=0,1,0))</f>
        <v/>
      </c>
    </row>
    <row r="419" customFormat="false" ht="15" hidden="false" customHeight="false" outlineLevel="0" collapsed="false">
      <c r="I419" s="14" t="str">
        <f aca="false">IF(A419="","",IF(COUNTIF(Veri_Guncel!$A:$A,A419)=0,1,0))</f>
        <v/>
      </c>
    </row>
    <row r="420" customFormat="false" ht="15" hidden="false" customHeight="false" outlineLevel="0" collapsed="false">
      <c r="I420" s="14" t="str">
        <f aca="false">IF(A420="","",IF(COUNTIF(Veri_Guncel!$A:$A,A420)=0,1,0))</f>
        <v/>
      </c>
    </row>
    <row r="421" customFormat="false" ht="15" hidden="false" customHeight="false" outlineLevel="0" collapsed="false">
      <c r="I421" s="14" t="str">
        <f aca="false">IF(A421="","",IF(COUNTIF(Veri_Guncel!$A:$A,A421)=0,1,0))</f>
        <v/>
      </c>
    </row>
    <row r="422" customFormat="false" ht="15" hidden="false" customHeight="false" outlineLevel="0" collapsed="false">
      <c r="I422" s="14" t="str">
        <f aca="false">IF(A422="","",IF(COUNTIF(Veri_Guncel!$A:$A,A422)=0,1,0))</f>
        <v/>
      </c>
    </row>
    <row r="423" customFormat="false" ht="15" hidden="false" customHeight="false" outlineLevel="0" collapsed="false">
      <c r="I423" s="14" t="str">
        <f aca="false">IF(A423="","",IF(COUNTIF(Veri_Guncel!$A:$A,A423)=0,1,0))</f>
        <v/>
      </c>
    </row>
    <row r="424" customFormat="false" ht="15" hidden="false" customHeight="false" outlineLevel="0" collapsed="false">
      <c r="I424" s="14" t="str">
        <f aca="false">IF(A424="","",IF(COUNTIF(Veri_Guncel!$A:$A,A424)=0,1,0))</f>
        <v/>
      </c>
    </row>
    <row r="425" customFormat="false" ht="15" hidden="false" customHeight="false" outlineLevel="0" collapsed="false">
      <c r="I425" s="14" t="str">
        <f aca="false">IF(A425="","",IF(COUNTIF(Veri_Guncel!$A:$A,A425)=0,1,0))</f>
        <v/>
      </c>
    </row>
    <row r="426" customFormat="false" ht="15" hidden="false" customHeight="false" outlineLevel="0" collapsed="false">
      <c r="I426" s="14" t="str">
        <f aca="false">IF(A426="","",IF(COUNTIF(Veri_Guncel!$A:$A,A426)=0,1,0))</f>
        <v/>
      </c>
    </row>
    <row r="427" customFormat="false" ht="15" hidden="false" customHeight="false" outlineLevel="0" collapsed="false">
      <c r="I427" s="14" t="str">
        <f aca="false">IF(A427="","",IF(COUNTIF(Veri_Guncel!$A:$A,A427)=0,1,0))</f>
        <v/>
      </c>
    </row>
    <row r="428" customFormat="false" ht="15" hidden="false" customHeight="false" outlineLevel="0" collapsed="false">
      <c r="I428" s="14" t="str">
        <f aca="false">IF(A428="","",IF(COUNTIF(Veri_Guncel!$A:$A,A428)=0,1,0))</f>
        <v/>
      </c>
    </row>
    <row r="429" customFormat="false" ht="15" hidden="false" customHeight="false" outlineLevel="0" collapsed="false">
      <c r="I429" s="14" t="str">
        <f aca="false">IF(A429="","",IF(COUNTIF(Veri_Guncel!$A:$A,A429)=0,1,0))</f>
        <v/>
      </c>
    </row>
    <row r="430" customFormat="false" ht="15" hidden="false" customHeight="false" outlineLevel="0" collapsed="false">
      <c r="I430" s="14" t="str">
        <f aca="false">IF(A430="","",IF(COUNTIF(Veri_Guncel!$A:$A,A430)=0,1,0))</f>
        <v/>
      </c>
    </row>
    <row r="431" customFormat="false" ht="15" hidden="false" customHeight="false" outlineLevel="0" collapsed="false">
      <c r="I431" s="14" t="str">
        <f aca="false">IF(A431="","",IF(COUNTIF(Veri_Guncel!$A:$A,A431)=0,1,0))</f>
        <v/>
      </c>
    </row>
    <row r="432" customFormat="false" ht="15" hidden="false" customHeight="false" outlineLevel="0" collapsed="false">
      <c r="I432" s="14" t="str">
        <f aca="false">IF(A432="","",IF(COUNTIF(Veri_Guncel!$A:$A,A432)=0,1,0))</f>
        <v/>
      </c>
    </row>
    <row r="433" customFormat="false" ht="15" hidden="false" customHeight="false" outlineLevel="0" collapsed="false">
      <c r="I433" s="14" t="str">
        <f aca="false">IF(A433="","",IF(COUNTIF(Veri_Guncel!$A:$A,A433)=0,1,0))</f>
        <v/>
      </c>
    </row>
    <row r="434" customFormat="false" ht="15" hidden="false" customHeight="false" outlineLevel="0" collapsed="false">
      <c r="I434" s="14" t="str">
        <f aca="false">IF(A434="","",IF(COUNTIF(Veri_Guncel!$A:$A,A434)=0,1,0))</f>
        <v/>
      </c>
    </row>
    <row r="435" customFormat="false" ht="15" hidden="false" customHeight="false" outlineLevel="0" collapsed="false">
      <c r="I435" s="14" t="str">
        <f aca="false">IF(A435="","",IF(COUNTIF(Veri_Guncel!$A:$A,A435)=0,1,0))</f>
        <v/>
      </c>
    </row>
    <row r="436" customFormat="false" ht="15" hidden="false" customHeight="false" outlineLevel="0" collapsed="false">
      <c r="I436" s="14" t="str">
        <f aca="false">IF(A436="","",IF(COUNTIF(Veri_Guncel!$A:$A,A436)=0,1,0))</f>
        <v/>
      </c>
    </row>
    <row r="437" customFormat="false" ht="15" hidden="false" customHeight="false" outlineLevel="0" collapsed="false">
      <c r="I437" s="14" t="str">
        <f aca="false">IF(A437="","",IF(COUNTIF(Veri_Guncel!$A:$A,A437)=0,1,0))</f>
        <v/>
      </c>
    </row>
    <row r="438" customFormat="false" ht="15" hidden="false" customHeight="false" outlineLevel="0" collapsed="false">
      <c r="I438" s="14" t="str">
        <f aca="false">IF(A438="","",IF(COUNTIF(Veri_Guncel!$A:$A,A438)=0,1,0))</f>
        <v/>
      </c>
    </row>
    <row r="439" customFormat="false" ht="15" hidden="false" customHeight="false" outlineLevel="0" collapsed="false">
      <c r="I439" s="14" t="str">
        <f aca="false">IF(A439="","",IF(COUNTIF(Veri_Guncel!$A:$A,A439)=0,1,0))</f>
        <v/>
      </c>
    </row>
    <row r="440" customFormat="false" ht="15" hidden="false" customHeight="false" outlineLevel="0" collapsed="false">
      <c r="I440" s="14" t="str">
        <f aca="false">IF(A440="","",IF(COUNTIF(Veri_Guncel!$A:$A,A440)=0,1,0))</f>
        <v/>
      </c>
    </row>
    <row r="441" customFormat="false" ht="15" hidden="false" customHeight="false" outlineLevel="0" collapsed="false">
      <c r="I441" s="14" t="str">
        <f aca="false">IF(A441="","",IF(COUNTIF(Veri_Guncel!$A:$A,A441)=0,1,0))</f>
        <v/>
      </c>
    </row>
    <row r="442" customFormat="false" ht="15" hidden="false" customHeight="false" outlineLevel="0" collapsed="false">
      <c r="I442" s="14" t="str">
        <f aca="false">IF(A442="","",IF(COUNTIF(Veri_Guncel!$A:$A,A442)=0,1,0))</f>
        <v/>
      </c>
    </row>
    <row r="443" customFormat="false" ht="15" hidden="false" customHeight="false" outlineLevel="0" collapsed="false">
      <c r="I443" s="14" t="str">
        <f aca="false">IF(A443="","",IF(COUNTIF(Veri_Guncel!$A:$A,A443)=0,1,0))</f>
        <v/>
      </c>
    </row>
    <row r="444" customFormat="false" ht="15" hidden="false" customHeight="false" outlineLevel="0" collapsed="false">
      <c r="I444" s="14" t="str">
        <f aca="false">IF(A444="","",IF(COUNTIF(Veri_Guncel!$A:$A,A444)=0,1,0))</f>
        <v/>
      </c>
    </row>
    <row r="445" customFormat="false" ht="15" hidden="false" customHeight="false" outlineLevel="0" collapsed="false">
      <c r="I445" s="14" t="str">
        <f aca="false">IF(A445="","",IF(COUNTIF(Veri_Guncel!$A:$A,A445)=0,1,0))</f>
        <v/>
      </c>
    </row>
    <row r="446" customFormat="false" ht="15" hidden="false" customHeight="false" outlineLevel="0" collapsed="false">
      <c r="I446" s="14" t="str">
        <f aca="false">IF(A446="","",IF(COUNTIF(Veri_Guncel!$A:$A,A446)=0,1,0))</f>
        <v/>
      </c>
    </row>
    <row r="447" customFormat="false" ht="15" hidden="false" customHeight="false" outlineLevel="0" collapsed="false">
      <c r="I447" s="14" t="str">
        <f aca="false">IF(A447="","",IF(COUNTIF(Veri_Guncel!$A:$A,A447)=0,1,0))</f>
        <v/>
      </c>
    </row>
    <row r="448" customFormat="false" ht="15" hidden="false" customHeight="false" outlineLevel="0" collapsed="false">
      <c r="I448" s="14" t="str">
        <f aca="false">IF(A448="","",IF(COUNTIF(Veri_Guncel!$A:$A,A448)=0,1,0))</f>
        <v/>
      </c>
    </row>
    <row r="449" customFormat="false" ht="15" hidden="false" customHeight="false" outlineLevel="0" collapsed="false">
      <c r="I449" s="14" t="str">
        <f aca="false">IF(A449="","",IF(COUNTIF(Veri_Guncel!$A:$A,A449)=0,1,0))</f>
        <v/>
      </c>
    </row>
    <row r="450" customFormat="false" ht="15" hidden="false" customHeight="false" outlineLevel="0" collapsed="false">
      <c r="I450" s="14" t="str">
        <f aca="false">IF(A450="","",IF(COUNTIF(Veri_Guncel!$A:$A,A450)=0,1,0))</f>
        <v/>
      </c>
    </row>
    <row r="451" customFormat="false" ht="15" hidden="false" customHeight="false" outlineLevel="0" collapsed="false">
      <c r="I451" s="14" t="str">
        <f aca="false">IF(A451="","",IF(COUNTIF(Veri_Guncel!$A:$A,A451)=0,1,0))</f>
        <v/>
      </c>
    </row>
    <row r="452" customFormat="false" ht="15" hidden="false" customHeight="false" outlineLevel="0" collapsed="false">
      <c r="I452" s="14" t="str">
        <f aca="false">IF(A452="","",IF(COUNTIF(Veri_Guncel!$A:$A,A452)=0,1,0))</f>
        <v/>
      </c>
    </row>
    <row r="453" customFormat="false" ht="15" hidden="false" customHeight="false" outlineLevel="0" collapsed="false">
      <c r="I453" s="14" t="str">
        <f aca="false">IF(A453="","",IF(COUNTIF(Veri_Guncel!$A:$A,A453)=0,1,0))</f>
        <v/>
      </c>
    </row>
    <row r="454" customFormat="false" ht="15" hidden="false" customHeight="false" outlineLevel="0" collapsed="false">
      <c r="I454" s="14" t="str">
        <f aca="false">IF(A454="","",IF(COUNTIF(Veri_Guncel!$A:$A,A454)=0,1,0))</f>
        <v/>
      </c>
    </row>
    <row r="455" customFormat="false" ht="15" hidden="false" customHeight="false" outlineLevel="0" collapsed="false">
      <c r="I455" s="14" t="str">
        <f aca="false">IF(A455="","",IF(COUNTIF(Veri_Guncel!$A:$A,A455)=0,1,0))</f>
        <v/>
      </c>
    </row>
    <row r="456" customFormat="false" ht="15" hidden="false" customHeight="false" outlineLevel="0" collapsed="false">
      <c r="I456" s="14" t="str">
        <f aca="false">IF(A456="","",IF(COUNTIF(Veri_Guncel!$A:$A,A456)=0,1,0))</f>
        <v/>
      </c>
    </row>
    <row r="457" customFormat="false" ht="15" hidden="false" customHeight="false" outlineLevel="0" collapsed="false">
      <c r="I457" s="14" t="str">
        <f aca="false">IF(A457="","",IF(COUNTIF(Veri_Guncel!$A:$A,A457)=0,1,0))</f>
        <v/>
      </c>
    </row>
    <row r="458" customFormat="false" ht="15" hidden="false" customHeight="false" outlineLevel="0" collapsed="false">
      <c r="I458" s="14" t="str">
        <f aca="false">IF(A458="","",IF(COUNTIF(Veri_Guncel!$A:$A,A458)=0,1,0))</f>
        <v/>
      </c>
    </row>
    <row r="459" customFormat="false" ht="15" hidden="false" customHeight="false" outlineLevel="0" collapsed="false">
      <c r="I459" s="14" t="str">
        <f aca="false">IF(A459="","",IF(COUNTIF(Veri_Guncel!$A:$A,A459)=0,1,0))</f>
        <v/>
      </c>
    </row>
    <row r="460" customFormat="false" ht="15" hidden="false" customHeight="false" outlineLevel="0" collapsed="false">
      <c r="I460" s="14" t="str">
        <f aca="false">IF(A460="","",IF(COUNTIF(Veri_Guncel!$A:$A,A460)=0,1,0))</f>
        <v/>
      </c>
    </row>
    <row r="461" customFormat="false" ht="15" hidden="false" customHeight="false" outlineLevel="0" collapsed="false">
      <c r="I461" s="14" t="str">
        <f aca="false">IF(A461="","",IF(COUNTIF(Veri_Guncel!$A:$A,A461)=0,1,0))</f>
        <v/>
      </c>
    </row>
    <row r="462" customFormat="false" ht="15" hidden="false" customHeight="false" outlineLevel="0" collapsed="false">
      <c r="I462" s="14" t="str">
        <f aca="false">IF(A462="","",IF(COUNTIF(Veri_Guncel!$A:$A,A462)=0,1,0))</f>
        <v/>
      </c>
    </row>
    <row r="463" customFormat="false" ht="15" hidden="false" customHeight="false" outlineLevel="0" collapsed="false">
      <c r="I463" s="14" t="str">
        <f aca="false">IF(A463="","",IF(COUNTIF(Veri_Guncel!$A:$A,A463)=0,1,0))</f>
        <v/>
      </c>
    </row>
    <row r="464" customFormat="false" ht="15" hidden="false" customHeight="false" outlineLevel="0" collapsed="false">
      <c r="I464" s="14" t="str">
        <f aca="false">IF(A464="","",IF(COUNTIF(Veri_Guncel!$A:$A,A464)=0,1,0))</f>
        <v/>
      </c>
    </row>
    <row r="465" customFormat="false" ht="15" hidden="false" customHeight="false" outlineLevel="0" collapsed="false">
      <c r="I465" s="14" t="str">
        <f aca="false">IF(A465="","",IF(COUNTIF(Veri_Guncel!$A:$A,A465)=0,1,0))</f>
        <v/>
      </c>
    </row>
    <row r="466" customFormat="false" ht="15" hidden="false" customHeight="false" outlineLevel="0" collapsed="false">
      <c r="I466" s="14" t="str">
        <f aca="false">IF(A466="","",IF(COUNTIF(Veri_Guncel!$A:$A,A466)=0,1,0))</f>
        <v/>
      </c>
    </row>
    <row r="467" customFormat="false" ht="15" hidden="false" customHeight="false" outlineLevel="0" collapsed="false">
      <c r="I467" s="14" t="str">
        <f aca="false">IF(A467="","",IF(COUNTIF(Veri_Guncel!$A:$A,A467)=0,1,0))</f>
        <v/>
      </c>
    </row>
    <row r="468" customFormat="false" ht="15" hidden="false" customHeight="false" outlineLevel="0" collapsed="false">
      <c r="I468" s="14" t="str">
        <f aca="false">IF(A468="","",IF(COUNTIF(Veri_Guncel!$A:$A,A468)=0,1,0))</f>
        <v/>
      </c>
    </row>
    <row r="469" customFormat="false" ht="15" hidden="false" customHeight="false" outlineLevel="0" collapsed="false">
      <c r="I469" s="14" t="str">
        <f aca="false">IF(A469="","",IF(COUNTIF(Veri_Guncel!$A:$A,A469)=0,1,0))</f>
        <v/>
      </c>
    </row>
    <row r="470" customFormat="false" ht="15" hidden="false" customHeight="false" outlineLevel="0" collapsed="false">
      <c r="I470" s="14" t="str">
        <f aca="false">IF(A470="","",IF(COUNTIF(Veri_Guncel!$A:$A,A470)=0,1,0))</f>
        <v/>
      </c>
    </row>
    <row r="471" customFormat="false" ht="15" hidden="false" customHeight="false" outlineLevel="0" collapsed="false">
      <c r="I471" s="14" t="str">
        <f aca="false">IF(A471="","",IF(COUNTIF(Veri_Guncel!$A:$A,A471)=0,1,0))</f>
        <v/>
      </c>
    </row>
    <row r="472" customFormat="false" ht="15" hidden="false" customHeight="false" outlineLevel="0" collapsed="false">
      <c r="I472" s="14" t="str">
        <f aca="false">IF(A472="","",IF(COUNTIF(Veri_Guncel!$A:$A,A472)=0,1,0))</f>
        <v/>
      </c>
    </row>
    <row r="473" customFormat="false" ht="15" hidden="false" customHeight="false" outlineLevel="0" collapsed="false">
      <c r="I473" s="14" t="str">
        <f aca="false">IF(A473="","",IF(COUNTIF(Veri_Guncel!$A:$A,A473)=0,1,0))</f>
        <v/>
      </c>
    </row>
    <row r="474" customFormat="false" ht="15" hidden="false" customHeight="false" outlineLevel="0" collapsed="false">
      <c r="I474" s="14" t="str">
        <f aca="false">IF(A474="","",IF(COUNTIF(Veri_Guncel!$A:$A,A474)=0,1,0))</f>
        <v/>
      </c>
    </row>
    <row r="475" customFormat="false" ht="15" hidden="false" customHeight="false" outlineLevel="0" collapsed="false">
      <c r="I475" s="14" t="str">
        <f aca="false">IF(A475="","",IF(COUNTIF(Veri_Guncel!$A:$A,A475)=0,1,0))</f>
        <v/>
      </c>
    </row>
    <row r="476" customFormat="false" ht="15" hidden="false" customHeight="false" outlineLevel="0" collapsed="false">
      <c r="I476" s="14" t="str">
        <f aca="false">IF(A476="","",IF(COUNTIF(Veri_Guncel!$A:$A,A476)=0,1,0))</f>
        <v/>
      </c>
    </row>
    <row r="477" customFormat="false" ht="15" hidden="false" customHeight="false" outlineLevel="0" collapsed="false">
      <c r="I477" s="14" t="str">
        <f aca="false">IF(A477="","",IF(COUNTIF(Veri_Guncel!$A:$A,A477)=0,1,0))</f>
        <v/>
      </c>
    </row>
    <row r="478" customFormat="false" ht="15" hidden="false" customHeight="false" outlineLevel="0" collapsed="false">
      <c r="I478" s="14" t="str">
        <f aca="false">IF(A478="","",IF(COUNTIF(Veri_Guncel!$A:$A,A478)=0,1,0))</f>
        <v/>
      </c>
    </row>
    <row r="479" customFormat="false" ht="15" hidden="false" customHeight="false" outlineLevel="0" collapsed="false">
      <c r="I479" s="14" t="str">
        <f aca="false">IF(A479="","",IF(COUNTIF(Veri_Guncel!$A:$A,A479)=0,1,0))</f>
        <v/>
      </c>
    </row>
    <row r="480" customFormat="false" ht="15" hidden="false" customHeight="false" outlineLevel="0" collapsed="false">
      <c r="I480" s="14" t="str">
        <f aca="false">IF(A480="","",IF(COUNTIF(Veri_Guncel!$A:$A,A480)=0,1,0))</f>
        <v/>
      </c>
    </row>
    <row r="481" customFormat="false" ht="15" hidden="false" customHeight="false" outlineLevel="0" collapsed="false">
      <c r="I481" s="14" t="str">
        <f aca="false">IF(A481="","",IF(COUNTIF(Veri_Guncel!$A:$A,A481)=0,1,0))</f>
        <v/>
      </c>
    </row>
    <row r="482" customFormat="false" ht="15" hidden="false" customHeight="false" outlineLevel="0" collapsed="false">
      <c r="I482" s="14" t="str">
        <f aca="false">IF(A482="","",IF(COUNTIF(Veri_Guncel!$A:$A,A482)=0,1,0))</f>
        <v/>
      </c>
    </row>
    <row r="483" customFormat="false" ht="15" hidden="false" customHeight="false" outlineLevel="0" collapsed="false">
      <c r="I483" s="14" t="str">
        <f aca="false">IF(A483="","",IF(COUNTIF(Veri_Guncel!$A:$A,A483)=0,1,0))</f>
        <v/>
      </c>
    </row>
    <row r="484" customFormat="false" ht="15" hidden="false" customHeight="false" outlineLevel="0" collapsed="false">
      <c r="I484" s="14" t="str">
        <f aca="false">IF(A484="","",IF(COUNTIF(Veri_Guncel!$A:$A,A484)=0,1,0))</f>
        <v/>
      </c>
    </row>
    <row r="485" customFormat="false" ht="15" hidden="false" customHeight="false" outlineLevel="0" collapsed="false">
      <c r="I485" s="14" t="str">
        <f aca="false">IF(A485="","",IF(COUNTIF(Veri_Guncel!$A:$A,A485)=0,1,0))</f>
        <v/>
      </c>
    </row>
    <row r="486" customFormat="false" ht="15" hidden="false" customHeight="false" outlineLevel="0" collapsed="false">
      <c r="I486" s="14" t="str">
        <f aca="false">IF(A486="","",IF(COUNTIF(Veri_Guncel!$A:$A,A486)=0,1,0))</f>
        <v/>
      </c>
    </row>
    <row r="487" customFormat="false" ht="15" hidden="false" customHeight="false" outlineLevel="0" collapsed="false">
      <c r="I487" s="14" t="str">
        <f aca="false">IF(A487="","",IF(COUNTIF(Veri_Guncel!$A:$A,A487)=0,1,0))</f>
        <v/>
      </c>
    </row>
    <row r="488" customFormat="false" ht="15" hidden="false" customHeight="false" outlineLevel="0" collapsed="false">
      <c r="I488" s="14" t="str">
        <f aca="false">IF(A488="","",IF(COUNTIF(Veri_Guncel!$A:$A,A488)=0,1,0))</f>
        <v/>
      </c>
    </row>
    <row r="489" customFormat="false" ht="15" hidden="false" customHeight="false" outlineLevel="0" collapsed="false">
      <c r="I489" s="14" t="str">
        <f aca="false">IF(A489="","",IF(COUNTIF(Veri_Guncel!$A:$A,A489)=0,1,0))</f>
        <v/>
      </c>
    </row>
    <row r="490" customFormat="false" ht="15" hidden="false" customHeight="false" outlineLevel="0" collapsed="false">
      <c r="I490" s="14" t="str">
        <f aca="false">IF(A490="","",IF(COUNTIF(Veri_Guncel!$A:$A,A490)=0,1,0))</f>
        <v/>
      </c>
    </row>
    <row r="491" customFormat="false" ht="15" hidden="false" customHeight="false" outlineLevel="0" collapsed="false">
      <c r="I491" s="14" t="str">
        <f aca="false">IF(A491="","",IF(COUNTIF(Veri_Guncel!$A:$A,A491)=0,1,0))</f>
        <v/>
      </c>
    </row>
    <row r="492" customFormat="false" ht="15" hidden="false" customHeight="false" outlineLevel="0" collapsed="false">
      <c r="I492" s="14" t="str">
        <f aca="false">IF(A492="","",IF(COUNTIF(Veri_Guncel!$A:$A,A492)=0,1,0))</f>
        <v/>
      </c>
    </row>
    <row r="493" customFormat="false" ht="15" hidden="false" customHeight="false" outlineLevel="0" collapsed="false">
      <c r="I493" s="14" t="str">
        <f aca="false">IF(A493="","",IF(COUNTIF(Veri_Guncel!$A:$A,A493)=0,1,0))</f>
        <v/>
      </c>
    </row>
    <row r="494" customFormat="false" ht="15" hidden="false" customHeight="false" outlineLevel="0" collapsed="false">
      <c r="I494" s="14" t="str">
        <f aca="false">IF(A494="","",IF(COUNTIF(Veri_Guncel!$A:$A,A494)=0,1,0))</f>
        <v/>
      </c>
    </row>
    <row r="495" customFormat="false" ht="15" hidden="false" customHeight="false" outlineLevel="0" collapsed="false">
      <c r="I495" s="14" t="str">
        <f aca="false">IF(A495="","",IF(COUNTIF(Veri_Guncel!$A:$A,A495)=0,1,0))</f>
        <v/>
      </c>
    </row>
    <row r="496" customFormat="false" ht="15" hidden="false" customHeight="false" outlineLevel="0" collapsed="false">
      <c r="I496" s="14" t="str">
        <f aca="false">IF(A496="","",IF(COUNTIF(Veri_Guncel!$A:$A,A496)=0,1,0))</f>
        <v/>
      </c>
    </row>
    <row r="497" customFormat="false" ht="15" hidden="false" customHeight="false" outlineLevel="0" collapsed="false">
      <c r="I497" s="14" t="str">
        <f aca="false">IF(A497="","",IF(COUNTIF(Veri_Guncel!$A:$A,A497)=0,1,0))</f>
        <v/>
      </c>
    </row>
    <row r="498" customFormat="false" ht="15" hidden="false" customHeight="false" outlineLevel="0" collapsed="false">
      <c r="I498" s="14" t="str">
        <f aca="false">IF(A498="","",IF(COUNTIF(Veri_Guncel!$A:$A,A498)=0,1,0))</f>
        <v/>
      </c>
    </row>
    <row r="499" customFormat="false" ht="15" hidden="false" customHeight="false" outlineLevel="0" collapsed="false">
      <c r="I499" s="14" t="str">
        <f aca="false">IF(A499="","",IF(COUNTIF(Veri_Guncel!$A:$A,A499)=0,1,0))</f>
        <v/>
      </c>
    </row>
    <row r="500" customFormat="false" ht="15" hidden="false" customHeight="false" outlineLevel="0" collapsed="false">
      <c r="I500" s="14" t="str">
        <f aca="false">IF(A500="","",IF(COUNTIF(Veri_Guncel!$A:$A,A500)=0,1,0))</f>
        <v/>
      </c>
    </row>
    <row r="501" customFormat="false" ht="15" hidden="false" customHeight="false" outlineLevel="0" collapsed="false">
      <c r="I501" s="14" t="str">
        <f aca="false">IF(A501="","",IF(COUNTIF(Veri_Guncel!$A:$A,A501)=0,1,0))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2026-09-17T01:58:35Z</dcterms:created>
  <dc:creator>openpyxl</dc:creator>
  <dc:description/>
  <dc:language>en-US</dc:language>
  <cp:lastModifiedBy/>
  <dcterms:modified xsi:type="dcterms:W3CDTF">2026-09-17T01:58:37Z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